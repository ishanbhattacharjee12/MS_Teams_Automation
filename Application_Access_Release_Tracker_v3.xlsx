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140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Sprints" sheetId="3" state="visible" r:id="rId3"/>
    <sheet xmlns:r="http://schemas.openxmlformats.org/officeDocument/2006/relationships" name="Config" sheetId="4" state="hidden" r:id="rId4"/>
  </sheets>
  <definedNames>
    <definedName name="CABOffsetFromReleaseWD">Config!$B$8</definedName>
    <definedName name="CodeReviewCalendarDays">Config!$B$9</definedName>
    <definedName name="CodeReviewInviteCalendarDays">Config!$B$10</definedName>
    <definedName name="FileTypeList">Config!$G$3:$G$7</definedName>
    <definedName name="FrequencyList">Config!$H$3:$H$9</definedName>
    <definedName name="IAMList">Config!$I$3:$I$5</definedName>
    <definedName name="OUROffsetFromSR_WD">Config!$B$6</definedName>
    <definedName name="ReadyOffsetWD">Config!$B$4</definedName>
    <definedName name="RTSKOffsetFromOUR_WD">Config!$B$7</definedName>
    <definedName name="SprintCalendar">Sprints!$A$2:$C$12</definedName>
    <definedName name="SprintReadinessOffsetWD">Config!$B$15</definedName>
    <definedName name="SprintWarningDays">Config!$B$13</definedName>
    <definedName name="SprintWorkingDays">Config!$B$3</definedName>
    <definedName name="SROffsetFromStartWD">Config!$B$5</definedName>
    <definedName name="StatusList">Config!$E$3:$E$6</definedName>
    <definedName name="YesNoList">Config!$J$3:$J$4</definedName>
    <definedName name="_xlnm._FilterDatabase" localSheetId="1" hidden="1">'Tracker'!$A$2:$BT$51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d\,\ dd\-mmm\-yyyy"/>
    <numFmt numFmtId="165" formatCode="dd\-mmm\-yyyy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i val="1"/>
      <color rgb="FF375623"/>
      <sz val="11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22"/>
    </font>
    <font>
      <name val="Calibri"/>
      <family val="2"/>
      <i val="1"/>
      <color rgb="FFFFFFFF"/>
      <sz val="11"/>
    </font>
    <font>
      <name val="Calibri"/>
      <family val="2"/>
      <color rgb="FF666666"/>
      <sz val="11"/>
    </font>
    <font>
      <name val="Calibri"/>
      <family val="2"/>
      <b val="1"/>
      <color rgb="FF1F4E79"/>
      <sz val="12"/>
    </font>
    <font>
      <name val="Calibri"/>
      <family val="2"/>
      <b val="1"/>
      <color rgb="FFFFFFFF"/>
      <sz val="10"/>
    </font>
    <font>
      <name val="Calibri"/>
      <family val="2"/>
      <b val="1"/>
      <color rgb="FF1F4E79"/>
      <sz val="22"/>
    </font>
    <font>
      <name val="Calibri"/>
      <family val="2"/>
      <i val="1"/>
      <color rgb="FF666666"/>
      <sz val="8"/>
    </font>
    <font>
      <name val="Calibri"/>
      <family val="2"/>
      <b val="1"/>
      <color rgb="FFC00000"/>
      <sz val="22"/>
    </font>
    <font>
      <name val="Calibri"/>
      <family val="2"/>
      <b val="1"/>
      <color rgb="FFC65911"/>
      <sz val="22"/>
    </font>
    <font>
      <name val="Calibri"/>
      <family val="2"/>
      <b val="1"/>
      <color rgb="FFBF8F00"/>
      <sz val="22"/>
    </font>
    <font>
      <name val="Calibri"/>
      <family val="2"/>
      <b val="1"/>
      <color rgb="FF2E75B6"/>
      <sz val="22"/>
    </font>
    <font>
      <name val="Calibri"/>
      <family val="2"/>
      <b val="1"/>
      <color rgb="FF548235"/>
      <sz val="22"/>
    </font>
    <font>
      <name val="Calibri"/>
      <family val="2"/>
      <b val="1"/>
      <color rgb="FFFFFFFF"/>
      <sz val="13"/>
    </font>
    <font>
      <name val="Calibri"/>
      <family val="2"/>
      <sz val="10"/>
    </font>
    <font>
      <name val="Calibri"/>
      <family val="2"/>
      <b val="1"/>
      <sz val="10"/>
    </font>
    <font>
      <name val="Consolas"/>
      <family val="2"/>
      <color rgb="FFC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22"/>
    </font>
    <font>
      <name val="Calibri"/>
      <family val="2"/>
      <color rgb="FF595959"/>
      <sz val="8"/>
    </font>
    <font>
      <name val="Calibri"/>
      <family val="2"/>
      <b val="1"/>
      <color rgb="FF375623"/>
      <sz val="22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9EDF2"/>
      </patternFill>
    </fill>
    <fill>
      <patternFill patternType="solid">
        <fgColor rgb="FFFFF2CC"/>
      </patternFill>
    </fill>
    <fill>
      <patternFill patternType="solid">
        <fgColor rgb="FFC65911"/>
      </patternFill>
    </fill>
    <fill>
      <patternFill patternType="solid">
        <fgColor rgb="FF833C0C"/>
      </patternFill>
    </fill>
    <fill>
      <patternFill patternType="solid">
        <fgColor rgb="FF7F6000"/>
      </patternFill>
    </fill>
    <fill>
      <patternFill patternType="solid">
        <fgColor rgb="FF375623"/>
      </patternFill>
    </fill>
    <fill>
      <patternFill patternType="solid">
        <fgColor rgb="FF203864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DEEBF7"/>
      </patternFill>
    </fill>
  </fills>
  <borders count="3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/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 style="thin">
        <color rgb="FFC65911"/>
      </right>
      <top style="thin">
        <color rgb="FFC65911"/>
      </top>
      <bottom style="thin">
        <color rgb="FFC65911"/>
      </bottom>
      <diagonal/>
    </border>
    <border>
      <left/>
      <right style="thin">
        <color rgb="FF548235"/>
      </right>
      <top style="thin">
        <color rgb="FF548235"/>
      </top>
      <bottom style="thin">
        <color rgb="FF548235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1F4E79"/>
      </top>
      <bottom/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/>
      <top style="thin">
        <color rgb="FFBF8F00"/>
      </top>
      <bottom/>
      <diagonal/>
    </border>
    <border>
      <left/>
      <right style="thin">
        <color rgb="FFBF8F00"/>
      </right>
      <top style="thin">
        <color rgb="FFBF8F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C65911"/>
      </top>
      <bottom/>
      <diagonal/>
    </border>
    <border>
      <left/>
      <right style="thin">
        <color rgb="FFC65911"/>
      </right>
      <top style="thin">
        <color rgb="FFC65911"/>
      </top>
      <bottom/>
      <diagonal/>
    </border>
    <border>
      <left/>
      <right/>
      <top style="thin">
        <color rgb="FF548235"/>
      </top>
      <bottom/>
      <diagonal/>
    </border>
    <border>
      <left/>
      <right style="thin">
        <color rgb="FF548235"/>
      </right>
      <top style="thin">
        <color rgb="FF548235"/>
      </top>
      <bottom/>
      <diagonal/>
    </border>
    <border>
      <left/>
      <right/>
      <top style="thin">
        <color rgb="FF2E75B6"/>
      </top>
      <bottom/>
      <diagonal/>
    </border>
    <border>
      <left/>
      <right style="thin">
        <color rgb="FF2E75B6"/>
      </right>
      <top style="thin">
        <color rgb="FF2E75B6"/>
      </top>
      <bottom/>
      <diagonal/>
    </border>
  </borders>
  <cellStyleXfs count="1">
    <xf numFmtId="0" fontId="0" fillId="0" borderId="2"/>
  </cellStyleXfs>
  <cellXfs count="94">
    <xf numFmtId="0" fontId="0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vertical="center" wrapText="1"/>
    </xf>
    <xf numFmtId="165" fontId="20" fillId="15" borderId="1" applyAlignment="1" pivotButton="0" quotePrefix="0" xfId="0">
      <alignment vertical="center" wrapText="1"/>
    </xf>
    <xf numFmtId="1" fontId="20" fillId="15" borderId="1" applyAlignment="1" pivotButton="0" quotePrefix="0" xfId="0">
      <alignment vertical="center" wrapText="1"/>
    </xf>
    <xf numFmtId="0" fontId="21" fillId="15" borderId="1" applyAlignment="1" pivotButton="0" quotePrefix="0" xfId="0">
      <alignment horizontal="left" vertical="center"/>
    </xf>
    <xf numFmtId="1" fontId="20" fillId="15" borderId="1" applyAlignment="1" pivotButton="0" quotePrefix="0" xfId="0">
      <alignment horizontal="center" vertical="center"/>
    </xf>
    <xf numFmtId="0" fontId="22" fillId="15" borderId="1" applyAlignment="1" pivotButton="0" quotePrefix="0" xfId="0">
      <alignment vertical="center"/>
    </xf>
    <xf numFmtId="0" fontId="20" fillId="12" borderId="1" applyAlignment="1" pivotButton="0" quotePrefix="0" xfId="0">
      <alignment vertical="center" wrapText="1"/>
    </xf>
    <xf numFmtId="165" fontId="20" fillId="12" borderId="1" applyAlignment="1" pivotButton="0" quotePrefix="0" xfId="0">
      <alignment vertical="center" wrapText="1"/>
    </xf>
    <xf numFmtId="1" fontId="20" fillId="12" borderId="1" applyAlignment="1" pivotButton="0" quotePrefix="0" xfId="0">
      <alignment vertical="center" wrapText="1"/>
    </xf>
    <xf numFmtId="0" fontId="21" fillId="12" borderId="1" applyAlignment="1" pivotButton="0" quotePrefix="0" xfId="0">
      <alignment horizontal="left" vertical="center"/>
    </xf>
    <xf numFmtId="1" fontId="20" fillId="1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vertical="center"/>
    </xf>
    <xf numFmtId="0" fontId="11" fillId="2" borderId="1" applyAlignment="1" pivotButton="0" quotePrefix="0" xfId="0">
      <alignment horizontal="left"/>
    </xf>
    <xf numFmtId="1" fontId="1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3" fillId="4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4" fillId="4" borderId="1" applyAlignment="1" pivotButton="0" quotePrefix="0" xfId="0">
      <alignment vertical="center" wrapText="1"/>
    </xf>
    <xf numFmtId="0" fontId="4" fillId="5" borderId="1" applyProtection="1" pivotButton="0" quotePrefix="0" xfId="0">
      <protection locked="0" hidden="0"/>
    </xf>
    <xf numFmtId="0" fontId="0" fillId="0" borderId="2" pivotButton="0" quotePrefix="0" xfId="0"/>
    <xf numFmtId="0" fontId="23" fillId="11" borderId="0" applyAlignment="1" pivotButton="0" quotePrefix="0" xfId="0">
      <alignment horizontal="center" vertical="center" wrapText="1"/>
    </xf>
    <xf numFmtId="0" fontId="24" fillId="2" borderId="15" applyAlignment="1" pivotButton="0" quotePrefix="0" xfId="0">
      <alignment horizontal="center" vertical="center" wrapText="1"/>
    </xf>
    <xf numFmtId="0" fontId="0" fillId="5" borderId="15" applyAlignment="1" pivotButton="0" quotePrefix="0" xfId="0">
      <alignment vertical="center" wrapText="1"/>
    </xf>
    <xf numFmtId="0" fontId="0" fillId="4" borderId="15" applyAlignment="1" pivotButton="0" quotePrefix="0" xfId="0">
      <alignment vertical="center" wrapText="1"/>
    </xf>
    <xf numFmtId="165" fontId="0" fillId="4" borderId="15" applyAlignment="1" pivotButton="0" quotePrefix="0" xfId="0">
      <alignment vertical="center" wrapText="1"/>
    </xf>
    <xf numFmtId="165" fontId="0" fillId="5" borderId="15" applyAlignment="1" pivotButton="0" quotePrefix="0" xfId="0">
      <alignment vertical="center" wrapText="1"/>
    </xf>
    <xf numFmtId="0" fontId="25" fillId="16" borderId="0" applyAlignment="1" pivotButton="0" quotePrefix="0" xfId="0">
      <alignment horizontal="center" vertical="center" wrapText="1"/>
    </xf>
    <xf numFmtId="0" fontId="0" fillId="17" borderId="0" applyAlignment="1" pivotButton="0" quotePrefix="0" xfId="0">
      <alignment horizontal="center" vertical="center" wrapText="1"/>
    </xf>
    <xf numFmtId="165" fontId="0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23" fillId="7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3" fillId="2" borderId="0" applyAlignment="1" pivotButton="0" quotePrefix="0" xfId="0">
      <alignment horizontal="center" vertical="center" wrapText="1"/>
    </xf>
    <xf numFmtId="0" fontId="23" fillId="16" borderId="0" applyAlignment="1" pivotButton="0" quotePrefix="0" xfId="0">
      <alignment horizontal="center" vertical="center" wrapText="1"/>
    </xf>
    <xf numFmtId="0" fontId="23" fillId="10" borderId="0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center" vertical="center" wrapText="1"/>
    </xf>
    <xf numFmtId="0" fontId="23" fillId="9" borderId="0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2" applyAlignment="1" pivotButton="0" quotePrefix="0" xfId="0">
      <alignment vertical="center"/>
    </xf>
    <xf numFmtId="0" fontId="13" fillId="12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19" fillId="2" borderId="2" pivotButton="0" quotePrefix="0" xfId="0"/>
    <xf numFmtId="0" fontId="27" fillId="12" borderId="15" applyAlignment="1" pivotButton="0" quotePrefix="0" xfId="0">
      <alignment horizontal="center" vertical="center" wrapText="1"/>
    </xf>
    <xf numFmtId="0" fontId="7" fillId="2" borderId="2" applyAlignment="1" pivotButton="0" quotePrefix="0" xfId="0">
      <alignment vertical="center"/>
    </xf>
    <xf numFmtId="0" fontId="2" fillId="11" borderId="2" pivotButton="0" quotePrefix="0" xfId="0"/>
    <xf numFmtId="1" fontId="17" fillId="0" borderId="7" applyAlignment="1" pivotButton="0" quotePrefix="0" xfId="0">
      <alignment horizontal="center" vertical="center"/>
    </xf>
    <xf numFmtId="0" fontId="0" fillId="0" borderId="10" pivotButton="0" quotePrefix="0" xfId="0"/>
    <xf numFmtId="0" fontId="13" fillId="12" borderId="5" applyAlignment="1" pivotButton="0" quotePrefix="0" xfId="0">
      <alignment horizontal="center" vertical="center" wrapText="1"/>
    </xf>
    <xf numFmtId="1" fontId="18" fillId="0" borderId="8" applyAlignment="1" pivotButton="0" quotePrefix="0" xfId="0">
      <alignment horizontal="center" vertical="center"/>
    </xf>
    <xf numFmtId="0" fontId="0" fillId="0" borderId="12" pivotButton="0" quotePrefix="0" xfId="0"/>
    <xf numFmtId="0" fontId="11" fillId="3" borderId="7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 wrapText="1"/>
    </xf>
    <xf numFmtId="0" fontId="0" fillId="0" borderId="13" pivotButton="0" quotePrefix="0" xfId="0"/>
    <xf numFmtId="0" fontId="26" fillId="15" borderId="15" applyAlignment="1" pivotButton="0" quotePrefix="0" xfId="0">
      <alignment horizontal="center" vertical="center" wrapText="1"/>
    </xf>
    <xf numFmtId="0" fontId="0" fillId="15" borderId="15" applyAlignment="1" pivotButton="0" quotePrefix="0" xfId="0">
      <alignment horizontal="center" vertical="center" wrapText="1"/>
    </xf>
    <xf numFmtId="0" fontId="28" fillId="15" borderId="15" applyAlignment="1" pivotButton="0" quotePrefix="0" xfId="0">
      <alignment horizontal="center" vertical="center" wrapText="1"/>
    </xf>
    <xf numFmtId="1" fontId="15" fillId="0" borderId="5" applyAlignment="1" pivotButton="0" quotePrefix="0" xfId="0">
      <alignment horizontal="center" vertical="center"/>
    </xf>
    <xf numFmtId="0" fontId="23" fillId="6" borderId="15" applyAlignment="1" pivotButton="0" quotePrefix="0" xfId="0">
      <alignment horizontal="center" vertical="center" wrapText="1"/>
    </xf>
    <xf numFmtId="0" fontId="23" fillId="9" borderId="15" applyAlignment="1" pivotButton="0" quotePrefix="0" xfId="0">
      <alignment horizontal="center" vertical="center" wrapText="1"/>
    </xf>
    <xf numFmtId="0" fontId="13" fillId="12" borderId="8" applyAlignment="1" pivotButton="0" quotePrefix="0" xfId="0">
      <alignment horizontal="center" vertical="center" wrapText="1"/>
    </xf>
    <xf numFmtId="1" fontId="16" fillId="0" borderId="6" applyAlignment="1" pivotButton="0" quotePrefix="0" xfId="0">
      <alignment horizontal="center" vertical="center"/>
    </xf>
    <xf numFmtId="0" fontId="11" fillId="11" borderId="4" applyAlignment="1" pivotButton="0" quotePrefix="0" xfId="0">
      <alignment horizontal="center" vertical="center"/>
    </xf>
    <xf numFmtId="0" fontId="5" fillId="0" borderId="2" pivotButton="0" quotePrefix="0" xfId="0"/>
    <xf numFmtId="0" fontId="4" fillId="0" borderId="2" applyAlignment="1" pivotButton="0" quotePrefix="0" xfId="0">
      <alignment vertical="top" wrapText="1"/>
    </xf>
    <xf numFmtId="0" fontId="13" fillId="12" borderId="3" applyAlignment="1" pivotButton="0" quotePrefix="0" xfId="0">
      <alignment horizontal="center" vertical="center" wrapText="1"/>
    </xf>
    <xf numFmtId="0" fontId="0" fillId="0" borderId="14" pivotButton="0" quotePrefix="0" xfId="0"/>
    <xf numFmtId="0" fontId="11" fillId="13" borderId="6" applyAlignment="1" pivotButton="0" quotePrefix="0" xfId="0">
      <alignment horizontal="center" vertical="center"/>
    </xf>
    <xf numFmtId="1" fontId="12" fillId="0" borderId="3" applyAlignment="1" pivotButton="0" quotePrefix="0" xfId="0">
      <alignment horizontal="center" vertical="center"/>
    </xf>
    <xf numFmtId="1" fontId="14" fillId="0" borderId="4" applyAlignment="1" pivotButton="0" quotePrefix="0" xfId="0">
      <alignment horizontal="center" vertical="center"/>
    </xf>
    <xf numFmtId="0" fontId="13" fillId="12" borderId="7" applyAlignment="1" pivotButton="0" quotePrefix="0" xfId="0">
      <alignment horizontal="center" vertical="center" wrapText="1"/>
    </xf>
    <xf numFmtId="0" fontId="11" fillId="14" borderId="8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11" fillId="6" borderId="0" applyAlignment="1" pivotButton="0" quotePrefix="0" xfId="0">
      <alignment horizontal="center" vertical="center" wrapText="1"/>
    </xf>
    <xf numFmtId="0" fontId="0" fillId="0" borderId="24" pivotButton="0" quotePrefix="0" xfId="0"/>
    <xf numFmtId="0" fontId="11" fillId="6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23" fillId="3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</cellXfs>
  <cellStyles count="1">
    <cellStyle name="Normal" xfId="0" builtinId="0"/>
  </cellStyles>
  <dxfs count="140"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006100"/>
      </font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BDD7EE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B1:R30"/>
  <sheetViews>
    <sheetView showGridLines="0" zoomScale="125" workbookViewId="0">
      <pane ySplit="7" topLeftCell="A8" activePane="bottomLeft" state="frozen"/>
      <selection pane="bottomLeft" activeCell="M27" sqref="M27"/>
    </sheetView>
  </sheetViews>
  <sheetFormatPr baseColWidth="10" defaultColWidth="8.83203125" defaultRowHeight="15"/>
  <cols>
    <col width="3" customWidth="1" style="39" min="1" max="1"/>
    <col width="16.33203125" customWidth="1" style="39" min="2" max="2"/>
    <col width="16.6640625" bestFit="1" customWidth="1" style="39" min="3" max="3"/>
    <col width="16" customWidth="1" style="39" min="4" max="4"/>
    <col width="11.33203125" customWidth="1" style="39" min="5" max="5"/>
    <col width="16" customWidth="1" style="39" min="6" max="6"/>
    <col width="12" customWidth="1" style="39" min="7" max="7"/>
    <col width="3" customWidth="1" style="39" min="8" max="8"/>
    <col width="18" customWidth="1" style="39" min="9" max="9"/>
    <col width="10.5" customWidth="1" style="39" min="10" max="10"/>
    <col width="14" customWidth="1" style="39" min="11" max="11"/>
    <col width="11" customWidth="1" style="39" min="12" max="12"/>
    <col width="13" customWidth="1" style="39" min="13" max="13"/>
    <col width="11" customWidth="1" style="39" min="14" max="14"/>
    <col width="12.83203125" customWidth="1" style="39" min="15" max="15"/>
    <col width="8.5" customWidth="1" style="39" min="16" max="16"/>
    <col width="11.6640625" customWidth="1" style="39" min="17" max="17"/>
    <col width="7.83203125" customWidth="1" style="39" min="18" max="18"/>
  </cols>
  <sheetData>
    <row r="1" ht="32" customHeight="1" s="39">
      <c r="B1" s="53" t="inlineStr">
        <is>
          <t>Application access &amp; release tracker</t>
        </is>
      </c>
      <c r="I1" s="48" t="inlineStr">
        <is>
          <t>Formulas only. Update yellow cells on Tracker. Sheet is locked.</t>
        </is>
      </c>
    </row>
    <row r="2" ht="16" customHeight="1" s="39">
      <c r="B2" s="1" t="inlineStr">
        <is>
          <t>As of</t>
        </is>
      </c>
      <c r="C2" s="2">
        <f>TODAY()</f>
        <v/>
      </c>
      <c r="E2" s="72" t="inlineStr">
        <is>
          <t>Sprint calendar is on the Sprints sheet. File R-Task date copies the matching DB R-Task date. Overdue days grow until status is Completed. Enter Raised On when the ticket is submitted.</t>
        </is>
      </c>
    </row>
    <row r="4" ht="18" customHeight="1" s="39">
      <c r="B4" s="81" t="inlineStr">
        <is>
          <t>Applications</t>
        </is>
      </c>
      <c r="C4" s="75" t="n"/>
      <c r="D4" s="71" t="inlineStr">
        <is>
          <t>Overdue tickets</t>
        </is>
      </c>
      <c r="E4" s="62" t="n"/>
      <c r="F4" s="46" t="inlineStr">
        <is>
          <t>Blocked</t>
        </is>
      </c>
      <c r="G4" s="47" t="n"/>
      <c r="I4" s="76" t="inlineStr">
        <is>
          <t>Due in 7 days</t>
        </is>
      </c>
      <c r="J4" s="50" t="n"/>
      <c r="K4" s="60" t="inlineStr">
        <is>
          <t>In progress</t>
        </is>
      </c>
      <c r="L4" s="56" t="n"/>
      <c r="M4" s="80" t="inlineStr">
        <is>
          <t>Fully ready</t>
        </is>
      </c>
      <c r="N4" s="59" t="n"/>
      <c r="O4" s="67" t="inlineStr">
        <is>
          <t>Worst overdue (days)</t>
        </is>
      </c>
      <c r="P4" s="85" t="n"/>
      <c r="Q4" s="68" t="inlineStr">
        <is>
          <t>Raised on time</t>
        </is>
      </c>
      <c r="R4" s="85" t="n"/>
    </row>
    <row r="5" ht="28" customHeight="1" s="39">
      <c r="B5" s="77">
        <f>COUNTA(Tracker!A3:A70)</f>
        <v/>
      </c>
      <c r="C5" s="75" t="n"/>
      <c r="D5" s="78">
        <f>SUMPRODUCT((Tracker!$A$3:$A$70&lt;&gt;"")*(Tracker!$S$3:$S$70&lt;&gt;"Completed")*(ISNUMBER(Tracker!$Q$3:$Q$70))*(N(Tracker!$Q$3:$Q$70)&lt;TODAY()))+SUMPRODUCT((Tracker!$A$3:$A$70&lt;&gt;"")*(Tracker!$V$3:$V$70&lt;&gt;"Completed")*(ISNUMBER(Tracker!$T$3:$T$70))*(N(Tracker!$T$3:$T$70)&lt;TODAY()))+SUMPRODUCT((Tracker!$A$3:$A$70&lt;&gt;"")*(Tracker!$Y$3:$Y$70&lt;&gt;"Completed")*(ISNUMBER(Tracker!$W$3:$W$70))*(N(Tracker!$W$3:$W$70)&lt;TODAY()))+SUMPRODUCT((Tracker!$A$3:$A$70&lt;&gt;"")*(Tracker!$AC$3:$AC$70&lt;&gt;"Completed")*(ISNUMBER(Tracker!$AA$3:$AA$70))*(N(Tracker!$AA$3:$AA$70)&lt;TODAY()))+SUMPRODUCT((Tracker!$A$3:$A$70&lt;&gt;"")*(Tracker!$AI$3:$AI$70&lt;&gt;"Completed")*(ISNUMBER(Tracker!$AG$3:$AG$70))*(N(Tracker!$AG$3:$AG$70)&lt;TODAY()))+SUMPRODUCT((Tracker!$A$3:$A$70&lt;&gt;"")*(Tracker!$AL$3:$AL$70&lt;&gt;"Completed")*(ISNUMBER(Tracker!$AJ$3:$AJ$70))*(N(Tracker!$AJ$3:$AJ$70)&lt;TODAY()))+SUMPRODUCT((Tracker!$A$3:$A$70&lt;&gt;"")*(Tracker!$AO$3:$AO$70&lt;&gt;"Completed")*(ISNUMBER(Tracker!$AM$3:$AM$70))*(N(Tracker!$AM$3:$AM$70)&lt;TODAY()))+SUMPRODUCT((Tracker!$A$3:$A$70&lt;&gt;"")*(Tracker!$AS$3:$AS$70&lt;&gt;"Completed")*(ISNUMBER(Tracker!$AQ$3:$AQ$70))*(N(Tracker!$AQ$3:$AQ$70)&lt;TODAY()))+SUMPRODUCT((Tracker!$A$3:$A$70&lt;&gt;"")*(Tracker!$AY$3:$AY$70&lt;&gt;"Completed")*(ISNUMBER(Tracker!$AW$3:$AW$70))*(N(Tracker!$AW$3:$AW$70)&lt;TODAY()))+SUMPRODUCT((Tracker!$A$3:$A$70&lt;&gt;"")*(Tracker!$BB$3:$BB$70&lt;&gt;"Completed")*(ISNUMBER(Tracker!$AZ$3:$AZ$70))*(N(Tracker!$AZ$3:$AZ$70)&lt;TODAY()))+SUMPRODUCT((Tracker!$A$3:$A$70&lt;&gt;"")*(Tracker!$BE$3:$BE$70&lt;&gt;"Completed")*(ISNUMBER(Tracker!$BC$3:$BC$70))*(N(Tracker!$BC$3:$BC$70)&lt;TODAY()))+SUMPRODUCT((Tracker!$A$3:$A$70&lt;&gt;"")*(Tracker!$BI$3:$BI$70&lt;&gt;"Completed")*(ISNUMBER(Tracker!$BG$3:$BG$70))*(N(Tracker!$BG$3:$BG$70)&lt;TODAY()))+SUMPRODUCT((Tracker!$A$3:$A$70&lt;&gt;"")*(Tracker!$P$3:$P$70&lt;&gt;"Completed")*(ISNUMBER(Tracker!$O$3:$O$70))*(N(Tracker!$O$3:$O$70)&lt;TODAY()))+SUMPRODUCT((Tracker!$A$3:$A$70&lt;&gt;"")*(Tracker!$BR$3:$BR$70&lt;&gt;"Completed")*(ISNUMBER(Tracker!$BQ$3:$BQ$70))*(N(Tracker!$BQ$3:$BQ$70)&lt;TODAY()))+SUMPRODUCT((Tracker!$A$3:$A$70&lt;&gt;"")*(Tracker!$BP$3:$BP$70&lt;&gt;"Completed")*(ISNUMBER(Tracker!$BO$3:$BO$70))*(N(Tracker!$BO$3:$BO$70)&lt;TODAY()))+SUMPRODUCT((Tracker!$A$3:$A$70&lt;&gt;"")*(Tracker!$BN$3:$BN$70&lt;&gt;"Completed")*(ISNUMBER(Tracker!$BM$3:$BM$70))*(N(Tracker!$BM$3:$BM$70)&lt;TODAY()))</f>
        <v/>
      </c>
      <c r="E5" s="62" t="n"/>
      <c r="F5" s="66">
        <f>SUMPRODUCT((Tracker!$A$3:$A$70&lt;&gt;"")*(ISNUMBER(Tracker!$Q$3:$Q$70))*(Tracker!$S$3:$S$70="Blocked"))+SUMPRODUCT((Tracker!$A$3:$A$70&lt;&gt;"")*(ISNUMBER(Tracker!$T$3:$T$70))*(Tracker!$V$3:$V$70="Blocked"))+SUMPRODUCT((Tracker!$A$3:$A$70&lt;&gt;"")*(ISNUMBER(Tracker!$W$3:$W$70))*(Tracker!$Y$3:$Y$70="Blocked"))+SUMPRODUCT((Tracker!$A$3:$A$70&lt;&gt;"")*(ISNUMBER(Tracker!$AA$3:$AA$70))*(Tracker!$AC$3:$AC$70="Blocked"))+SUMPRODUCT((Tracker!$A$3:$A$70&lt;&gt;"")*(ISNUMBER(Tracker!$AG$3:$AG$70))*(Tracker!$AI$3:$AI$70="Blocked"))+SUMPRODUCT((Tracker!$A$3:$A$70&lt;&gt;"")*(ISNUMBER(Tracker!$AJ$3:$AJ$70))*(Tracker!$AL$3:$AL$70="Blocked"))+SUMPRODUCT((Tracker!$A$3:$A$70&lt;&gt;"")*(ISNUMBER(Tracker!$AM$3:$AM$70))*(Tracker!$AO$3:$AO$70="Blocked"))+SUMPRODUCT((Tracker!$A$3:$A$70&lt;&gt;"")*(ISNUMBER(Tracker!$AQ$3:$AQ$70))*(Tracker!$AS$3:$AS$70="Blocked"))+SUMPRODUCT((Tracker!$A$3:$A$70&lt;&gt;"")*(ISNUMBER(Tracker!$AW$3:$AW$70))*(Tracker!$AY$3:$AY$70="Blocked"))+SUMPRODUCT((Tracker!$A$3:$A$70&lt;&gt;"")*(ISNUMBER(Tracker!$AZ$3:$AZ$70))*(Tracker!$BB$3:$BB$70="Blocked"))+SUMPRODUCT((Tracker!$A$3:$A$70&lt;&gt;"")*(ISNUMBER(Tracker!$BC$3:$BC$70))*(Tracker!$BE$3:$BE$70="Blocked"))+SUMPRODUCT((Tracker!$A$3:$A$70&lt;&gt;"")*(ISNUMBER(Tracker!$BG$3:$BG$70))*(Tracker!$BI$3:$BI$70="Blocked"))+SUMPRODUCT((Tracker!$A$3:$A$70&lt;&gt;"")*(ISNUMBER(Tracker!$O$3:$O$70))*(Tracker!$P$3:$P$70="Blocked"))+SUMPRODUCT((Tracker!$A$3:$A$70&lt;&gt;"")*(ISNUMBER(Tracker!$BQ$3:$BQ$70))*(Tracker!$BR$3:$BR$70="Blocked"))+SUMPRODUCT((Tracker!$A$3:$A$70&lt;&gt;"")*(ISNUMBER(Tracker!$BO$3:$BO$70))*(Tracker!$BP$3:$BP$70="Blocked"))+SUMPRODUCT((Tracker!$A$3:$A$70&lt;&gt;"")*(ISNUMBER(Tracker!$BM$3:$BM$70))*(Tracker!$BN$3:$BN$70="Blocked"))</f>
        <v/>
      </c>
      <c r="G5" s="47" t="n"/>
      <c r="I5" s="70">
        <f>SUMPRODUCT((Tracker!$A$3:$A$70&lt;&gt;"")*(Tracker!$S$3:$S$70&lt;&gt;"Completed")*(ISNUMBER(Tracker!$Q$3:$Q$70))*(N(Tracker!$Q$3:$Q$70)&gt;=TODAY())*(N(Tracker!$Q$3:$Q$70)&lt;=TODAY()+7))+SUMPRODUCT((Tracker!$A$3:$A$70&lt;&gt;"")*(Tracker!$V$3:$V$70&lt;&gt;"Completed")*(ISNUMBER(Tracker!$T$3:$T$70))*(N(Tracker!$T$3:$T$70)&gt;=TODAY())*(N(Tracker!$T$3:$T$70)&lt;=TODAY()+7))+SUMPRODUCT((Tracker!$A$3:$A$70&lt;&gt;"")*(Tracker!$Y$3:$Y$70&lt;&gt;"Completed")*(ISNUMBER(Tracker!$W$3:$W$70))*(N(Tracker!$W$3:$W$70)&gt;=TODAY())*(N(Tracker!$W$3:$W$70)&lt;=TODAY()+7))+SUMPRODUCT((Tracker!$A$3:$A$70&lt;&gt;"")*(Tracker!$AC$3:$AC$70&lt;&gt;"Completed")*(ISNUMBER(Tracker!$AA$3:$AA$70))*(N(Tracker!$AA$3:$AA$70)&gt;=TODAY())*(N(Tracker!$AA$3:$AA$70)&lt;=TODAY()+7))+SUMPRODUCT((Tracker!$A$3:$A$70&lt;&gt;"")*(Tracker!$AI$3:$AI$70&lt;&gt;"Completed")*(ISNUMBER(Tracker!$AG$3:$AG$70))*(N(Tracker!$AG$3:$AG$70)&gt;=TODAY())*(N(Tracker!$AG$3:$AG$70)&lt;=TODAY()+7))+SUMPRODUCT((Tracker!$A$3:$A$70&lt;&gt;"")*(Tracker!$AL$3:$AL$70&lt;&gt;"Completed")*(ISNUMBER(Tracker!$AJ$3:$AJ$70))*(N(Tracker!$AJ$3:$AJ$70)&gt;=TODAY())*(N(Tracker!$AJ$3:$AJ$70)&lt;=TODAY()+7))+SUMPRODUCT((Tracker!$A$3:$A$70&lt;&gt;"")*(Tracker!$AO$3:$AO$70&lt;&gt;"Completed")*(ISNUMBER(Tracker!$AM$3:$AM$70))*(N(Tracker!$AM$3:$AM$70)&gt;=TODAY())*(N(Tracker!$AM$3:$AM$70)&lt;=TODAY()+7))+SUMPRODUCT((Tracker!$A$3:$A$70&lt;&gt;"")*(Tracker!$AS$3:$AS$70&lt;&gt;"Completed")*(ISNUMBER(Tracker!$AQ$3:$AQ$70))*(N(Tracker!$AQ$3:$AQ$70)&gt;=TODAY())*(N(Tracker!$AQ$3:$AQ$70)&lt;=TODAY()+7))+SUMPRODUCT((Tracker!$A$3:$A$70&lt;&gt;"")*(Tracker!$AY$3:$AY$70&lt;&gt;"Completed")*(ISNUMBER(Tracker!$AW$3:$AW$70))*(N(Tracker!$AW$3:$AW$70)&gt;=TODAY())*(N(Tracker!$AW$3:$AW$70)&lt;=TODAY()+7))+SUMPRODUCT((Tracker!$A$3:$A$70&lt;&gt;"")*(Tracker!$BB$3:$BB$70&lt;&gt;"Completed")*(ISNUMBER(Tracker!$AZ$3:$AZ$70))*(N(Tracker!$AZ$3:$AZ$70)&gt;=TODAY())*(N(Tracker!$AZ$3:$AZ$70)&lt;=TODAY()+7))+SUMPRODUCT((Tracker!$A$3:$A$70&lt;&gt;"")*(Tracker!$BE$3:$BE$70&lt;&gt;"Completed")*(ISNUMBER(Tracker!$BC$3:$BC$70))*(N(Tracker!$BC$3:$BC$70)&gt;=TODAY())*(N(Tracker!$BC$3:$BC$70)&lt;=TODAY()+7))+SUMPRODUCT((Tracker!$A$3:$A$70&lt;&gt;"")*(Tracker!$BI$3:$BI$70&lt;&gt;"Completed")*(ISNUMBER(Tracker!$BG$3:$BG$70))*(N(Tracker!$BG$3:$BG$70)&gt;=TODAY())*(N(Tracker!$BG$3:$BG$70)&lt;=TODAY()+7))+SUMPRODUCT((Tracker!$A$3:$A$70&lt;&gt;"")*(Tracker!$P$3:$P$70&lt;&gt;"Completed")*(ISNUMBER(Tracker!$O$3:$O$70))*(N(Tracker!$O$3:$O$70)&gt;=TODAY())*(N(Tracker!$O$3:$O$70)&lt;=TODAY()+7))+SUMPRODUCT((Tracker!$A$3:$A$70&lt;&gt;"")*(Tracker!$BR$3:$BR$70&lt;&gt;"Completed")*(ISNUMBER(Tracker!$BQ$3:$BQ$70))*(N(Tracker!$BQ$3:$BQ$70)&gt;=TODAY())*(N(Tracker!$BQ$3:$BQ$70)&lt;=TODAY()+7))+SUMPRODUCT((Tracker!$A$3:$A$70&lt;&gt;"")*(Tracker!$BP$3:$BP$70&lt;&gt;"Completed")*(ISNUMBER(Tracker!$BO$3:$BO$70))*(N(Tracker!$BO$3:$BO$70)&gt;=TODAY())*(N(Tracker!$BO$3:$BO$70)&lt;=TODAY()+7))+SUMPRODUCT((Tracker!$A$3:$A$70&lt;&gt;"")*(Tracker!$BN$3:$BN$70&lt;&gt;"Completed")*(ISNUMBER(Tracker!$BM$3:$BM$70))*(N(Tracker!$BM$3:$BM$70)&gt;=TODAY())*(N(Tracker!$BM$3:$BM$70)&lt;=TODAY()+7))</f>
        <v/>
      </c>
      <c r="J5" s="50" t="n"/>
      <c r="K5" s="55">
        <f>SUMPRODUCT((Tracker!$A$3:$A$70&lt;&gt;"")*(ISNUMBER(Tracker!$Q$3:$Q$70))*(Tracker!$S$3:$S$70="In Progress"))+SUMPRODUCT((Tracker!$A$3:$A$70&lt;&gt;"")*(ISNUMBER(Tracker!$T$3:$T$70))*(Tracker!$V$3:$V$70="In Progress"))+SUMPRODUCT((Tracker!$A$3:$A$70&lt;&gt;"")*(ISNUMBER(Tracker!$W$3:$W$70))*(Tracker!$Y$3:$Y$70="In Progress"))+SUMPRODUCT((Tracker!$A$3:$A$70&lt;&gt;"")*(ISNUMBER(Tracker!$AA$3:$AA$70))*(Tracker!$AC$3:$AC$70="In Progress"))+SUMPRODUCT((Tracker!$A$3:$A$70&lt;&gt;"")*(ISNUMBER(Tracker!$AG$3:$AG$70))*(Tracker!$AI$3:$AI$70="In Progress"))+SUMPRODUCT((Tracker!$A$3:$A$70&lt;&gt;"")*(ISNUMBER(Tracker!$AJ$3:$AJ$70))*(Tracker!$AL$3:$AL$70="In Progress"))+SUMPRODUCT((Tracker!$A$3:$A$70&lt;&gt;"")*(ISNUMBER(Tracker!$AM$3:$AM$70))*(Tracker!$AO$3:$AO$70="In Progress"))+SUMPRODUCT((Tracker!$A$3:$A$70&lt;&gt;"")*(ISNUMBER(Tracker!$AQ$3:$AQ$70))*(Tracker!$AS$3:$AS$70="In Progress"))+SUMPRODUCT((Tracker!$A$3:$A$70&lt;&gt;"")*(ISNUMBER(Tracker!$AW$3:$AW$70))*(Tracker!$AY$3:$AY$70="In Progress"))+SUMPRODUCT((Tracker!$A$3:$A$70&lt;&gt;"")*(ISNUMBER(Tracker!$AZ$3:$AZ$70))*(Tracker!$BB$3:$BB$70="In Progress"))+SUMPRODUCT((Tracker!$A$3:$A$70&lt;&gt;"")*(ISNUMBER(Tracker!$BC$3:$BC$70))*(Tracker!$BE$3:$BE$70="In Progress"))+SUMPRODUCT((Tracker!$A$3:$A$70&lt;&gt;"")*(ISNUMBER(Tracker!$BG$3:$BG$70))*(Tracker!$BI$3:$BI$70="In Progress"))+SUMPRODUCT((Tracker!$A$3:$A$70&lt;&gt;"")*(ISNUMBER(Tracker!$O$3:$O$70))*(Tracker!$P$3:$P$70="In Progress"))+SUMPRODUCT((Tracker!$A$3:$A$70&lt;&gt;"")*(ISNUMBER(Tracker!$BQ$3:$BQ$70))*(Tracker!$BR$3:$BR$70="In Progress"))+SUMPRODUCT((Tracker!$A$3:$A$70&lt;&gt;"")*(ISNUMBER(Tracker!$BO$3:$BO$70))*(Tracker!$BP$3:$BP$70="In Progress"))+SUMPRODUCT((Tracker!$A$3:$A$70&lt;&gt;"")*(ISNUMBER(Tracker!$BM$3:$BM$70))*(Tracker!$BN$3:$BN$70="In Progress"))</f>
        <v/>
      </c>
      <c r="L5" s="56" t="n"/>
      <c r="M5" s="58">
        <f>COUNTIF(Tracker!D3:D70,"Completed")</f>
        <v/>
      </c>
      <c r="N5" s="59" t="n"/>
      <c r="O5" s="63">
        <f>IFERROR(MAX(Tracker!G3:G70),0)</f>
        <v/>
      </c>
      <c r="P5" s="85" t="n"/>
      <c r="Q5" s="65">
        <f>SUMPRODUCT((Tracker!$A$3:$A$70&lt;&gt;"")*(ISNUMBER(Tracker!$Q$3:$Q$70))*(ISNUMBER(Tracker!$R$3:$R$70))*(N(Tracker!$R$3:$R$70)&lt;=N(Tracker!$Q$3:$Q$70)))+SUMPRODUCT((Tracker!$A$3:$A$70&lt;&gt;"")*(ISNUMBER(Tracker!$T$3:$T$70))*(ISNUMBER(Tracker!$U$3:$U$70))*(N(Tracker!$U$3:$U$70)&lt;=N(Tracker!$T$3:$T$70)))+SUMPRODUCT((Tracker!$A$3:$A$70&lt;&gt;"")*(ISNUMBER(Tracker!$W$3:$W$70))*(ISNUMBER(Tracker!$X$3:$X$70))*(N(Tracker!$X$3:$X$70)&lt;=N(Tracker!$W$3:$W$70)))+SUMPRODUCT((Tracker!$A$3:$A$70&lt;&gt;"")*(ISNUMBER(Tracker!$AA$3:$AA$70))*(ISNUMBER(Tracker!$AB$3:$AB$70))*(N(Tracker!$AB$3:$AB$70)&lt;=N(Tracker!$AA$3:$AA$70)))+SUMPRODUCT((Tracker!$A$3:$A$70&lt;&gt;"")*(ISNUMBER(Tracker!$AG$3:$AG$70))*(ISNUMBER(Tracker!$AH$3:$AH$70))*(N(Tracker!$AH$3:$AH$70)&lt;=N(Tracker!$AG$3:$AG$70)))+SUMPRODUCT((Tracker!$A$3:$A$70&lt;&gt;"")*(ISNUMBER(Tracker!$AJ$3:$AJ$70))*(ISNUMBER(Tracker!$AK$3:$AK$70))*(N(Tracker!$AK$3:$AK$70)&lt;=N(Tracker!$AJ$3:$AJ$70)))+SUMPRODUCT((Tracker!$A$3:$A$70&lt;&gt;"")*(ISNUMBER(Tracker!$AM$3:$AM$70))*(ISNUMBER(Tracker!$AN$3:$AN$70))*(N(Tracker!$AN$3:$AN$70)&lt;=N(Tracker!$AM$3:$AM$70)))+SUMPRODUCT((Tracker!$A$3:$A$70&lt;&gt;"")*(ISNUMBER(Tracker!$AQ$3:$AQ$70))*(ISNUMBER(Tracker!$AR$3:$AR$70))*(N(Tracker!$AR$3:$AR$70)&lt;=N(Tracker!$AQ$3:$AQ$70)))+SUMPRODUCT((Tracker!$A$3:$A$70&lt;&gt;"")*(ISNUMBER(Tracker!$AW$3:$AW$70))*(ISNUMBER(Tracker!$AX$3:$AX$70))*(N(Tracker!$AX$3:$AX$70)&lt;=N(Tracker!$AW$3:$AW$70)))+SUMPRODUCT((Tracker!$A$3:$A$70&lt;&gt;"")*(ISNUMBER(Tracker!$AZ$3:$AZ$70))*(ISNUMBER(Tracker!$BA$3:$BA$70))*(N(Tracker!$BA$3:$BA$70)&lt;=N(Tracker!$AZ$3:$AZ$70)))+SUMPRODUCT((Tracker!$A$3:$A$70&lt;&gt;"")*(ISNUMBER(Tracker!$BC$3:$BC$70))*(ISNUMBER(Tracker!$BD$3:$BD$70))*(N(Tracker!$BD$3:$BD$70)&lt;=N(Tracker!$BC$3:$BC$70)))+SUMPRODUCT((Tracker!$A$3:$A$70&lt;&gt;"")*(ISNUMBER(Tracker!$BG$3:$BG$70))*(ISNUMBER(Tracker!$BH$3:$BH$70))*(N(Tracker!$BH$3:$BH$70)&lt;=N(Tracker!$BG$3:$BG$70)))</f>
        <v/>
      </c>
      <c r="R5" s="85" t="n"/>
    </row>
    <row r="6" ht="32" customHeight="1" s="39">
      <c r="B6" s="74" t="inlineStr">
        <is>
          <t>Apps with a name filled</t>
        </is>
      </c>
      <c r="C6" s="75" t="n"/>
      <c r="D6" s="61" t="inlineStr">
        <is>
          <t>Date in the past and status not Completed</t>
        </is>
      </c>
      <c r="E6" s="62" t="n"/>
      <c r="F6" s="57" t="inlineStr">
        <is>
          <t>Requests marked Blocked</t>
        </is>
      </c>
      <c r="G6" s="47" t="n"/>
      <c r="I6" s="49" t="inlineStr">
        <is>
          <t>Raise-by in the next week, not Completed</t>
        </is>
      </c>
      <c r="J6" s="50" t="n"/>
      <c r="K6" s="79" t="inlineStr">
        <is>
          <t>Tickets marked In Progress</t>
        </is>
      </c>
      <c r="L6" s="56" t="n"/>
      <c r="M6" s="69" t="inlineStr">
        <is>
          <t>Every dated request Completed</t>
        </is>
      </c>
      <c r="N6" s="59" t="n"/>
      <c r="O6" s="52" t="inlineStr">
        <is>
          <t>Days past raise-by among open requests. Increases daily until Completed.</t>
        </is>
      </c>
      <c r="P6" s="85" t="n"/>
      <c r="Q6" s="52" t="inlineStr">
        <is>
          <t>Requests with Raised On filled on or before the raise-by date.</t>
        </is>
      </c>
      <c r="R6" s="85" t="n"/>
    </row>
    <row r="8" ht="17" customHeight="1" s="39">
      <c r="B8" s="54" t="inlineStr">
        <is>
          <t>Apps overdue - worst first (days overdue keeps increasing until Completed)</t>
        </is>
      </c>
      <c r="I8" s="51" t="inlineStr">
        <is>
          <t>Where work is stuck - by request type</t>
        </is>
      </c>
    </row>
    <row r="9" ht="28" customHeight="1" s="39">
      <c r="B9" s="3" t="inlineStr">
        <is>
          <t>Application</t>
        </is>
      </c>
      <c r="C9" s="3" t="inlineStr">
        <is>
          <t>Sprint</t>
        </is>
      </c>
      <c r="D9" s="3" t="inlineStr">
        <is>
          <t>Overall Status</t>
        </is>
      </c>
      <c r="E9" s="3" t="inlineStr">
        <is>
          <t>Next Action</t>
        </is>
      </c>
      <c r="F9" s="3" t="inlineStr">
        <is>
          <t>Next Action Date</t>
        </is>
      </c>
      <c r="G9" s="3" t="inlineStr">
        <is>
          <t>Days overdue</t>
        </is>
      </c>
      <c r="I9" s="4" t="inlineStr">
        <is>
          <t>Request type</t>
        </is>
      </c>
      <c r="J9" s="4" t="inlineStr">
        <is>
          <t>Overdue</t>
        </is>
      </c>
      <c r="K9" s="4" t="inlineStr">
        <is>
          <t>Due in 7 days</t>
        </is>
      </c>
      <c r="L9" s="4" t="inlineStr">
        <is>
          <t>Blocked</t>
        </is>
      </c>
      <c r="M9" s="4" t="inlineStr">
        <is>
          <t>In Progress</t>
        </is>
      </c>
      <c r="N9" s="4" t="inlineStr">
        <is>
          <t>Pending</t>
        </is>
      </c>
      <c r="O9" s="4" t="inlineStr">
        <is>
          <t>Completed</t>
        </is>
      </c>
      <c r="P9" s="4" t="inlineStr">
        <is>
          <t>Overdue bar</t>
        </is>
      </c>
    </row>
    <row r="10" ht="18" customHeight="1" s="39">
      <c r="B10" s="5">
        <f>IFERROR(INDEX(Tracker!$A$3:$A$70,MATCH(_xludf.AGGREGATE(15,6,Tracker!$CK$3:$CK$70,1),Tracker!$CK$3:$CK$70,0)),"")</f>
        <v/>
      </c>
      <c r="C10" s="5">
        <f>IF(B10="","",IFERROR(INDEX(Tracker!$C$3:$C$70,MATCH(_xludf.AGGREGATE(15,6,Tracker!$CK$3:$CK$70,1),Tracker!$CK$3:$CK$70,0)),""))</f>
        <v/>
      </c>
      <c r="D10" s="5">
        <f>IF(B10="","",IFERROR(INDEX(Tracker!$D$3:$D$70,MATCH(_xludf.AGGREGATE(15,6,Tracker!$CK$3:$CK$70,1),Tracker!$CK$3:$CK$70,0)),""))</f>
        <v/>
      </c>
      <c r="E10" s="5">
        <f>IF(B10="","",IFERROR(INDEX(Tracker!$E$3:$E$70,MATCH(_xludf.AGGREGATE(15,6,Tracker!$CK$3:$CK$70,1),Tracker!$CK$3:$CK$70,0)),""))</f>
        <v/>
      </c>
      <c r="F10" s="6">
        <f>IF(B10="","",IFERROR(INDEX(Tracker!$F$3:$F$70,MATCH(_xludf.AGGREGATE(15,6,Tracker!$CK$3:$CK$70,1),Tracker!$CK$3:$CK$70,0)),""))</f>
        <v/>
      </c>
      <c r="G10" s="7">
        <f>IF(B10="","",IFERROR(INDEX(Tracker!$G$3:$G$70,MATCH(_xludf.AGGREGATE(15,6,Tracker!$CK$3:$CK$70,1),Tracker!$CK$3:$CK$70,0)),""))</f>
        <v/>
      </c>
      <c r="I10" s="8" t="inlineStr">
        <is>
          <t>Dev R-Task</t>
        </is>
      </c>
      <c r="J10" s="9">
        <f>SUMPRODUCT((Tracker!$A$3:$A$70&lt;&gt;"")*(Tracker!$S$3:$S$70&lt;&gt;"Completed")*(ISNUMBER(Tracker!$Q$3:$Q$70))*(N(Tracker!$Q$3:$Q$70)&lt;TODAY()))</f>
        <v/>
      </c>
      <c r="K10" s="9">
        <f>SUMPRODUCT((Tracker!$A$3:$A$70&lt;&gt;"")*(Tracker!$S$3:$S$70&lt;&gt;"Completed")*(ISNUMBER(Tracker!$Q$3:$Q$70))*(N(Tracker!$Q$3:$Q$70)&gt;=TODAY())*(N(Tracker!$Q$3:$Q$70)&lt;=TODAY()+7))</f>
        <v/>
      </c>
      <c r="L10" s="9">
        <f>SUMPRODUCT((Tracker!$A$3:$A$70&lt;&gt;"")*(ISNUMBER(Tracker!$Q$3:$Q$70))*(Tracker!$S$3:$S$70="Blocked"))</f>
        <v/>
      </c>
      <c r="M10" s="9">
        <f>SUMPRODUCT((Tracker!$A$3:$A$70&lt;&gt;"")*(ISNUMBER(Tracker!$Q$3:$Q$70))*(Tracker!$S$3:$S$70="In Progress"))</f>
        <v/>
      </c>
      <c r="N10" s="9">
        <f>SUMPRODUCT((Tracker!$A$3:$A$70&lt;&gt;"")*(ISNUMBER(Tracker!$M$3:$M$70))*(Tracker!$N$3:$N$70&lt;&gt;"Completed")*(Tracker!$N$3:$N$70&lt;&gt;"Blocked")*(Tracker!$N$3:$N$70&lt;&gt;"In Progress"))</f>
        <v/>
      </c>
      <c r="O10" s="9">
        <f>SUMPRODUCT((Tracker!$A$3:$A$70&lt;&gt;"")*(ISNUMBER(Tracker!$M$3:$M$70))*(Tracker!$N$3:$N$70="Completed"))</f>
        <v/>
      </c>
      <c r="P10" s="10">
        <f>IF(N(J10)&lt;=0,"",REPT("|",MIN(N(J10),25)))</f>
        <v/>
      </c>
    </row>
    <row r="11" ht="18" customHeight="1" s="39">
      <c r="B11" s="11">
        <f>IFERROR(INDEX(Tracker!$A$3:$A$70,MATCH(_xludf.AGGREGATE(15,6,Tracker!$CK$3:$CK$70,2),Tracker!$CK$3:$CK$70,0)),"")</f>
        <v/>
      </c>
      <c r="C11" s="11">
        <f>IF(B11="","",IFERROR(INDEX(Tracker!$C$3:$C$70,MATCH(_xludf.AGGREGATE(15,6,Tracker!$CK$3:$CK$70,2),Tracker!$CK$3:$CK$70,0)),""))</f>
        <v/>
      </c>
      <c r="D11" s="11">
        <f>IF(B11="","",IFERROR(INDEX(Tracker!$D$3:$D$70,MATCH(_xludf.AGGREGATE(15,6,Tracker!$CK$3:$CK$70,2),Tracker!$CK$3:$CK$70,0)),""))</f>
        <v/>
      </c>
      <c r="E11" s="11">
        <f>IF(B11="","",IFERROR(INDEX(Tracker!$E$3:$E$70,MATCH(_xludf.AGGREGATE(15,6,Tracker!$CK$3:$CK$70,2),Tracker!$CK$3:$CK$70,0)),""))</f>
        <v/>
      </c>
      <c r="F11" s="12">
        <f>IF(B11="","",IFERROR(INDEX(Tracker!$F$3:$F$70,MATCH(_xludf.AGGREGATE(15,6,Tracker!$CK$3:$CK$70,2),Tracker!$CK$3:$CK$70,0)),""))</f>
        <v/>
      </c>
      <c r="G11" s="13">
        <f>IF(B11="","",IFERROR(INDEX(Tracker!$G$3:$G$70,MATCH(_xludf.AGGREGATE(15,6,Tracker!$CK$3:$CK$70,2),Tracker!$CK$3:$CK$70,0)),""))</f>
        <v/>
      </c>
      <c r="I11" s="14" t="inlineStr">
        <is>
          <t>Dev OUR</t>
        </is>
      </c>
      <c r="J11" s="15">
        <f>SUMPRODUCT((Tracker!$A$3:$A$70&lt;&gt;"")*(Tracker!$V$3:$V$70&lt;&gt;"Completed")*(ISNUMBER(Tracker!$T$3:$T$70))*(N(Tracker!$T$3:$T$70)&lt;TODAY()))</f>
        <v/>
      </c>
      <c r="K11" s="15">
        <f>SUMPRODUCT((Tracker!$A$3:$A$70&lt;&gt;"")*(Tracker!$V$3:$V$70&lt;&gt;"Completed")*(ISNUMBER(Tracker!$T$3:$T$70))*(N(Tracker!$T$3:$T$70)&gt;=TODAY())*(N(Tracker!$T$3:$T$70)&lt;=TODAY()+7))</f>
        <v/>
      </c>
      <c r="L11" s="15">
        <f>SUMPRODUCT((Tracker!$A$3:$A$70&lt;&gt;"")*(ISNUMBER(Tracker!$T$3:$T$70))*(Tracker!$V$3:$V$70="Blocked"))</f>
        <v/>
      </c>
      <c r="M11" s="15">
        <f>SUMPRODUCT((Tracker!$A$3:$A$70&lt;&gt;"")*(ISNUMBER(Tracker!$T$3:$T$70))*(Tracker!$V$3:$V$70="In Progress"))</f>
        <v/>
      </c>
      <c r="N11" s="15">
        <f>SUMPRODUCT((Tracker!$A$3:$A$70&lt;&gt;"")*(ISNUMBER(Tracker!$O$3:$O$70))*(Tracker!$P$3:$P$70&lt;&gt;"Completed")*(Tracker!$P$3:$P$70&lt;&gt;"Blocked")*(Tracker!$P$3:$P$70&lt;&gt;"In Progress"))</f>
        <v/>
      </c>
      <c r="O11" s="15">
        <f>SUMPRODUCT((Tracker!$A$3:$A$70&lt;&gt;"")*(ISNUMBER(Tracker!$O$3:$O$70))*(Tracker!$P$3:$P$70="Completed"))</f>
        <v/>
      </c>
      <c r="P11" s="16">
        <f>IF(N(J11)&lt;=0,"",REPT("|",MIN(N(J11),25)))</f>
        <v/>
      </c>
    </row>
    <row r="12" ht="18" customHeight="1" s="39">
      <c r="B12" s="5">
        <f>IFERROR(INDEX(Tracker!$A$3:$A$70,MATCH(_xludf.AGGREGATE(15,6,Tracker!$CK$3:$CK$70,3),Tracker!$CK$3:$CK$70,0)),"")</f>
        <v/>
      </c>
      <c r="C12" s="5">
        <f>IF(B12="","",IFERROR(INDEX(Tracker!$C$3:$C$70,MATCH(_xludf.AGGREGATE(15,6,Tracker!$CK$3:$CK$70,3),Tracker!$CK$3:$CK$70,0)),""))</f>
        <v/>
      </c>
      <c r="D12" s="5">
        <f>IF(B12="","",IFERROR(INDEX(Tracker!$D$3:$D$70,MATCH(_xludf.AGGREGATE(15,6,Tracker!$CK$3:$CK$70,3),Tracker!$CK$3:$CK$70,0)),""))</f>
        <v/>
      </c>
      <c r="E12" s="5">
        <f>IF(B12="","",IFERROR(INDEX(Tracker!$E$3:$E$70,MATCH(_xludf.AGGREGATE(15,6,Tracker!$CK$3:$CK$70,3),Tracker!$CK$3:$CK$70,0)),""))</f>
        <v/>
      </c>
      <c r="F12" s="6">
        <f>IF(B12="","",IFERROR(INDEX(Tracker!$F$3:$F$70,MATCH(_xludf.AGGREGATE(15,6,Tracker!$CK$3:$CK$70,3),Tracker!$CK$3:$CK$70,0)),""))</f>
        <v/>
      </c>
      <c r="G12" s="7">
        <f>IF(B12="","",IFERROR(INDEX(Tracker!$G$3:$G$70,MATCH(_xludf.AGGREGATE(15,6,Tracker!$CK$3:$CK$70,3),Tracker!$CK$3:$CK$70,0)),""))</f>
        <v/>
      </c>
      <c r="I12" s="8" t="inlineStr">
        <is>
          <t>Dev Service Request</t>
        </is>
      </c>
      <c r="J12" s="9">
        <f>SUMPRODUCT((Tracker!$A$3:$A$70&lt;&gt;"")*(Tracker!$Y$3:$Y$70&lt;&gt;"Completed")*(ISNUMBER(Tracker!$W$3:$W$70))*(N(Tracker!$W$3:$W$70)&lt;TODAY()))</f>
        <v/>
      </c>
      <c r="K12" s="9">
        <f>SUMPRODUCT((Tracker!$A$3:$A$70&lt;&gt;"")*(Tracker!$Y$3:$Y$70&lt;&gt;"Completed")*(ISNUMBER(Tracker!$W$3:$W$70))*(N(Tracker!$W$3:$W$70)&gt;=TODAY())*(N(Tracker!$W$3:$W$70)&lt;=TODAY()+7))</f>
        <v/>
      </c>
      <c r="L12" s="9">
        <f>SUMPRODUCT((Tracker!$A$3:$A$70&lt;&gt;"")*(ISNUMBER(Tracker!$W$3:$W$70))*(Tracker!$Y$3:$Y$70="Blocked"))</f>
        <v/>
      </c>
      <c r="M12" s="9">
        <f>SUMPRODUCT((Tracker!$A$3:$A$70&lt;&gt;"")*(ISNUMBER(Tracker!$W$3:$W$70))*(Tracker!$Y$3:$Y$70="In Progress"))</f>
        <v/>
      </c>
      <c r="N12" s="9">
        <f>SUMPRODUCT((Tracker!$A$3:$A$70&lt;&gt;"")*(ISNUMBER(Tracker!$Q$3:$Q$70))*(Tracker!$R$3:$R$70&lt;&gt;"Completed")*(Tracker!$R$3:$R$70&lt;&gt;"Blocked")*(Tracker!$R$3:$R$70&lt;&gt;"In Progress"))</f>
        <v/>
      </c>
      <c r="O12" s="9">
        <f>SUMPRODUCT((Tracker!$A$3:$A$70&lt;&gt;"")*(ISNUMBER(Tracker!$Q$3:$Q$70))*(Tracker!$R$3:$R$70="Completed"))</f>
        <v/>
      </c>
      <c r="P12" s="10">
        <f>IF(N(J12)&lt;=0,"",REPT("|",MIN(N(J12),25)))</f>
        <v/>
      </c>
    </row>
    <row r="13" ht="18" customHeight="1" s="39">
      <c r="B13" s="11">
        <f>IFERROR(INDEX(Tracker!$A$3:$A$70,MATCH(_xludf.AGGREGATE(15,6,Tracker!$CK$3:$CK$70,4),Tracker!$CK$3:$CK$70,0)),"")</f>
        <v/>
      </c>
      <c r="C13" s="11">
        <f>IF(B13="","",IFERROR(INDEX(Tracker!$C$3:$C$70,MATCH(_xludf.AGGREGATE(15,6,Tracker!$CK$3:$CK$70,4),Tracker!$CK$3:$CK$70,0)),""))</f>
        <v/>
      </c>
      <c r="D13" s="11">
        <f>IF(B13="","",IFERROR(INDEX(Tracker!$D$3:$D$70,MATCH(_xludf.AGGREGATE(15,6,Tracker!$CK$3:$CK$70,4),Tracker!$CK$3:$CK$70,0)),""))</f>
        <v/>
      </c>
      <c r="E13" s="11">
        <f>IF(B13="","",IFERROR(INDEX(Tracker!$E$3:$E$70,MATCH(_xludf.AGGREGATE(15,6,Tracker!$CK$3:$CK$70,4),Tracker!$CK$3:$CK$70,0)),""))</f>
        <v/>
      </c>
      <c r="F13" s="12">
        <f>IF(B13="","",IFERROR(INDEX(Tracker!$F$3:$F$70,MATCH(_xludf.AGGREGATE(15,6,Tracker!$CK$3:$CK$70,4),Tracker!$CK$3:$CK$70,0)),""))</f>
        <v/>
      </c>
      <c r="G13" s="13">
        <f>IF(B13="","",IFERROR(INDEX(Tracker!$G$3:$G$70,MATCH(_xludf.AGGREGATE(15,6,Tracker!$CK$3:$CK$70,4),Tracker!$CK$3:$CK$70,0)),""))</f>
        <v/>
      </c>
      <c r="I13" s="14" t="inlineStr">
        <is>
          <t>QA R-Task</t>
        </is>
      </c>
      <c r="J13" s="15">
        <f>SUMPRODUCT((Tracker!$A$3:$A$70&lt;&gt;"")*(Tracker!$AI$3:$AI$70&lt;&gt;"Completed")*(ISNUMBER(Tracker!$AG$3:$AG$70))*(N(Tracker!$AG$3:$AG$70)&lt;TODAY()))</f>
        <v/>
      </c>
      <c r="K13" s="15">
        <f>SUMPRODUCT((Tracker!$A$3:$A$70&lt;&gt;"")*(Tracker!$AI$3:$AI$70&lt;&gt;"Completed")*(ISNUMBER(Tracker!$AG$3:$AG$70))*(N(Tracker!$AG$3:$AG$70)&gt;=TODAY())*(N(Tracker!$AG$3:$AG$70)&lt;=TODAY()+7))</f>
        <v/>
      </c>
      <c r="L13" s="15">
        <f>SUMPRODUCT((Tracker!$A$3:$A$70&lt;&gt;"")*(ISNUMBER(Tracker!$AG$3:$AG$70))*(Tracker!$AI$3:$AI$70="Blocked"))</f>
        <v/>
      </c>
      <c r="M13" s="15">
        <f>SUMPRODUCT((Tracker!$A$3:$A$70&lt;&gt;"")*(ISNUMBER(Tracker!$AG$3:$AG$70))*(Tracker!$AI$3:$AI$70="In Progress"))</f>
        <v/>
      </c>
      <c r="N13" s="15">
        <f>SUMPRODUCT((Tracker!$A$3:$A$70&lt;&gt;"")*(ISNUMBER(Tracker!$S$3:$S$70))*(Tracker!$T$3:$T$70&lt;&gt;"Completed")*(Tracker!$T$3:$T$70&lt;&gt;"Blocked")*(Tracker!$T$3:$T$70&lt;&gt;"In Progress"))</f>
        <v/>
      </c>
      <c r="O13" s="15">
        <f>SUMPRODUCT((Tracker!$A$3:$A$70&lt;&gt;"")*(ISNUMBER(Tracker!$S$3:$S$70))*(Tracker!$T$3:$T$70="Completed"))</f>
        <v/>
      </c>
      <c r="P13" s="16">
        <f>IF(N(J13)&lt;=0,"",REPT("|",MIN(N(J13),25)))</f>
        <v/>
      </c>
    </row>
    <row r="14" ht="18" customHeight="1" s="39">
      <c r="B14" s="5">
        <f>IFERROR(INDEX(Tracker!$A$3:$A$70,MATCH(_xludf.AGGREGATE(15,6,Tracker!$CK$3:$CK$70,5),Tracker!$CK$3:$CK$70,0)),"")</f>
        <v/>
      </c>
      <c r="C14" s="5">
        <f>IF(B14="","",IFERROR(INDEX(Tracker!$C$3:$C$70,MATCH(_xludf.AGGREGATE(15,6,Tracker!$CK$3:$CK$70,5),Tracker!$CK$3:$CK$70,0)),""))</f>
        <v/>
      </c>
      <c r="D14" s="5">
        <f>IF(B14="","",IFERROR(INDEX(Tracker!$D$3:$D$70,MATCH(_xludf.AGGREGATE(15,6,Tracker!$CK$3:$CK$70,5),Tracker!$CK$3:$CK$70,0)),""))</f>
        <v/>
      </c>
      <c r="E14" s="5">
        <f>IF(B14="","",IFERROR(INDEX(Tracker!$E$3:$E$70,MATCH(_xludf.AGGREGATE(15,6,Tracker!$CK$3:$CK$70,5),Tracker!$CK$3:$CK$70,0)),""))</f>
        <v/>
      </c>
      <c r="F14" s="6">
        <f>IF(B14="","",IFERROR(INDEX(Tracker!$F$3:$F$70,MATCH(_xludf.AGGREGATE(15,6,Tracker!$CK$3:$CK$70,5),Tracker!$CK$3:$CK$70,0)),""))</f>
        <v/>
      </c>
      <c r="G14" s="7">
        <f>IF(B14="","",IFERROR(INDEX(Tracker!$G$3:$G$70,MATCH(_xludf.AGGREGATE(15,6,Tracker!$CK$3:$CK$70,5),Tracker!$CK$3:$CK$70,0)),""))</f>
        <v/>
      </c>
      <c r="I14" s="8" t="inlineStr">
        <is>
          <t>QA OUR</t>
        </is>
      </c>
      <c r="J14" s="9">
        <f>SUMPRODUCT((Tracker!$A$3:$A$70&lt;&gt;"")*(Tracker!$AL$3:$AL$70&lt;&gt;"Completed")*(ISNUMBER(Tracker!$AJ$3:$AJ$70))*(N(Tracker!$AJ$3:$AJ$70)&lt;TODAY()))</f>
        <v/>
      </c>
      <c r="K14" s="9">
        <f>SUMPRODUCT((Tracker!$A$3:$A$70&lt;&gt;"")*(Tracker!$AL$3:$AL$70&lt;&gt;"Completed")*(ISNUMBER(Tracker!$AJ$3:$AJ$70))*(N(Tracker!$AJ$3:$AJ$70)&gt;=TODAY())*(N(Tracker!$AJ$3:$AJ$70)&lt;=TODAY()+7))</f>
        <v/>
      </c>
      <c r="L14" s="9">
        <f>SUMPRODUCT((Tracker!$A$3:$A$70&lt;&gt;"")*(ISNUMBER(Tracker!$AJ$3:$AJ$70))*(Tracker!$AL$3:$AL$70="Blocked"))</f>
        <v/>
      </c>
      <c r="M14" s="9">
        <f>SUMPRODUCT((Tracker!$A$3:$A$70&lt;&gt;"")*(ISNUMBER(Tracker!$AJ$3:$AJ$70))*(Tracker!$AL$3:$AL$70="In Progress"))</f>
        <v/>
      </c>
      <c r="N14" s="9">
        <f>SUMPRODUCT((Tracker!$A$3:$A$70&lt;&gt;"")*(ISNUMBER(Tracker!$U$3:$U$70))*(Tracker!$V$3:$V$70&lt;&gt;"Completed")*(Tracker!$V$3:$V$70&lt;&gt;"Blocked")*(Tracker!$V$3:$V$70&lt;&gt;"In Progress"))</f>
        <v/>
      </c>
      <c r="O14" s="9">
        <f>SUMPRODUCT((Tracker!$A$3:$A$70&lt;&gt;"")*(ISNUMBER(Tracker!$U$3:$U$70))*(Tracker!$V$3:$V$70="Completed"))</f>
        <v/>
      </c>
      <c r="P14" s="10">
        <f>IF(N(J14)&lt;=0,"",REPT("|",MIN(N(J14),25)))</f>
        <v/>
      </c>
    </row>
    <row r="15" ht="18" customHeight="1" s="39">
      <c r="B15" s="11">
        <f>IFERROR(INDEX(Tracker!$A$3:$A$70,MATCH(_xludf.AGGREGATE(15,6,Tracker!$CK$3:$CK$70,6),Tracker!$CK$3:$CK$70,0)),"")</f>
        <v/>
      </c>
      <c r="C15" s="11">
        <f>IF(B15="","",IFERROR(INDEX(Tracker!$C$3:$C$70,MATCH(_xludf.AGGREGATE(15,6,Tracker!$CK$3:$CK$70,6),Tracker!$CK$3:$CK$70,0)),""))</f>
        <v/>
      </c>
      <c r="D15" s="11">
        <f>IF(B15="","",IFERROR(INDEX(Tracker!$D$3:$D$70,MATCH(_xludf.AGGREGATE(15,6,Tracker!$CK$3:$CK$70,6),Tracker!$CK$3:$CK$70,0)),""))</f>
        <v/>
      </c>
      <c r="E15" s="11">
        <f>IF(B15="","",IFERROR(INDEX(Tracker!$E$3:$E$70,MATCH(_xludf.AGGREGATE(15,6,Tracker!$CK$3:$CK$70,6),Tracker!$CK$3:$CK$70,0)),""))</f>
        <v/>
      </c>
      <c r="F15" s="12">
        <f>IF(B15="","",IFERROR(INDEX(Tracker!$F$3:$F$70,MATCH(_xludf.AGGREGATE(15,6,Tracker!$CK$3:$CK$70,6),Tracker!$CK$3:$CK$70,0)),""))</f>
        <v/>
      </c>
      <c r="G15" s="13">
        <f>IF(B15="","",IFERROR(INDEX(Tracker!$G$3:$G$70,MATCH(_xludf.AGGREGATE(15,6,Tracker!$CK$3:$CK$70,6),Tracker!$CK$3:$CK$70,0)),""))</f>
        <v/>
      </c>
      <c r="I15" s="14" t="inlineStr">
        <is>
          <t>QA Service Request</t>
        </is>
      </c>
      <c r="J15" s="15">
        <f>SUMPRODUCT((Tracker!$A$3:$A$70&lt;&gt;"")*(Tracker!$AO$3:$AO$70&lt;&gt;"Completed")*(ISNUMBER(Tracker!$AM$3:$AM$70))*(N(Tracker!$AM$3:$AM$70)&lt;TODAY()))</f>
        <v/>
      </c>
      <c r="K15" s="15">
        <f>SUMPRODUCT((Tracker!$A$3:$A$70&lt;&gt;"")*(Tracker!$AO$3:$AO$70&lt;&gt;"Completed")*(ISNUMBER(Tracker!$AM$3:$AM$70))*(N(Tracker!$AM$3:$AM$70)&gt;=TODAY())*(N(Tracker!$AM$3:$AM$70)&lt;=TODAY()+7))</f>
        <v/>
      </c>
      <c r="L15" s="15">
        <f>SUMPRODUCT((Tracker!$A$3:$A$70&lt;&gt;"")*(ISNUMBER(Tracker!$AM$3:$AM$70))*(Tracker!$AO$3:$AO$70="Blocked"))</f>
        <v/>
      </c>
      <c r="M15" s="15">
        <f>SUMPRODUCT((Tracker!$A$3:$A$70&lt;&gt;"")*(ISNUMBER(Tracker!$AM$3:$AM$70))*(Tracker!$AO$3:$AO$70="In Progress"))</f>
        <v/>
      </c>
      <c r="N15" s="15">
        <f>SUMPRODUCT((Tracker!$A$3:$A$70&lt;&gt;"")*(ISNUMBER(Tracker!$W$3:$W$70))*(Tracker!$X$3:$X$70&lt;&gt;"Completed")*(Tracker!$X$3:$X$70&lt;&gt;"Blocked")*(Tracker!$X$3:$X$70&lt;&gt;"In Progress"))</f>
        <v/>
      </c>
      <c r="O15" s="15">
        <f>SUMPRODUCT((Tracker!$A$3:$A$70&lt;&gt;"")*(ISNUMBER(Tracker!$W$3:$W$70))*(Tracker!$X$3:$X$70="Completed"))</f>
        <v/>
      </c>
      <c r="P15" s="16">
        <f>IF(N(J15)&lt;=0,"",REPT("|",MIN(N(J15),25)))</f>
        <v/>
      </c>
    </row>
    <row r="16" ht="18" customHeight="1" s="39">
      <c r="B16" s="5">
        <f>IFERROR(INDEX(Tracker!$A$3:$A$70,MATCH(_xludf.AGGREGATE(15,6,Tracker!$CK$3:$CK$70,7),Tracker!$CK$3:$CK$70,0)),"")</f>
        <v/>
      </c>
      <c r="C16" s="5">
        <f>IF(B16="","",IFERROR(INDEX(Tracker!$C$3:$C$70,MATCH(_xludf.AGGREGATE(15,6,Tracker!$CK$3:$CK$70,7),Tracker!$CK$3:$CK$70,0)),""))</f>
        <v/>
      </c>
      <c r="D16" s="5">
        <f>IF(B16="","",IFERROR(INDEX(Tracker!$D$3:$D$70,MATCH(_xludf.AGGREGATE(15,6,Tracker!$CK$3:$CK$70,7),Tracker!$CK$3:$CK$70,0)),""))</f>
        <v/>
      </c>
      <c r="E16" s="5">
        <f>IF(B16="","",IFERROR(INDEX(Tracker!$E$3:$E$70,MATCH(_xludf.AGGREGATE(15,6,Tracker!$CK$3:$CK$70,7),Tracker!$CK$3:$CK$70,0)),""))</f>
        <v/>
      </c>
      <c r="F16" s="6">
        <f>IF(B16="","",IFERROR(INDEX(Tracker!$F$3:$F$70,MATCH(_xludf.AGGREGATE(15,6,Tracker!$CK$3:$CK$70,7),Tracker!$CK$3:$CK$70,0)),""))</f>
        <v/>
      </c>
      <c r="G16" s="7">
        <f>IF(B16="","",IFERROR(INDEX(Tracker!$G$3:$G$70,MATCH(_xludf.AGGREGATE(15,6,Tracker!$CK$3:$CK$70,7),Tracker!$CK$3:$CK$70,0)),""))</f>
        <v/>
      </c>
      <c r="I16" s="8" t="inlineStr">
        <is>
          <t>Prod R-Task</t>
        </is>
      </c>
      <c r="J16" s="9">
        <f>SUMPRODUCT((Tracker!$A$3:$A$70&lt;&gt;"")*(Tracker!$AY$3:$AY$70&lt;&gt;"Completed")*(ISNUMBER(Tracker!$AW$3:$AW$70))*(N(Tracker!$AW$3:$AW$70)&lt;TODAY()))</f>
        <v/>
      </c>
      <c r="K16" s="9">
        <f>SUMPRODUCT((Tracker!$A$3:$A$70&lt;&gt;"")*(Tracker!$AY$3:$AY$70&lt;&gt;"Completed")*(ISNUMBER(Tracker!$AW$3:$AW$70))*(N(Tracker!$AW$3:$AW$70)&gt;=TODAY())*(N(Tracker!$AW$3:$AW$70)&lt;=TODAY()+7))</f>
        <v/>
      </c>
      <c r="L16" s="9">
        <f>SUMPRODUCT((Tracker!$A$3:$A$70&lt;&gt;"")*(ISNUMBER(Tracker!$AW$3:$AW$70))*(Tracker!$AY$3:$AY$70="Blocked"))</f>
        <v/>
      </c>
      <c r="M16" s="9">
        <f>SUMPRODUCT((Tracker!$A$3:$A$70&lt;&gt;"")*(ISNUMBER(Tracker!$AW$3:$AW$70))*(Tracker!$AY$3:$AY$70="In Progress"))</f>
        <v/>
      </c>
      <c r="N16" s="9">
        <f>SUMPRODUCT((Tracker!$A$3:$A$70&lt;&gt;"")*(ISNUMBER(Tracker!$Y$3:$Y$70))*(Tracker!$Z$3:$Z$70&lt;&gt;"Completed")*(Tracker!$Z$3:$Z$70&lt;&gt;"Blocked")*(Tracker!$Z$3:$Z$70&lt;&gt;"In Progress"))</f>
        <v/>
      </c>
      <c r="O16" s="9">
        <f>SUMPRODUCT((Tracker!$A$3:$A$70&lt;&gt;"")*(ISNUMBER(Tracker!$Y$3:$Y$70))*(Tracker!$Z$3:$Z$70="Completed"))</f>
        <v/>
      </c>
      <c r="P16" s="10">
        <f>IF(N(J16)&lt;=0,"",REPT("|",MIN(N(J16),25)))</f>
        <v/>
      </c>
    </row>
    <row r="17" ht="18" customHeight="1" s="39">
      <c r="B17" s="11">
        <f>IFERROR(INDEX(Tracker!$A$3:$A$70,MATCH(_xludf.AGGREGATE(15,6,Tracker!$CK$3:$CK$70,8),Tracker!$CK$3:$CK$70,0)),"")</f>
        <v/>
      </c>
      <c r="C17" s="11">
        <f>IF(B17="","",IFERROR(INDEX(Tracker!$C$3:$C$70,MATCH(_xludf.AGGREGATE(15,6,Tracker!$CK$3:$CK$70,8),Tracker!$CK$3:$CK$70,0)),""))</f>
        <v/>
      </c>
      <c r="D17" s="11">
        <f>IF(B17="","",IFERROR(INDEX(Tracker!$D$3:$D$70,MATCH(_xludf.AGGREGATE(15,6,Tracker!$CK$3:$CK$70,8),Tracker!$CK$3:$CK$70,0)),""))</f>
        <v/>
      </c>
      <c r="E17" s="11">
        <f>IF(B17="","",IFERROR(INDEX(Tracker!$E$3:$E$70,MATCH(_xludf.AGGREGATE(15,6,Tracker!$CK$3:$CK$70,8),Tracker!$CK$3:$CK$70,0)),""))</f>
        <v/>
      </c>
      <c r="F17" s="12">
        <f>IF(B17="","",IFERROR(INDEX(Tracker!$F$3:$F$70,MATCH(_xludf.AGGREGATE(15,6,Tracker!$CK$3:$CK$70,8),Tracker!$CK$3:$CK$70,0)),""))</f>
        <v/>
      </c>
      <c r="G17" s="13">
        <f>IF(B17="","",IFERROR(INDEX(Tracker!$G$3:$G$70,MATCH(_xludf.AGGREGATE(15,6,Tracker!$CK$3:$CK$70,8),Tracker!$CK$3:$CK$70,0)),""))</f>
        <v/>
      </c>
      <c r="I17" s="14" t="inlineStr">
        <is>
          <t>Prod OUR</t>
        </is>
      </c>
      <c r="J17" s="15">
        <f>SUMPRODUCT((Tracker!$A$3:$A$70&lt;&gt;"")*(Tracker!$BB$3:$BB$70&lt;&gt;"Completed")*(ISNUMBER(Tracker!$AZ$3:$AZ$70))*(N(Tracker!$AZ$3:$AZ$70)&lt;TODAY()))</f>
        <v/>
      </c>
      <c r="K17" s="15">
        <f>SUMPRODUCT((Tracker!$A$3:$A$70&lt;&gt;"")*(Tracker!$BB$3:$BB$70&lt;&gt;"Completed")*(ISNUMBER(Tracker!$AZ$3:$AZ$70))*(N(Tracker!$AZ$3:$AZ$70)&gt;=TODAY())*(N(Tracker!$AZ$3:$AZ$70)&lt;=TODAY()+7))</f>
        <v/>
      </c>
      <c r="L17" s="15">
        <f>SUMPRODUCT((Tracker!$A$3:$A$70&lt;&gt;"")*(ISNUMBER(Tracker!$AZ$3:$AZ$70))*(Tracker!$BB$3:$BB$70="Blocked"))</f>
        <v/>
      </c>
      <c r="M17" s="15">
        <f>SUMPRODUCT((Tracker!$A$3:$A$70&lt;&gt;"")*(ISNUMBER(Tracker!$AZ$3:$AZ$70))*(Tracker!$BB$3:$BB$70="In Progress"))</f>
        <v/>
      </c>
      <c r="N17" s="15">
        <f>SUMPRODUCT((Tracker!$A$3:$A$70&lt;&gt;"")*(ISNUMBER(Tracker!$AA$3:$AA$70))*(Tracker!$AB$3:$AB$70&lt;&gt;"Completed")*(Tracker!$AB$3:$AB$70&lt;&gt;"Blocked")*(Tracker!$AB$3:$AB$70&lt;&gt;"In Progress"))</f>
        <v/>
      </c>
      <c r="O17" s="15">
        <f>SUMPRODUCT((Tracker!$A$3:$A$70&lt;&gt;"")*(ISNUMBER(Tracker!$AA$3:$AA$70))*(Tracker!$AB$3:$AB$70="Completed"))</f>
        <v/>
      </c>
      <c r="P17" s="16">
        <f>IF(N(J17)&lt;=0,"",REPT("|",MIN(N(J17),25)))</f>
        <v/>
      </c>
    </row>
    <row r="18" ht="18" customHeight="1" s="39">
      <c r="B18" s="5">
        <f>IFERROR(INDEX(Tracker!$A$3:$A$70,MATCH(_xludf.AGGREGATE(15,6,Tracker!$CK$3:$CK$70,9),Tracker!$CK$3:$CK$70,0)),"")</f>
        <v/>
      </c>
      <c r="C18" s="5">
        <f>IF(B18="","",IFERROR(INDEX(Tracker!$C$3:$C$70,MATCH(_xludf.AGGREGATE(15,6,Tracker!$CK$3:$CK$70,9),Tracker!$CK$3:$CK$70,0)),""))</f>
        <v/>
      </c>
      <c r="D18" s="5">
        <f>IF(B18="","",IFERROR(INDEX(Tracker!$D$3:$D$70,MATCH(_xludf.AGGREGATE(15,6,Tracker!$CK$3:$CK$70,9),Tracker!$CK$3:$CK$70,0)),""))</f>
        <v/>
      </c>
      <c r="E18" s="5">
        <f>IF(B18="","",IFERROR(INDEX(Tracker!$E$3:$E$70,MATCH(_xludf.AGGREGATE(15,6,Tracker!$CK$3:$CK$70,9),Tracker!$CK$3:$CK$70,0)),""))</f>
        <v/>
      </c>
      <c r="F18" s="6">
        <f>IF(B18="","",IFERROR(INDEX(Tracker!$F$3:$F$70,MATCH(_xludf.AGGREGATE(15,6,Tracker!$CK$3:$CK$70,9),Tracker!$CK$3:$CK$70,0)),""))</f>
        <v/>
      </c>
      <c r="G18" s="7">
        <f>IF(B18="","",IFERROR(INDEX(Tracker!$G$3:$G$70,MATCH(_xludf.AGGREGATE(15,6,Tracker!$CK$3:$CK$70,9),Tracker!$CK$3:$CK$70,0)),""))</f>
        <v/>
      </c>
      <c r="I18" s="8" t="inlineStr">
        <is>
          <t>Prod Service Request</t>
        </is>
      </c>
      <c r="J18" s="9">
        <f>SUMPRODUCT((Tracker!$A$3:$A$70&lt;&gt;"")*(Tracker!$BE$3:$BE$70&lt;&gt;"Completed")*(ISNUMBER(Tracker!$BC$3:$BC$70))*(N(Tracker!$BC$3:$BC$70)&lt;TODAY()))</f>
        <v/>
      </c>
      <c r="K18" s="9">
        <f>SUMPRODUCT((Tracker!$A$3:$A$70&lt;&gt;"")*(Tracker!$BE$3:$BE$70&lt;&gt;"Completed")*(ISNUMBER(Tracker!$BC$3:$BC$70))*(N(Tracker!$BC$3:$BC$70)&gt;=TODAY())*(N(Tracker!$BC$3:$BC$70)&lt;=TODAY()+7))</f>
        <v/>
      </c>
      <c r="L18" s="9">
        <f>SUMPRODUCT((Tracker!$A$3:$A$70&lt;&gt;"")*(ISNUMBER(Tracker!$BC$3:$BC$70))*(Tracker!$BE$3:$BE$70="Blocked"))</f>
        <v/>
      </c>
      <c r="M18" s="9">
        <f>SUMPRODUCT((Tracker!$A$3:$A$70&lt;&gt;"")*(ISNUMBER(Tracker!$BC$3:$BC$70))*(Tracker!$BE$3:$BE$70="In Progress"))</f>
        <v/>
      </c>
      <c r="N18" s="9">
        <f>SUMPRODUCT((Tracker!$A$3:$A$70&lt;&gt;"")*(ISNUMBER(Tracker!$AC$3:$AC$70))*(Tracker!$AD$3:$AD$70&lt;&gt;"Completed")*(Tracker!$AD$3:$AD$70&lt;&gt;"Blocked")*(Tracker!$AD$3:$AD$70&lt;&gt;"In Progress"))</f>
        <v/>
      </c>
      <c r="O18" s="9">
        <f>SUMPRODUCT((Tracker!$A$3:$A$70&lt;&gt;"")*(ISNUMBER(Tracker!$AC$3:$AC$70))*(Tracker!$AD$3:$AD$70="Completed"))</f>
        <v/>
      </c>
      <c r="P18" s="10">
        <f>IF(N(J18)&lt;=0,"",REPT("|",MIN(N(J18),25)))</f>
        <v/>
      </c>
    </row>
    <row r="19" ht="18" customHeight="1" s="39">
      <c r="B19" s="11">
        <f>IFERROR(INDEX(Tracker!$A$3:$A$70,MATCH(_xludf.AGGREGATE(15,6,Tracker!$CK$3:$CK$70,10),Tracker!$CK$3:$CK$70,0)),"")</f>
        <v/>
      </c>
      <c r="C19" s="11">
        <f>IF(B19="","",IFERROR(INDEX(Tracker!$C$3:$C$70,MATCH(_xludf.AGGREGATE(15,6,Tracker!$CK$3:$CK$70,10),Tracker!$CK$3:$CK$70,0)),""))</f>
        <v/>
      </c>
      <c r="D19" s="11">
        <f>IF(B19="","",IFERROR(INDEX(Tracker!$D$3:$D$70,MATCH(_xludf.AGGREGATE(15,6,Tracker!$CK$3:$CK$70,10),Tracker!$CK$3:$CK$70,0)),""))</f>
        <v/>
      </c>
      <c r="E19" s="11">
        <f>IF(B19="","",IFERROR(INDEX(Tracker!$E$3:$E$70,MATCH(_xludf.AGGREGATE(15,6,Tracker!$CK$3:$CK$70,10),Tracker!$CK$3:$CK$70,0)),""))</f>
        <v/>
      </c>
      <c r="F19" s="12">
        <f>IF(B19="","",IFERROR(INDEX(Tracker!$F$3:$F$70,MATCH(_xludf.AGGREGATE(15,6,Tracker!$CK$3:$CK$70,10),Tracker!$CK$3:$CK$70,0)),""))</f>
        <v/>
      </c>
      <c r="G19" s="13">
        <f>IF(B19="","",IFERROR(INDEX(Tracker!$G$3:$G$70,MATCH(_xludf.AGGREGATE(15,6,Tracker!$CK$3:$CK$70,10),Tracker!$CK$3:$CK$70,0)),""))</f>
        <v/>
      </c>
      <c r="I19" s="14" t="inlineStr">
        <is>
          <t>Dev File R-Task</t>
        </is>
      </c>
      <c r="J19" s="15">
        <f>SUMPRODUCT((Tracker!$A$3:$A$70&lt;&gt;"")*(Tracker!$AC$3:$AC$70&lt;&gt;"Completed")*(ISNUMBER(Tracker!$AA$3:$AA$70))*(N(Tracker!$AA$3:$AA$70)&lt;TODAY()))</f>
        <v/>
      </c>
      <c r="K19" s="15">
        <f>SUMPRODUCT((Tracker!$A$3:$A$70&lt;&gt;"")*(Tracker!$AC$3:$AC$70&lt;&gt;"Completed")*(ISNUMBER(Tracker!$AA$3:$AA$70))*(N(Tracker!$AA$3:$AA$70)&gt;=TODAY())*(N(Tracker!$AA$3:$AA$70)&lt;=TODAY()+7))</f>
        <v/>
      </c>
      <c r="L19" s="15">
        <f>SUMPRODUCT((Tracker!$A$3:$A$70&lt;&gt;"")*(ISNUMBER(Tracker!$AA$3:$AA$70))*(Tracker!$AC$3:$AC$70="Blocked"))</f>
        <v/>
      </c>
      <c r="M19" s="15">
        <f>SUMPRODUCT((Tracker!$A$3:$A$70&lt;&gt;"")*(ISNUMBER(Tracker!$AA$3:$AA$70))*(Tracker!$AC$3:$AC$70="In Progress"))</f>
        <v/>
      </c>
      <c r="N19" s="15">
        <f>SUMPRODUCT((Tracker!$A$3:$A$70&lt;&gt;"")*(ISNUMBER(Tracker!$AG$3:$AG$70))*(Tracker!$AH$3:$AH$70&lt;&gt;"Completed")*(Tracker!$AH$3:$AH$70&lt;&gt;"Blocked")*(Tracker!$AH$3:$AH$70&lt;&gt;"In Progress"))</f>
        <v/>
      </c>
      <c r="O19" s="15">
        <f>SUMPRODUCT((Tracker!$A$3:$A$70&lt;&gt;"")*(ISNUMBER(Tracker!$AG$3:$AG$70))*(Tracker!$AH$3:$AH$70="Completed"))</f>
        <v/>
      </c>
      <c r="P19" s="16">
        <f>IF(N(J19)&lt;=0,"",REPT("|",MIN(N(J19),25)))</f>
        <v/>
      </c>
    </row>
    <row r="20" ht="18" customHeight="1" s="39">
      <c r="B20" s="5">
        <f>IFERROR(INDEX(Tracker!$A$3:$A$70,MATCH(_xludf.AGGREGATE(15,6,Tracker!$CK$3:$CK$70,11),Tracker!$CK$3:$CK$70,0)),"")</f>
        <v/>
      </c>
      <c r="C20" s="5">
        <f>IF(B20="","",IFERROR(INDEX(Tracker!$C$3:$C$70,MATCH(_xludf.AGGREGATE(15,6,Tracker!$CK$3:$CK$70,11),Tracker!$CK$3:$CK$70,0)),""))</f>
        <v/>
      </c>
      <c r="D20" s="5">
        <f>IF(B20="","",IFERROR(INDEX(Tracker!$D$3:$D$70,MATCH(_xludf.AGGREGATE(15,6,Tracker!$CK$3:$CK$70,11),Tracker!$CK$3:$CK$70,0)),""))</f>
        <v/>
      </c>
      <c r="E20" s="5">
        <f>IF(B20="","",IFERROR(INDEX(Tracker!$E$3:$E$70,MATCH(_xludf.AGGREGATE(15,6,Tracker!$CK$3:$CK$70,11),Tracker!$CK$3:$CK$70,0)),""))</f>
        <v/>
      </c>
      <c r="F20" s="6">
        <f>IF(B20="","",IFERROR(INDEX(Tracker!$F$3:$F$70,MATCH(_xludf.AGGREGATE(15,6,Tracker!$CK$3:$CK$70,11),Tracker!$CK$3:$CK$70,0)),""))</f>
        <v/>
      </c>
      <c r="G20" s="7">
        <f>IF(B20="","",IFERROR(INDEX(Tracker!$G$3:$G$70,MATCH(_xludf.AGGREGATE(15,6,Tracker!$CK$3:$CK$70,11),Tracker!$CK$3:$CK$70,0)),""))</f>
        <v/>
      </c>
      <c r="I20" s="8" t="inlineStr">
        <is>
          <t>CAB</t>
        </is>
      </c>
      <c r="J20" s="9">
        <f>SUMPRODUCT((Tracker!$A$3:$A$70&lt;&gt;"")*(Tracker!$BN$3:$BN$70&lt;&gt;"Completed")*(ISNUMBER(Tracker!$BM$3:$BM$70))*(N(Tracker!$BM$3:$BM$70)&lt;TODAY()))</f>
        <v/>
      </c>
      <c r="K20" s="9">
        <f>SUMPRODUCT((Tracker!$A$3:$A$70&lt;&gt;"")*(Tracker!$BN$3:$BN$70&lt;&gt;"Completed")*(ISNUMBER(Tracker!$BM$3:$BM$70))*(N(Tracker!$BM$3:$BM$70)&gt;=TODAY())*(N(Tracker!$BM$3:$BM$70)&lt;=TODAY()+7))</f>
        <v/>
      </c>
      <c r="L20" s="9">
        <f>SUMPRODUCT((Tracker!$A$3:$A$70&lt;&gt;"")*(ISNUMBER(Tracker!$BM$3:$BM$70))*(Tracker!$BN$3:$BN$70="Blocked"))</f>
        <v/>
      </c>
      <c r="M20" s="9">
        <f>SUMPRODUCT((Tracker!$A$3:$A$70&lt;&gt;"")*(ISNUMBER(Tracker!$BM$3:$BM$70))*(Tracker!$BN$3:$BN$70="In Progress"))</f>
        <v/>
      </c>
      <c r="N20" s="9">
        <f>SUMPRODUCT((Tracker!$A$3:$A$70&lt;&gt;"")*(ISNUMBER(Tracker!$AE$3:$AE$70))*(Tracker!$AF$3:$AF$70&lt;&gt;"Completed")*(Tracker!$AF$3:$AF$70&lt;&gt;"Blocked")*(Tracker!$AF$3:$AF$70&lt;&gt;"In Progress"))</f>
        <v/>
      </c>
      <c r="O20" s="9">
        <f>SUMPRODUCT((Tracker!$A$3:$A$70&lt;&gt;"")*(ISNUMBER(Tracker!$AE$3:$AE$70))*(Tracker!$AF$3:$AF$70="Completed"))</f>
        <v/>
      </c>
      <c r="P20" s="10">
        <f>IF(N(J20)&lt;=0,"",REPT("|",MIN(N(J20),25)))</f>
        <v/>
      </c>
    </row>
    <row r="21" ht="20" customHeight="1" s="39">
      <c r="B21" s="11">
        <f>IFERROR(INDEX(Tracker!$A$3:$A$70,MATCH(_xludf.AGGREGATE(15,6,Tracker!$AT$3:$AT$70,12),Tracker!$AT$3:$AT$70,0)),"")</f>
        <v/>
      </c>
      <c r="C21" s="11">
        <f>IF(B21="","",IFERROR(INDEX(Tracker!$B$3:$B$70,MATCH(_xludf.AGGREGATE(15,6,Tracker!$AT$3:$AT$70,12),Tracker!$AT$3:$AT$70,0)),""))</f>
        <v/>
      </c>
      <c r="D21" s="11">
        <f>IF(B21="","",IFERROR(INDEX(Tracker!$C$3:$C$70,MATCH(_xludf.AGGREGATE(15,6,Tracker!$AT$3:$AT$70,12),Tracker!$AT$3:$AT$70,0)),""))</f>
        <v/>
      </c>
      <c r="E21" s="11">
        <f>IF(B21="","",IFERROR(INDEX(Tracker!$D$3:$D$70,MATCH(_xludf.AGGREGATE(15,6,Tracker!$AT$3:$AT$70,12),Tracker!$AT$3:$AT$70,0)),""))</f>
        <v/>
      </c>
      <c r="F21" s="12">
        <f>IF(B21="","",IFERROR(INDEX(Tracker!#REF!,MATCH(_xludf.AGGREGATE(15,6,Tracker!$AT$3:$AT$70,12),Tracker!$AT$3:$AT$70,0)),""))</f>
        <v/>
      </c>
      <c r="G21" s="13">
        <f>IF(OR(B21="",NOT(ISNUMBER(F21))),"",F21-TODAY())</f>
        <v/>
      </c>
      <c r="I21" s="17" t="inlineStr">
        <is>
          <t>Code Review</t>
        </is>
      </c>
      <c r="J21" s="18">
        <f>SUMPRODUCT((Tracker!$A$3:$A$70&lt;&gt;"")*(Tracker!$BP$3:$BP$70&lt;&gt;"Completed")*(ISNUMBER(Tracker!$BO$3:$BO$70))*(N(Tracker!$BO$3:$BO$70)&lt;TODAY()))</f>
        <v/>
      </c>
      <c r="K21" s="18">
        <f>SUMPRODUCT((Tracker!$A$3:$A$70&lt;&gt;"")*(Tracker!$BP$3:$BP$70&lt;&gt;"Completed")*(ISNUMBER(Tracker!$BO$3:$BO$70))*(N(Tracker!$BO$3:$BO$70)&gt;=TODAY())*(N(Tracker!$BO$3:$BO$70)&lt;=TODAY()+7))</f>
        <v/>
      </c>
      <c r="L21" s="18">
        <f>SUMPRODUCT((Tracker!$A$3:$A$70&lt;&gt;"")*(ISNUMBER(Tracker!$BO$3:$BO$70))*(Tracker!$BP$3:$BP$70="Blocked"))</f>
        <v/>
      </c>
      <c r="M21" s="18">
        <f>SUMPRODUCT((Tracker!$A$3:$A$70&lt;&gt;"")*(ISNUMBER(Tracker!$BO$3:$BO$70))*(Tracker!$BP$3:$BP$70="In Progress"))</f>
        <v/>
      </c>
      <c r="N21" s="18">
        <f>SUM(N10:N20)</f>
        <v/>
      </c>
      <c r="O21" s="18">
        <f>SUM(O10:O20)</f>
        <v/>
      </c>
      <c r="P21" s="19" t="n"/>
    </row>
    <row r="23" ht="17" customHeight="1" s="39">
      <c r="B23" s="51" t="n"/>
    </row>
    <row r="24" ht="18" customHeight="1" s="39">
      <c r="B24" s="73" t="n"/>
    </row>
    <row r="25" ht="18" customHeight="1" s="39"/>
    <row r="26" ht="18" customHeight="1" s="39"/>
    <row r="27" ht="18" customHeight="1" s="39"/>
    <row r="28" ht="18" customHeight="1" s="39"/>
    <row r="29" ht="18" customHeight="1" s="39"/>
    <row r="30" ht="18" customHeight="1" s="39"/>
  </sheetData>
  <mergeCells count="31">
    <mergeCell ref="F4:G4"/>
    <mergeCell ref="I1:O1"/>
    <mergeCell ref="I6:J6"/>
    <mergeCell ref="B23:G23"/>
    <mergeCell ref="O6:P6"/>
    <mergeCell ref="B1:G1"/>
    <mergeCell ref="B8:G8"/>
    <mergeCell ref="K5:L5"/>
    <mergeCell ref="F6:G6"/>
    <mergeCell ref="M5:N5"/>
    <mergeCell ref="D6:E6"/>
    <mergeCell ref="O5:P5"/>
    <mergeCell ref="Q5:R5"/>
    <mergeCell ref="F5:G5"/>
    <mergeCell ref="O4:P4"/>
    <mergeCell ref="Q4:R4"/>
    <mergeCell ref="M6:N6"/>
    <mergeCell ref="Q6:R6"/>
    <mergeCell ref="K6:L6"/>
    <mergeCell ref="I5:J5"/>
    <mergeCell ref="D4:E4"/>
    <mergeCell ref="E2:O2"/>
    <mergeCell ref="I8:P8"/>
    <mergeCell ref="B24:G30"/>
    <mergeCell ref="B6:C6"/>
    <mergeCell ref="I4:J4"/>
    <mergeCell ref="B5:C5"/>
    <mergeCell ref="D5:E5"/>
    <mergeCell ref="K4:L4"/>
    <mergeCell ref="M4:N4"/>
    <mergeCell ref="B4:C4"/>
  </mergeCells>
  <conditionalFormatting sqref="D10:D21">
    <cfRule type="expression" priority="3" dxfId="3">
      <formula>D10="Blocked"</formula>
    </cfRule>
  </conditionalFormatting>
  <conditionalFormatting sqref="G10:G21">
    <cfRule type="expression" priority="1" dxfId="3">
      <formula>AND(ISNUMBER(G10),G10&lt;0)</formula>
    </cfRule>
    <cfRule type="expression" priority="2" dxfId="0">
      <formula>AND(ISNUMBER(G10),G10&gt;=0,G10&lt;=7)</formula>
    </cfRule>
  </conditionalFormatting>
  <conditionalFormatting sqref="J10:J20">
    <cfRule type="expression" priority="4" dxfId="3">
      <formula>J10&gt;0</formula>
    </cfRule>
  </conditionalFormatting>
  <conditionalFormatting sqref="K10:K20">
    <cfRule type="expression" priority="5" dxfId="0">
      <formula>K10&gt;0</formula>
    </cfRule>
  </conditionalFormatting>
  <conditionalFormatting sqref="L10:L20">
    <cfRule type="expression" priority="6" dxfId="3">
      <formula>L10&gt;0</formula>
    </cfRule>
  </conditionalFormatting>
  <pageMargins left="0.4" right="0.4" top="0.45" bottom="0.4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70"/>
  <sheetViews>
    <sheetView tabSelected="1"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I19" sqref="I19"/>
    </sheetView>
  </sheetViews>
  <sheetFormatPr baseColWidth="10" defaultColWidth="8.83203125" defaultRowHeight="15"/>
  <cols>
    <col width="16" customWidth="1" style="39" min="1" max="1"/>
    <col width="14" customWidth="1" style="39" min="2" max="2"/>
    <col width="12" customWidth="1" style="39" min="3" max="3"/>
    <col width="14" customWidth="1" style="39" min="4" max="4"/>
    <col width="18" customWidth="1" style="39" min="5" max="5"/>
    <col width="13" customWidth="1" style="39" min="6" max="6"/>
    <col width="11" customWidth="1" style="39" min="7" max="7"/>
    <col width="12" customWidth="1" style="39" min="8" max="72"/>
    <col hidden="1" width="13" customWidth="1" style="39" min="73" max="89"/>
  </cols>
  <sheetData>
    <row r="1" ht="22" customHeight="1" s="39">
      <c r="A1" s="86" t="inlineStr">
        <is>
          <t xml:space="preserve">CONTROL STRIP </t>
        </is>
      </c>
      <c r="H1" s="87" t="inlineStr">
        <is>
          <t>INPUTS - type dates</t>
        </is>
      </c>
      <c r="K1" s="88" t="inlineStr">
        <is>
          <t>AUDIT - Excel fills</t>
        </is>
      </c>
      <c r="N1" s="89" t="inlineStr">
        <is>
          <t>READY / READINESS</t>
        </is>
      </c>
      <c r="Q1" s="90" t="inlineStr">
        <is>
          <t>DEV DB REQUESTS</t>
        </is>
      </c>
      <c r="Z1" s="91" t="inlineStr">
        <is>
          <t>DEV FILE REQUESTS</t>
        </is>
      </c>
      <c r="AG1" s="92" t="inlineStr">
        <is>
          <t>QA DB REQUESTS</t>
        </is>
      </c>
      <c r="AP1" s="93" t="inlineStr">
        <is>
          <t>QA FILE REQUESTS</t>
        </is>
      </c>
      <c r="AW1" s="90" t="inlineStr">
        <is>
          <t>PROD DB REQUESTS</t>
        </is>
      </c>
      <c r="BF1" s="91" t="inlineStr">
        <is>
          <t>PROD FILE REQUESTS</t>
        </is>
      </c>
      <c r="BM1" s="87" t="inlineStr">
        <is>
          <t>RELEASE GOVERNANCE</t>
        </is>
      </c>
      <c r="BT1" s="27" t="inlineStr">
        <is>
          <t>VALIDATION</t>
        </is>
      </c>
    </row>
    <row r="2" ht="36" customHeight="1" s="39">
      <c r="A2" s="28" t="inlineStr">
        <is>
          <t>Application</t>
        </is>
      </c>
      <c r="B2" s="28" t="inlineStr">
        <is>
          <t>Responsible PM</t>
        </is>
      </c>
      <c r="C2" s="28" t="inlineStr">
        <is>
          <t>Sprint</t>
        </is>
      </c>
      <c r="D2" s="28" t="inlineStr">
        <is>
          <t>Overall Status</t>
        </is>
      </c>
      <c r="E2" s="28" t="inlineStr">
        <is>
          <t>Next Action</t>
        </is>
      </c>
      <c r="F2" s="28" t="inlineStr">
        <is>
          <t>Next Action Date</t>
        </is>
      </c>
      <c r="G2" s="28" t="inlineStr">
        <is>
          <t>Days Overdue</t>
        </is>
      </c>
      <c r="H2" s="28" t="inlineStr">
        <is>
          <t>Sprint Start</t>
        </is>
      </c>
      <c r="I2" s="28" t="inlineStr">
        <is>
          <t>Sprint End</t>
        </is>
      </c>
      <c r="J2" s="28" t="inlineStr">
        <is>
          <t>Release Date</t>
        </is>
      </c>
      <c r="K2" s="28" t="inlineStr">
        <is>
          <t>Effective Sprint Start</t>
        </is>
      </c>
      <c r="L2" s="28" t="inlineStr">
        <is>
          <t>Effective Sprint End</t>
        </is>
      </c>
      <c r="M2" s="28" t="inlineStr">
        <is>
          <t>Effective Release Date</t>
        </is>
      </c>
      <c r="N2" s="28" t="inlineStr">
        <is>
          <t>App Ready By</t>
        </is>
      </c>
      <c r="O2" s="28" t="inlineStr">
        <is>
          <t>Sprint Readiness Date</t>
        </is>
      </c>
      <c r="P2" s="28" t="inlineStr">
        <is>
          <t>Sprint Readiness Status</t>
        </is>
      </c>
      <c r="Q2" s="28" t="inlineStr">
        <is>
          <t>Dev R-Task</t>
        </is>
      </c>
      <c r="R2" s="28" t="inlineStr">
        <is>
          <t>Raised On</t>
        </is>
      </c>
      <c r="S2" s="28" t="inlineStr">
        <is>
          <t>Dev R-Task Status</t>
        </is>
      </c>
      <c r="T2" s="28" t="inlineStr">
        <is>
          <t>Dev OUR</t>
        </is>
      </c>
      <c r="U2" s="28" t="inlineStr">
        <is>
          <t>Raised On</t>
        </is>
      </c>
      <c r="V2" s="28" t="inlineStr">
        <is>
          <t>Dev OUR Status</t>
        </is>
      </c>
      <c r="W2" s="28" t="inlineStr">
        <is>
          <t>Dev Service Request</t>
        </is>
      </c>
      <c r="X2" s="28" t="inlineStr">
        <is>
          <t>Raised On</t>
        </is>
      </c>
      <c r="Y2" s="28" t="inlineStr">
        <is>
          <t>Dev SR Status</t>
        </is>
      </c>
      <c r="Z2" s="28" t="inlineStr">
        <is>
          <t>File Type</t>
        </is>
      </c>
      <c r="AA2" s="28" t="inlineStr">
        <is>
          <t>Dev File R-Task</t>
        </is>
      </c>
      <c r="AB2" s="28" t="inlineStr">
        <is>
          <t>Raised On</t>
        </is>
      </c>
      <c r="AC2" s="28" t="inlineStr">
        <is>
          <t>Dev File R-Task Status</t>
        </is>
      </c>
      <c r="AD2" s="28" t="inlineStr">
        <is>
          <t>IAM</t>
        </is>
      </c>
      <c r="AE2" s="28" t="inlineStr">
        <is>
          <t>Ownership Identified</t>
        </is>
      </c>
      <c r="AF2" s="28" t="inlineStr">
        <is>
          <t>Frequency</t>
        </is>
      </c>
      <c r="AG2" s="28" t="inlineStr">
        <is>
          <t>QA R-Task</t>
        </is>
      </c>
      <c r="AH2" s="28" t="inlineStr">
        <is>
          <t>Raised On</t>
        </is>
      </c>
      <c r="AI2" s="28" t="inlineStr">
        <is>
          <t>QA R-Task Status</t>
        </is>
      </c>
      <c r="AJ2" s="28" t="inlineStr">
        <is>
          <t>QA OUR</t>
        </is>
      </c>
      <c r="AK2" s="28" t="inlineStr">
        <is>
          <t>Raised On</t>
        </is>
      </c>
      <c r="AL2" s="28" t="inlineStr">
        <is>
          <t>QA OUR Status</t>
        </is>
      </c>
      <c r="AM2" s="28" t="inlineStr">
        <is>
          <t>QA Service Request</t>
        </is>
      </c>
      <c r="AN2" s="28" t="inlineStr">
        <is>
          <t>Raised On</t>
        </is>
      </c>
      <c r="AO2" s="28" t="inlineStr">
        <is>
          <t>QA SR Status</t>
        </is>
      </c>
      <c r="AP2" s="28" t="inlineStr">
        <is>
          <t>File Type</t>
        </is>
      </c>
      <c r="AQ2" s="28" t="inlineStr">
        <is>
          <t>QA File R-Task</t>
        </is>
      </c>
      <c r="AR2" s="28" t="inlineStr">
        <is>
          <t>Raised On</t>
        </is>
      </c>
      <c r="AS2" s="28" t="inlineStr">
        <is>
          <t>QA File R-Task Status</t>
        </is>
      </c>
      <c r="AT2" s="28" t="inlineStr">
        <is>
          <t>IAM</t>
        </is>
      </c>
      <c r="AU2" s="28" t="inlineStr">
        <is>
          <t>Ownership Identified</t>
        </is>
      </c>
      <c r="AV2" s="28" t="inlineStr">
        <is>
          <t>Frequency</t>
        </is>
      </c>
      <c r="AW2" s="28" t="inlineStr">
        <is>
          <t>Prod R-Task</t>
        </is>
      </c>
      <c r="AX2" s="28" t="inlineStr">
        <is>
          <t>Raised On</t>
        </is>
      </c>
      <c r="AY2" s="28" t="inlineStr">
        <is>
          <t>Prod R-Task Status</t>
        </is>
      </c>
      <c r="AZ2" s="28" t="inlineStr">
        <is>
          <t>Prod OUR</t>
        </is>
      </c>
      <c r="BA2" s="28" t="inlineStr">
        <is>
          <t>Raised On</t>
        </is>
      </c>
      <c r="BB2" s="28" t="inlineStr">
        <is>
          <t>Prod OUR Status</t>
        </is>
      </c>
      <c r="BC2" s="28" t="inlineStr">
        <is>
          <t>Prod Service Request</t>
        </is>
      </c>
      <c r="BD2" s="28" t="inlineStr">
        <is>
          <t>Raised On</t>
        </is>
      </c>
      <c r="BE2" s="28" t="inlineStr">
        <is>
          <t>Prod SR Status</t>
        </is>
      </c>
      <c r="BF2" s="28" t="inlineStr">
        <is>
          <t>File Type</t>
        </is>
      </c>
      <c r="BG2" s="28" t="inlineStr">
        <is>
          <t>Prod File R-Task</t>
        </is>
      </c>
      <c r="BH2" s="28" t="inlineStr">
        <is>
          <t>Raised On</t>
        </is>
      </c>
      <c r="BI2" s="28" t="inlineStr">
        <is>
          <t>Prod File R-Task Status</t>
        </is>
      </c>
      <c r="BJ2" s="28" t="inlineStr">
        <is>
          <t>IAM</t>
        </is>
      </c>
      <c r="BK2" s="28" t="inlineStr">
        <is>
          <t>Ownership Identified</t>
        </is>
      </c>
      <c r="BL2" s="28" t="inlineStr">
        <is>
          <t>Frequency</t>
        </is>
      </c>
      <c r="BM2" s="28" t="inlineStr">
        <is>
          <t>CAB Date</t>
        </is>
      </c>
      <c r="BN2" s="28" t="inlineStr">
        <is>
          <t>CAB Status</t>
        </is>
      </c>
      <c r="BO2" s="28" t="inlineStr">
        <is>
          <t>Code Review Date</t>
        </is>
      </c>
      <c r="BP2" s="28" t="inlineStr">
        <is>
          <t>Code Review Status</t>
        </is>
      </c>
      <c r="BQ2" s="28" t="inlineStr">
        <is>
          <t>Code Review Invite</t>
        </is>
      </c>
      <c r="BR2" s="28" t="inlineStr">
        <is>
          <t>CR Invite Status</t>
        </is>
      </c>
      <c r="BS2" s="28" t="inlineStr">
        <is>
          <t>Release Status</t>
        </is>
      </c>
      <c r="BT2" s="28" t="inlineStr">
        <is>
          <t>Validation / Notes</t>
        </is>
      </c>
    </row>
    <row r="3" ht="16" customHeight="1" s="39">
      <c r="A3" s="29" t="inlineStr">
        <is>
          <t>ALLOCATIONS</t>
        </is>
      </c>
      <c r="B3" s="29" t="inlineStr">
        <is>
          <t>Sharath &lt;Skotha1@randomtrees.com&gt;</t>
        </is>
      </c>
      <c r="C3" s="29" t="inlineStr">
        <is>
          <t>Sprint 17</t>
        </is>
      </c>
      <c r="D3" s="30">
        <f>IF(A8="","",IF(((S8="Blocked")+(V8="Blocked")+(Y8="Blocked")+(AC8="Blocked")+(AI8="Blocked")+(AL8="Blocked")+(AO8="Blocked")+(AS8="Blocked")+(AY8="Blocked")+(BB8="Blocked")+(BE8="Blocked")+(BI8="Blocked")+(P8="Blocked")+(BN8="Blocked")+(BP8="Blocked")+(BR8="Blocked")+(BS8="Blocked"))&gt;0,"Blocked",IF((ISNUMBER(Q8)+ISNUMBER(T8)+ISNUMBER(W8)+ISNUMBER(AA8)+ISNUMBER(AG8)+ISNUMBER(AJ8)+ISNUMBER(AM8)+ISNUMBER(AQ8)+ISNUMBER(AW8)+ISNUMBER(AZ8)+ISNUMBER(BC8)+ISNUMBER(BG8)+ISNUMBER(O8)+ISNUMBER(BM8)+ISNUMBER(BO8)+ISNUMBER(BQ8))=0,"Yet to start",IF(AND(OR(NOT(ISNUMBER(Q8)),S8="Completed"),OR(NOT(ISNUMBER(T8)),V8="Completed"),OR(NOT(ISNUMBER(W8)),Y8="Completed"),OR(NOT(ISNUMBER(AA8)),AC8="Completed"),OR(NOT(ISNUMBER(AG8)),AI8="Completed"),OR(NOT(ISNUMBER(AJ8)),AL8="Completed"),OR(NOT(ISNUMBER(AM8)),AO8="Completed"),OR(NOT(ISNUMBER(AQ8)),AS8="Completed"),OR(NOT(ISNUMBER(AW8)),AY8="Completed"),OR(NOT(ISNUMBER(AZ8)),BB8="Completed"),OR(NOT(ISNUMBER(BC8)),BE8="Completed"),OR(NOT(ISNUMBER(BG8)),BI8="Completed"),OR(NOT(ISNUMBER(O8)),P8="Completed"),OR(NOT(ISNUMBER(BM8)),BN8="Completed"),OR(NOT(ISNUMBER(BO8)),BP8="Completed"),OR(NOT(ISNUMBER(BQ8)),BR8="Completed"),BS8="Completed"),"Completed",IF(((S8="In Progress")+(V8="In Progress")+(Y8="In Progress")+(AC8="In Progress")+(AI8="In Progress")+(AL8="In Progress")+(AO8="In Progress")+(AS8="In Progress")+(AY8="In Progress")+(BB8="In Progress")+(BE8="In Progress")+(BI8="In Progress")+(P8="In Progress")+(BN8="In Progress")+(BP8="In Progress")+(BR8="In Progress")+(BS8="In Progress"))&gt;0,"In Progress","Yet to start")))))</f>
        <v/>
      </c>
      <c r="E3" s="30">
        <f>IF(A3="","",IF(F3="","All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Review","CAB"},MATCH(F3,BU3:CJ3,0))))</f>
        <v/>
      </c>
      <c r="F3" s="31">
        <f>IF(A3="","",IF(COUNT(BU3:CJ3)=0,"",MIN(BU3:CJ3)))</f>
        <v/>
      </c>
      <c r="G3" s="30">
        <f>IF(A3="","",MAX(0,IF(AND(ISNUMBER(Q3),S3&lt;&gt;"Completed",Q3&lt;TODAY()),TODAY()-Q3,0),IF(AND(ISNUMBER(T3),V3&lt;&gt;"Completed",T3&lt;TODAY()),TODAY()-T3,0),IF(AND(ISNUMBER(W3),Y3&lt;&gt;"Completed",W3&lt;TODAY()),TODAY()-W3,0),IF(AND(ISNUMBER(AA3),AC3&lt;&gt;"Completed",AA3&lt;TODAY()),TODAY()-AA3,0),IF(AND(ISNUMBER(AG3),AI3&lt;&gt;"Completed",AG3&lt;TODAY()),TODAY()-AG3,0),IF(AND(ISNUMBER(AJ3),AL3&lt;&gt;"Completed",AJ3&lt;TODAY()),TODAY()-AJ3,0),IF(AND(ISNUMBER(AM3),AO3&lt;&gt;"Completed",AM3&lt;TODAY()),TODAY()-AM3,0),IF(AND(ISNUMBER(AQ3),AS3&lt;&gt;"Completed",AQ3&lt;TODAY()),TODAY()-AQ3,0),IF(AND(ISNUMBER(AW3),AY3&lt;&gt;"Completed",AW3&lt;TODAY()),TODAY()-AW3,0),IF(AND(ISNUMBER(AZ3),BB3&lt;&gt;"Completed",AZ3&lt;TODAY()),TODAY()-AZ3,0),IF(AND(ISNUMBER(BC3),BE3&lt;&gt;"Completed",BC3&lt;TODAY()),TODAY()-BC3,0),IF(AND(ISNUMBER(BG3),BI3&lt;&gt;"Completed",BG3&lt;TODAY()),TODAY()-BG3,0),IF(AND(ISNUMBER(O3),P3&lt;&gt;"Completed",O3&lt;TODAY()),TODAY()-O3,0),IF(AND(ISNUMBER(BQ3),BR3&lt;&gt;"Completed",BQ3&lt;TODAY()),TODAY()-BQ3,0),IF(AND(ISNUMBER(BO3),BP3&lt;&gt;"Completed",BO3&lt;TODAY()),TODAY()-BO3,0),IF(AND(ISNUMBER(BM3),BN3&lt;&gt;"Completed",BM3&lt;TODAY()),TODAY()-BM3,0)))</f>
        <v/>
      </c>
      <c r="H3" s="32" t="n">
        <v>46232</v>
      </c>
      <c r="I3" s="32" t="n">
        <v>46245</v>
      </c>
      <c r="J3" s="32" t="n">
        <v>46276</v>
      </c>
      <c r="K3" s="31">
        <f>IF(ISNUMBER(H3),H3,IF(ISNUMBER(M3),M3-WEEKDAY(M3,2)+1-7,""))</f>
        <v/>
      </c>
      <c r="L3" s="31">
        <f>IF(ISNUMBER(I3),I3,IF(ISNUMBER(H3),WORKDAY(H3,SprintWorkingDays-1),IF(ISNUMBER(K3),WORKDAY(K3,SprintWorkingDays-1),"")))</f>
        <v/>
      </c>
      <c r="M3" s="31">
        <f>IF(ISNUMBER(J3),J3,IF(ISNUMBER(I3),I3-IF(OR(WEEKDAY(I3,2)=2,WEEKDAY(I3,2)=4),0,IF(WEEKDAY(I3,2)=3,1,IF(WEEKDAY(I3,2)=1,4,WEEKDAY(I3,2)-4))),IF(ISNUMBER(H3),WORKDAY(H3,SprintWorkingDays-1)-IF(OR(WEEKDAY(WORKDAY(H3,SprintWorkingDays-1),2)=2,WEEKDAY(WORKDAY(H3,SprintWorkingDays-1),2)=4),0,IF(WEEKDAY(WORKDAY(H3,SprintWorkingDays-1),2)=3,1,IF(WEEKDAY(WORKDAY(H3,SprintWorkingDays-1),2)=1,4,WEEKDAY(WORKDAY(H3,SprintWorkingDays-1),2)-4))),"")))</f>
        <v/>
      </c>
      <c r="N3" s="31">
        <f>IF(NOT(ISNUMBER(K3)),"",WORKDAY(K3,ReadyOffsetWD))</f>
        <v/>
      </c>
      <c r="O3" s="31">
        <f>IF(NOT(ISNUMBER(K3)),"",WORKDAY(K3,SprintReadinessOffsetWD))</f>
        <v/>
      </c>
      <c r="P3" s="29" t="n"/>
      <c r="Q3" s="31">
        <f>IF(NOT(ISNUMBER(T3)),"",WORKDAY(T3,RTSKOffsetFromOUR_WD))</f>
        <v/>
      </c>
      <c r="R3" s="32" t="n"/>
      <c r="S3" s="29" t="inlineStr">
        <is>
          <t>Completed</t>
        </is>
      </c>
      <c r="T3" s="31">
        <f>IF(NOT(ISNUMBER(W3)),"",WORKDAY(W3,OUROffsetFromSR_WD))</f>
        <v/>
      </c>
      <c r="U3" s="32" t="n"/>
      <c r="V3" s="29" t="n"/>
      <c r="W3" s="31">
        <f>IF(NOT(ISNUMBER(K3)),"",WORKDAY(K3,SROffsetFromStartWD))</f>
        <v/>
      </c>
      <c r="X3" s="32" t="n"/>
      <c r="Y3" s="29" t="n"/>
      <c r="Z3" s="29" t="n"/>
      <c r="AA3" s="31">
        <f>IF(ISNUMBER(Q3),Q3,"")</f>
        <v/>
      </c>
      <c r="AB3" s="32" t="n"/>
      <c r="AC3" s="29" t="n"/>
      <c r="AD3" s="29" t="n"/>
      <c r="AE3" s="29" t="n"/>
      <c r="AF3" s="29" t="n"/>
      <c r="AG3" s="31">
        <f>IF(NOT(ISNUMBER(Q3)),"",Q3)</f>
        <v/>
      </c>
      <c r="AH3" s="32" t="n"/>
      <c r="AI3" s="29" t="n"/>
      <c r="AJ3" s="31">
        <f>IF(NOT(ISNUMBER(T3)),"",T3)</f>
        <v/>
      </c>
      <c r="AK3" s="32" t="n"/>
      <c r="AL3" s="29" t="n"/>
      <c r="AM3" s="31">
        <f>IF(NOT(ISNUMBER(W3)),"",W3)</f>
        <v/>
      </c>
      <c r="AN3" s="32" t="n"/>
      <c r="AO3" s="29" t="n"/>
      <c r="AP3" s="29" t="n"/>
      <c r="AQ3" s="31">
        <f>IF(ISNUMBER(AG3),AG3,"")</f>
        <v/>
      </c>
      <c r="AR3" s="32" t="n"/>
      <c r="AS3" s="29" t="n"/>
      <c r="AT3" s="29" t="n"/>
      <c r="AU3" s="29" t="n"/>
      <c r="AV3" s="29" t="n"/>
      <c r="AW3" s="31">
        <f>IF(NOT(ISNUMBER(Q3)),"",Q3)</f>
        <v/>
      </c>
      <c r="AX3" s="32" t="n"/>
      <c r="AY3" s="29" t="n"/>
      <c r="AZ3" s="31">
        <f>IF(NOT(ISNUMBER(T3)),"",T3)</f>
        <v/>
      </c>
      <c r="BA3" s="32" t="n"/>
      <c r="BB3" s="29" t="n"/>
      <c r="BC3" s="31">
        <f>IF(NOT(ISNUMBER(W3)),"",W3)</f>
        <v/>
      </c>
      <c r="BD3" s="32" t="n"/>
      <c r="BE3" s="29" t="n"/>
      <c r="BF3" s="29" t="n"/>
      <c r="BG3" s="31">
        <f>IF(ISNUMBER(AW3),AW3,"")</f>
        <v/>
      </c>
      <c r="BH3" s="32" t="n"/>
      <c r="BI3" s="29" t="n"/>
      <c r="BJ3" s="29" t="n"/>
      <c r="BK3" s="29" t="n"/>
      <c r="BL3" s="29" t="n"/>
      <c r="BM3" s="31" t="n">
        <v>46213</v>
      </c>
      <c r="BN3" s="29" t="n"/>
      <c r="BO3" s="31">
        <f>IF(NOT(ISNUMBER(BM3)),"",IF(WEEKDAY(BM3-CodeReviewCalendarDays,2)&gt;5,BM3-CodeReviewCalendarDays-(WEEKDAY(BM3-CodeReviewCalendarDays,2)-5),BM3-CodeReviewCalendarDays))</f>
        <v/>
      </c>
      <c r="BP3" s="29" t="n"/>
      <c r="BQ3" s="31">
        <f>IF(NOT(ISNUMBER(BO3)),"",IF(WEEKDAY(BO3-CodeReviewInviteCalendarDays,2)&gt;5,BO3-CodeReviewInviteCalendarDays-(WEEKDAY(BO3-CodeReviewInviteCalendarDays,2)-5),BO3-CodeReviewInviteCalendarDays))</f>
        <v/>
      </c>
      <c r="BR3" s="29" t="n"/>
      <c r="BS3" s="29" t="n"/>
      <c r="BT3" s="30">
        <f>IF(A3="","",IF(IF(AND(ISNUMBER(J3),WEEKDAY(J3,2)&lt;&gt;2,WEEKDAY(J3,2)&lt;&gt;4)," | Release must be Tuesday or Thursday","")&amp;IF(AND(ISNUMBER(H3),WEEKDAY(H3,2)&lt;&gt;1)," | Sprint Start is not a Monday - dates still calculated from the date entered","")&amp;IF(AND(A3&lt;&gt;"",NOT(ISNUMBER(H3)),NOT(ISNUMBER(J3)))," | Enter Sprint Start or Release Date","")&amp;IF(AND(ISNUMBER(F3),F3&lt;TODAY(),D3&lt;&gt;"Completed")," | One or more raise-by dates are in the past and not completed","")&amp;IF(AND(ISNUMBER(K3),K3-TODAY()&lt;SprintWarningDays,K3&gt;=TODAY(),OR(D3="Yet to start",D3="Blocked"))," | Sprint starts in under 10 days - raise access requests now","")&amp;IF(AND(ISNUMBER(BQ3),BR3&lt;&gt;"Completed",BQ3-TODAY()&lt;CodeReviewInviteCalendarDays)," | Code Review invite should be sent at least 4 days before Code Review","")="","",MID(IF(AND(ISNUMBER(J3),WEEKDAY(J3,2)&lt;&gt;2,WEEKDAY(J3,2)&lt;&gt;4)," | Release must be Tuesday or Thursday","")&amp;IF(AND(ISNUMBER(H3),WEEKDAY(H3,2)&lt;&gt;1)," | Sprint Start is not a Monday - dates still calculated from the date entered","")&amp;IF(AND(A3&lt;&gt;"",NOT(ISNUMBER(H3)),NOT(ISNUMBER(J3)))," | Enter Sprint Start or Release Date","")&amp;IF(AND(ISNUMBER(F3),F3&lt;TODAY(),D3&lt;&gt;"Completed")," | One or more raise-by dates are in the past and not completed","")&amp;IF(AND(ISNUMBER(K3),K3-TODAY()&lt;SprintWarningDays,K3&gt;=TODAY(),OR(D3="Yet to start",D3="Blocked"))," | Sprint starts in under 10 days - raise access requests now","")&amp;IF(AND(ISNUMBER(BQ3),BR3&lt;&gt;"Completed",BQ3-TODAY()&lt;CodeReviewInviteCalendarDays)," | Code Review invite should be sent at least 4 days before Code Review",""),4,500)))</f>
        <v/>
      </c>
      <c r="BU3">
        <f>IF(AND(ISNUMBER(Q3),S3&lt;&gt;"Completed"),Q3,"")</f>
        <v/>
      </c>
      <c r="BV3">
        <f>IF(AND(ISNUMBER(T3),V3&lt;&gt;"Completed"),T3,"")</f>
        <v/>
      </c>
      <c r="BW3">
        <f>IF(AND(ISNUMBER(W3),Y3&lt;&gt;"Completed"),W3,"")</f>
        <v/>
      </c>
      <c r="BX3">
        <f>IF(AND(ISNUMBER(AA3),AC3&lt;&gt;"Completed"),AA3,"")</f>
        <v/>
      </c>
      <c r="BY3">
        <f>IF(AND(ISNUMBER(AG3),AI3&lt;&gt;"Completed"),AG3,"")</f>
        <v/>
      </c>
      <c r="BZ3">
        <f>IF(AND(ISNUMBER(AJ3),AL3&lt;&gt;"Completed"),AJ3,"")</f>
        <v/>
      </c>
      <c r="CA3">
        <f>IF(AND(ISNUMBER(AM3),AO3&lt;&gt;"Completed"),AM3,"")</f>
        <v/>
      </c>
      <c r="CB3">
        <f>IF(AND(ISNUMBER(AQ3),AS3&lt;&gt;"Completed"),AQ3,"")</f>
        <v/>
      </c>
      <c r="CC3">
        <f>IF(AND(ISNUMBER(AW3),AY3&lt;&gt;"Completed"),AW3,"")</f>
        <v/>
      </c>
      <c r="CD3">
        <f>IF(AND(ISNUMBER(AZ3),BB3&lt;&gt;"Completed"),AZ3,"")</f>
        <v/>
      </c>
      <c r="CE3">
        <f>IF(AND(ISNUMBER(BC3),BE3&lt;&gt;"Completed"),BC3,"")</f>
        <v/>
      </c>
      <c r="CF3">
        <f>IF(AND(ISNUMBER(BG3),BI3&lt;&gt;"Completed"),BG3,"")</f>
        <v/>
      </c>
      <c r="CG3">
        <f>IF(AND(ISNUMBER(O3),P3&lt;&gt;"Completed"),O3,"")</f>
        <v/>
      </c>
      <c r="CH3">
        <f>IF(AND(ISNUMBER(BQ3),BR3&lt;&gt;"Completed"),BQ3,"")</f>
        <v/>
      </c>
      <c r="CI3">
        <f>IF(AND(ISNUMBER(BO3),BP3&lt;&gt;"Completed"),BO3,"")</f>
        <v/>
      </c>
      <c r="CJ3">
        <f>IF(AND(ISNUMBER(BM3),BN3&lt;&gt;"Completed"),BM3,"")</f>
        <v/>
      </c>
      <c r="CK3">
        <f>IF(OR(A3="",D3="Completed"),"",IF(N(G3)&gt;0,1/(N(G3)+ROW()/100000),IF(ISNUMBER(F3),1000+F3+ROW()/100000,TODAY()+400+ROW()/100000)))</f>
        <v/>
      </c>
    </row>
    <row r="4" ht="16" customHeight="1" s="39">
      <c r="A4" s="29" t="inlineStr">
        <is>
          <t>AR80</t>
        </is>
      </c>
      <c r="B4" s="29" t="inlineStr">
        <is>
          <t>Santhosh &lt;skoyalkar@randomtrees.com&gt;</t>
        </is>
      </c>
      <c r="C4" s="29" t="inlineStr">
        <is>
          <t>Sprint 17</t>
        </is>
      </c>
      <c r="D4" s="30">
        <f>IF(A7="","",IF(((S7="Blocked")+(V7="Blocked")+(Y7="Blocked")+(AC7="Blocked")+(AI7="Blocked")+(AL7="Blocked")+(AO7="Blocked")+(AS7="Blocked")+(AY7="Blocked")+(BB7="Blocked")+(BE7="Blocked")+(BI7="Blocked")+(P7="Blocked")+(BN7="Blocked")+(BP7="Blocked")+(BR7="Blocked")+(BS7="Blocked"))&gt;0,"Blocked",IF((ISNUMBER(Q7)+ISNUMBER(T7)+ISNUMBER(W7)+ISNUMBER(AA7)+ISNUMBER(AG7)+ISNUMBER(AJ7)+ISNUMBER(AM7)+ISNUMBER(AQ7)+ISNUMBER(AW7)+ISNUMBER(AZ7)+ISNUMBER(BC7)+ISNUMBER(BG7)+ISNUMBER(O7)+ISNUMBER(BM7)+ISNUMBER(BO7)+ISNUMBER(BQ7))=0,"Yet to start",IF(AND(OR(NOT(ISNUMBER(Q7)),S7="Completed"),OR(NOT(ISNUMBER(T7)),V7="Completed"),OR(NOT(ISNUMBER(W7)),Y7="Completed"),OR(NOT(ISNUMBER(AA7)),AC7="Completed"),OR(NOT(ISNUMBER(AG7)),AI7="Completed"),OR(NOT(ISNUMBER(AJ7)),AL7="Completed"),OR(NOT(ISNUMBER(AM7)),AO7="Completed"),OR(NOT(ISNUMBER(AQ7)),AS7="Completed"),OR(NOT(ISNUMBER(AW7)),AY7="Completed"),OR(NOT(ISNUMBER(AZ7)),BB7="Completed"),OR(NOT(ISNUMBER(BC7)),BE7="Completed"),OR(NOT(ISNUMBER(BG7)),BI7="Completed"),OR(NOT(ISNUMBER(O7)),P7="Completed"),OR(NOT(ISNUMBER(BM7)),BN7="Completed"),OR(NOT(ISNUMBER(BO7)),BP7="Completed"),OR(NOT(ISNUMBER(BQ7)),BR7="Completed"),BS7="Completed"),"Completed",IF(((S7="In Progress")+(V7="In Progress")+(Y7="In Progress")+(AC7="In Progress")+(AI7="In Progress")+(AL7="In Progress")+(AO7="In Progress")+(AS7="In Progress")+(AY7="In Progress")+(BB7="In Progress")+(BE7="In Progress")+(BI7="In Progress")+(P7="In Progress")+(BN7="In Progress")+(BP7="In Progress")+(BR7="In Progress")+(BS7="In Progress"))&gt;0,"In Progress","Yet to start")))))</f>
        <v/>
      </c>
      <c r="E4" s="30">
        <f>IF(A4="","",IF(F4="","All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Review","CAB"},MATCH(F4,BU4:CJ4,0))))</f>
        <v/>
      </c>
      <c r="F4" s="31">
        <f>IF(A4="","",IF(COUNT(BU4:CJ4)=0,"",MIN(BU4:CJ4)))</f>
        <v/>
      </c>
      <c r="G4" s="30">
        <f>IF(A4="","",MAX(0,IF(AND(ISNUMBER(Q4),S4&lt;&gt;"Completed",Q4&lt;TODAY()),TODAY()-Q4,0),IF(AND(ISNUMBER(T4),V4&lt;&gt;"Completed",T4&lt;TODAY()),TODAY()-T4,0),IF(AND(ISNUMBER(W4),Y4&lt;&gt;"Completed",W4&lt;TODAY()),TODAY()-W4,0),IF(AND(ISNUMBER(AA4),AC4&lt;&gt;"Completed",AA4&lt;TODAY()),TODAY()-AA4,0),IF(AND(ISNUMBER(AG4),AI4&lt;&gt;"Completed",AG4&lt;TODAY()),TODAY()-AG4,0),IF(AND(ISNUMBER(AJ4),AL4&lt;&gt;"Completed",AJ4&lt;TODAY()),TODAY()-AJ4,0),IF(AND(ISNUMBER(AM4),AO4&lt;&gt;"Completed",AM4&lt;TODAY()),TODAY()-AM4,0),IF(AND(ISNUMBER(AQ4),AS4&lt;&gt;"Completed",AQ4&lt;TODAY()),TODAY()-AQ4,0),IF(AND(ISNUMBER(AW4),AY4&lt;&gt;"Completed",AW4&lt;TODAY()),TODAY()-AW4,0),IF(AND(ISNUMBER(AZ4),BB4&lt;&gt;"Completed",AZ4&lt;TODAY()),TODAY()-AZ4,0),IF(AND(ISNUMBER(BC4),BE4&lt;&gt;"Completed",BC4&lt;TODAY()),TODAY()-BC4,0),IF(AND(ISNUMBER(BG4),BI4&lt;&gt;"Completed",BG4&lt;TODAY()),TODAY()-BG4,0),IF(AND(ISNUMBER(O4),P4&lt;&gt;"Completed",O4&lt;TODAY()),TODAY()-O4,0),IF(AND(ISNUMBER(BQ4),BR4&lt;&gt;"Completed",BQ4&lt;TODAY()),TODAY()-BQ4,0),IF(AND(ISNUMBER(BO4),BP4&lt;&gt;"Completed",BO4&lt;TODAY()),TODAY()-BO4,0),IF(AND(ISNUMBER(BM4),BN4&lt;&gt;"Completed",BM4&lt;TODAY()),TODAY()-BM4,0)))</f>
        <v/>
      </c>
      <c r="H4" s="32" t="n">
        <v>46232</v>
      </c>
      <c r="I4" s="32" t="n">
        <v>46245</v>
      </c>
      <c r="J4" s="32" t="n">
        <v>46276</v>
      </c>
      <c r="K4" s="31">
        <f>IF(ISNUMBER(H4),H4,IF(ISNUMBER(M4),M4-WEEKDAY(M4,2)+1-7,""))</f>
        <v/>
      </c>
      <c r="L4" s="31">
        <f>IF(ISNUMBER(I4),I4,IF(ISNUMBER(H4),WORKDAY(H4,SprintWorkingDays-1),IF(ISNUMBER(K4),WORKDAY(K4,SprintWorkingDays-1),"")))</f>
        <v/>
      </c>
      <c r="M4" s="31">
        <f>IF(ISNUMBER(J4),J4,IF(ISNUMBER(I4),I4-IF(OR(WEEKDAY(I4,2)=2,WEEKDAY(I4,2)=4),0,IF(WEEKDAY(I4,2)=3,1,IF(WEEKDAY(I4,2)=1,4,WEEKDAY(I4,2)-4))),IF(ISNUMBER(H4),WORKDAY(H4,SprintWorkingDays-1)-IF(OR(WEEKDAY(WORKDAY(H4,SprintWorkingDays-1),2)=2,WEEKDAY(WORKDAY(H4,SprintWorkingDays-1),2)=4),0,IF(WEEKDAY(WORKDAY(H4,SprintWorkingDays-1),2)=3,1,IF(WEEKDAY(WORKDAY(H4,SprintWorkingDays-1),2)=1,4,WEEKDAY(WORKDAY(H4,SprintWorkingDays-1),2)-4))),"")))</f>
        <v/>
      </c>
      <c r="N4" s="31">
        <f>IF(NOT(ISNUMBER(K4)),"",WORKDAY(K4,ReadyOffsetWD))</f>
        <v/>
      </c>
      <c r="O4" s="31">
        <f>IF(NOT(ISNUMBER(K4)),"",WORKDAY(K4,SprintReadinessOffsetWD))</f>
        <v/>
      </c>
      <c r="P4" s="29" t="n"/>
      <c r="Q4" s="31">
        <f>IF(NOT(ISNUMBER(T4)),"",WORKDAY(T4,RTSKOffsetFromOUR_WD))</f>
        <v/>
      </c>
      <c r="R4" s="32" t="n"/>
      <c r="S4" s="29" t="inlineStr">
        <is>
          <t>Yet to start</t>
        </is>
      </c>
      <c r="T4" s="31">
        <f>IF(NOT(ISNUMBER(W4)),"",WORKDAY(W4,OUROffsetFromSR_WD))</f>
        <v/>
      </c>
      <c r="U4" s="32" t="n"/>
      <c r="V4" s="29" t="n"/>
      <c r="W4" s="31">
        <f>IF(NOT(ISNUMBER(K4)),"",WORKDAY(K4,SROffsetFromStartWD))</f>
        <v/>
      </c>
      <c r="X4" s="32" t="n"/>
      <c r="Y4" s="29" t="n"/>
      <c r="Z4" s="29" t="n"/>
      <c r="AA4" s="31">
        <f>IF(ISNUMBER(Q4),Q4,"")</f>
        <v/>
      </c>
      <c r="AB4" s="32" t="n"/>
      <c r="AC4" s="29" t="n"/>
      <c r="AD4" s="29" t="n"/>
      <c r="AE4" s="29" t="n"/>
      <c r="AF4" s="29" t="n"/>
      <c r="AG4" s="31">
        <f>IF(NOT(ISNUMBER(Q4)),"",Q4)</f>
        <v/>
      </c>
      <c r="AH4" s="32" t="n"/>
      <c r="AI4" s="29" t="n"/>
      <c r="AJ4" s="31">
        <f>IF(NOT(ISNUMBER(T4)),"",T4)</f>
        <v/>
      </c>
      <c r="AK4" s="32" t="n"/>
      <c r="AL4" s="29" t="n"/>
      <c r="AM4" s="31">
        <f>IF(NOT(ISNUMBER(W4)),"",W4)</f>
        <v/>
      </c>
      <c r="AN4" s="32" t="n"/>
      <c r="AO4" s="29" t="n"/>
      <c r="AP4" s="29" t="n"/>
      <c r="AQ4" s="31">
        <f>IF(ISNUMBER(AG4),AG4,"")</f>
        <v/>
      </c>
      <c r="AR4" s="32" t="n"/>
      <c r="AS4" s="29" t="n"/>
      <c r="AT4" s="29" t="n"/>
      <c r="AU4" s="29" t="n"/>
      <c r="AV4" s="29" t="n"/>
      <c r="AW4" s="31">
        <f>IF(NOT(ISNUMBER(Q4)),"",Q4)</f>
        <v/>
      </c>
      <c r="AX4" s="32" t="n"/>
      <c r="AY4" s="29" t="n"/>
      <c r="AZ4" s="31">
        <f>IF(NOT(ISNUMBER(T4)),"",T4)</f>
        <v/>
      </c>
      <c r="BA4" s="32" t="n"/>
      <c r="BB4" s="29" t="n"/>
      <c r="BC4" s="31">
        <f>IF(NOT(ISNUMBER(W4)),"",W4)</f>
        <v/>
      </c>
      <c r="BD4" s="32" t="n"/>
      <c r="BE4" s="29" t="n"/>
      <c r="BF4" s="29" t="n"/>
      <c r="BG4" s="31">
        <f>IF(ISNUMBER(AW4),AW4,"")</f>
        <v/>
      </c>
      <c r="BH4" s="32" t="n"/>
      <c r="BI4" s="29" t="n"/>
      <c r="BJ4" s="29" t="n"/>
      <c r="BK4" s="29" t="n"/>
      <c r="BL4" s="29" t="n"/>
      <c r="BM4" s="31" t="n">
        <v>46213</v>
      </c>
      <c r="BN4" s="29" t="n"/>
      <c r="BO4" s="31">
        <f>IF(NOT(ISNUMBER(BM4)),"",IF(WEEKDAY(BM4-CodeReviewCalendarDays,2)&gt;5,BM4-CodeReviewCalendarDays-(WEEKDAY(BM4-CodeReviewCalendarDays,2)-5),BM4-CodeReviewCalendarDays))</f>
        <v/>
      </c>
      <c r="BP4" s="29" t="n"/>
      <c r="BQ4" s="31">
        <f>IF(NOT(ISNUMBER(BO4)),"",IF(WEEKDAY(BO4-CodeReviewInviteCalendarDays,2)&gt;5,BO4-CodeReviewInviteCalendarDays-(WEEKDAY(BO4-CodeReviewInviteCalendarDays,2)-5),BO4-CodeReviewInviteCalendarDays))</f>
        <v/>
      </c>
      <c r="BR4" s="29" t="n"/>
      <c r="BS4" s="29" t="n"/>
      <c r="BT4" s="30">
        <f>IF(A4="","",IF(IF(AND(ISNUMBER(J4),WEEKDAY(J4,2)&lt;&gt;2,WEEKDAY(J4,2)&lt;&gt;4)," | Release must be Tuesday or Thursday","")&amp;IF(AND(ISNUMBER(H4),WEEKDAY(H4,2)&lt;&gt;1)," | Sprint Start is not a Monday - dates still calculated from the date entered","")&amp;IF(AND(A4&lt;&gt;"",NOT(ISNUMBER(H4)),NOT(ISNUMBER(J4)))," | Enter Sprint Start or Release Date","")&amp;IF(AND(ISNUMBER(F4),F4&lt;TODAY(),D4&lt;&gt;"Completed")," | One or more raise-by dates are in the past and not completed","")&amp;IF(AND(ISNUMBER(K4),K4-TODAY()&lt;SprintWarningDays,K4&gt;=TODAY(),OR(D4="Yet to start",D4="Blocked"))," | Sprint starts in under 10 days - raise access requests now","")&amp;IF(AND(ISNUMBER(BQ4),BR4&lt;&gt;"Completed",BQ4-TODAY()&lt;CodeReviewInviteCalendarDays)," | Code Review invite should be sent at least 4 days before Code Review","")="","",MID(IF(AND(ISNUMBER(J4),WEEKDAY(J4,2)&lt;&gt;2,WEEKDAY(J4,2)&lt;&gt;4)," | Release must be Tuesday or Thursday","")&amp;IF(AND(ISNUMBER(H4),WEEKDAY(H4,2)&lt;&gt;1)," | Sprint Start is not a Monday - dates still calculated from the date entered","")&amp;IF(AND(A4&lt;&gt;"",NOT(ISNUMBER(H4)),NOT(ISNUMBER(J4)))," | Enter Sprint Start or Release Date","")&amp;IF(AND(ISNUMBER(F4),F4&lt;TODAY(),D4&lt;&gt;"Completed")," | One or more raise-by dates are in the past and not completed","")&amp;IF(AND(ISNUMBER(K4),K4-TODAY()&lt;SprintWarningDays,K4&gt;=TODAY(),OR(D4="Yet to start",D4="Blocked"))," | Sprint starts in under 10 days - raise access requests now","")&amp;IF(AND(ISNUMBER(BQ4),BR4&lt;&gt;"Completed",BQ4-TODAY()&lt;CodeReviewInviteCalendarDays)," | Code Review invite should be sent at least 4 days before Code Review",""),4,500)))</f>
        <v/>
      </c>
      <c r="BU4">
        <f>IF(AND(ISNUMBER(Q4),S4&lt;&gt;"Completed"),Q4,"")</f>
        <v/>
      </c>
      <c r="BV4">
        <f>IF(AND(ISNUMBER(T4),V4&lt;&gt;"Completed"),T4,"")</f>
        <v/>
      </c>
      <c r="BW4">
        <f>IF(AND(ISNUMBER(W4),Y4&lt;&gt;"Completed"),W4,"")</f>
        <v/>
      </c>
      <c r="BX4">
        <f>IF(AND(ISNUMBER(AA4),AC4&lt;&gt;"Completed"),AA4,"")</f>
        <v/>
      </c>
      <c r="BY4">
        <f>IF(AND(ISNUMBER(AG4),AI4&lt;&gt;"Completed"),AG4,"")</f>
        <v/>
      </c>
      <c r="BZ4">
        <f>IF(AND(ISNUMBER(AJ4),AL4&lt;&gt;"Completed"),AJ4,"")</f>
        <v/>
      </c>
      <c r="CA4">
        <f>IF(AND(ISNUMBER(AM4),AO4&lt;&gt;"Completed"),AM4,"")</f>
        <v/>
      </c>
      <c r="CB4">
        <f>IF(AND(ISNUMBER(AQ4),AS4&lt;&gt;"Completed"),AQ4,"")</f>
        <v/>
      </c>
      <c r="CC4">
        <f>IF(AND(ISNUMBER(AW4),AY4&lt;&gt;"Completed"),AW4,"")</f>
        <v/>
      </c>
      <c r="CD4">
        <f>IF(AND(ISNUMBER(AZ4),BB4&lt;&gt;"Completed"),AZ4,"")</f>
        <v/>
      </c>
      <c r="CE4">
        <f>IF(AND(ISNUMBER(BC4),BE4&lt;&gt;"Completed"),BC4,"")</f>
        <v/>
      </c>
      <c r="CF4">
        <f>IF(AND(ISNUMBER(BG4),BI4&lt;&gt;"Completed"),BG4,"")</f>
        <v/>
      </c>
      <c r="CG4">
        <f>IF(AND(ISNUMBER(O4),P4&lt;&gt;"Completed"),O4,"")</f>
        <v/>
      </c>
      <c r="CH4">
        <f>IF(AND(ISNUMBER(BQ4),BR4&lt;&gt;"Completed"),BQ4,"")</f>
        <v/>
      </c>
      <c r="CI4">
        <f>IF(AND(ISNUMBER(BO4),BP4&lt;&gt;"Completed"),BO4,"")</f>
        <v/>
      </c>
      <c r="CJ4">
        <f>IF(AND(ISNUMBER(BM4),BN4&lt;&gt;"Completed"),BM4,"")</f>
        <v/>
      </c>
      <c r="CK4">
        <f>IF(OR(A4="",D4="Completed"),"",IF(N(G4)&gt;0,1/(N(G4)+ROW()/100000),IF(ISNUMBER(F4),1000+F4+ROW()/100000,TODAY()+400+ROW()/100000)))</f>
        <v/>
      </c>
    </row>
    <row r="5" ht="16" customHeight="1" s="39">
      <c r="A5" s="29" t="inlineStr">
        <is>
          <t>BI80</t>
        </is>
      </c>
      <c r="B5" s="29" t="inlineStr">
        <is>
          <t>Sandeep &lt;sgodi@randomtrees.com&gt;</t>
        </is>
      </c>
      <c r="C5" s="29" t="inlineStr">
        <is>
          <t>Sprint 17</t>
        </is>
      </c>
      <c r="D5" s="30">
        <f>IF(A6="","",IF(((S6="Blocked")+(V6="Blocked")+(Y6="Blocked")+(AC6="Blocked")+(AI6="Blocked")+(AL6="Blocked")+(AO6="Blocked")+(AS6="Blocked")+(AY6="Blocked")+(BB6="Blocked")+(BE6="Blocked")+(BI6="Blocked")+(P6="Blocked")+(BN6="Blocked")+(BP6="Blocked")+(BR6="Blocked")+(BS6="Blocked"))&gt;0,"Blocked",IF((ISNUMBER(Q6)+ISNUMBER(T6)+ISNUMBER(W6)+ISNUMBER(AA6)+ISNUMBER(AG6)+ISNUMBER(AJ6)+ISNUMBER(AM6)+ISNUMBER(AQ6)+ISNUMBER(AW6)+ISNUMBER(AZ6)+ISNUMBER(BC6)+ISNUMBER(BG6)+ISNUMBER(O6)+ISNUMBER(BM6)+ISNUMBER(BO6)+ISNUMBER(BQ6))=0,"Yet to start",IF(AND(OR(NOT(ISNUMBER(Q6)),S6="Completed"),OR(NOT(ISNUMBER(T6)),V6="Completed"),OR(NOT(ISNUMBER(W6)),Y6="Completed"),OR(NOT(ISNUMBER(AA6)),AC6="Completed"),OR(NOT(ISNUMBER(AG6)),AI6="Completed"),OR(NOT(ISNUMBER(AJ6)),AL6="Completed"),OR(NOT(ISNUMBER(AM6)),AO6="Completed"),OR(NOT(ISNUMBER(AQ6)),AS6="Completed"),OR(NOT(ISNUMBER(AW6)),AY6="Completed"),OR(NOT(ISNUMBER(AZ6)),BB6="Completed"),OR(NOT(ISNUMBER(BC6)),BE6="Completed"),OR(NOT(ISNUMBER(BG6)),BI6="Completed"),OR(NOT(ISNUMBER(O6)),P6="Completed"),OR(NOT(ISNUMBER(BM6)),BN6="Completed"),OR(NOT(ISNUMBER(BO6)),BP6="Completed"),OR(NOT(ISNUMBER(BQ6)),BR6="Completed"),BS6="Completed"),"Completed",IF(((S6="In Progress")+(V6="In Progress")+(Y6="In Progress")+(AC6="In Progress")+(AI6="In Progress")+(AL6="In Progress")+(AO6="In Progress")+(AS6="In Progress")+(AY6="In Progress")+(BB6="In Progress")+(BE6="In Progress")+(BI6="In Progress")+(P6="In Progress")+(BN6="In Progress")+(BP6="In Progress")+(BR6="In Progress")+(BS6="In Progress"))&gt;0,"In Progress","Yet to start")))))</f>
        <v/>
      </c>
      <c r="E5" s="30">
        <f>IF(A5="","",IF(F5="","All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Review","CAB"},MATCH(F5,BU5:CJ5,0))))</f>
        <v/>
      </c>
      <c r="F5" s="31">
        <f>IF(A5="","",IF(COUNT(BU5:CJ5)=0,"",MIN(BU5:CJ5)))</f>
        <v/>
      </c>
      <c r="G5" s="30">
        <f>IF(A5="","",MAX(0,IF(AND(ISNUMBER(Q5),S5&lt;&gt;"Completed",Q5&lt;TODAY()),TODAY()-Q5,0),IF(AND(ISNUMBER(T5),V5&lt;&gt;"Completed",T5&lt;TODAY()),TODAY()-T5,0),IF(AND(ISNUMBER(W5),Y5&lt;&gt;"Completed",W5&lt;TODAY()),TODAY()-W5,0),IF(AND(ISNUMBER(AA5),AC5&lt;&gt;"Completed",AA5&lt;TODAY()),TODAY()-AA5,0),IF(AND(ISNUMBER(AG5),AI5&lt;&gt;"Completed",AG5&lt;TODAY()),TODAY()-AG5,0),IF(AND(ISNUMBER(AJ5),AL5&lt;&gt;"Completed",AJ5&lt;TODAY()),TODAY()-AJ5,0),IF(AND(ISNUMBER(AM5),AO5&lt;&gt;"Completed",AM5&lt;TODAY()),TODAY()-AM5,0),IF(AND(ISNUMBER(AQ5),AS5&lt;&gt;"Completed",AQ5&lt;TODAY()),TODAY()-AQ5,0),IF(AND(ISNUMBER(AW5),AY5&lt;&gt;"Completed",AW5&lt;TODAY()),TODAY()-AW5,0),IF(AND(ISNUMBER(AZ5),BB5&lt;&gt;"Completed",AZ5&lt;TODAY()),TODAY()-AZ5,0),IF(AND(ISNUMBER(BC5),BE5&lt;&gt;"Completed",BC5&lt;TODAY()),TODAY()-BC5,0),IF(AND(ISNUMBER(BG5),BI5&lt;&gt;"Completed",BG5&lt;TODAY()),TODAY()-BG5,0),IF(AND(ISNUMBER(O5),P5&lt;&gt;"Completed",O5&lt;TODAY()),TODAY()-O5,0),IF(AND(ISNUMBER(BQ5),BR5&lt;&gt;"Completed",BQ5&lt;TODAY()),TODAY()-BQ5,0),IF(AND(ISNUMBER(BO5),BP5&lt;&gt;"Completed",BO5&lt;TODAY()),TODAY()-BO5,0),IF(AND(ISNUMBER(BM5),BN5&lt;&gt;"Completed",BM5&lt;TODAY()),TODAY()-BM5,0)))</f>
        <v/>
      </c>
      <c r="H5" s="32" t="n">
        <v>46232</v>
      </c>
      <c r="I5" s="32" t="n">
        <v>46245</v>
      </c>
      <c r="J5" s="32" t="n">
        <v>46276</v>
      </c>
      <c r="K5" s="31">
        <f>IF(ISNUMBER(H5),H5,IF(ISNUMBER(M5),M5-WEEKDAY(M5,2)+1-7,""))</f>
        <v/>
      </c>
      <c r="L5" s="31">
        <f>IF(ISNUMBER(I5),I5,IF(ISNUMBER(H5),WORKDAY(H5,SprintWorkingDays-1),IF(ISNUMBER(K5),WORKDAY(K5,SprintWorkingDays-1),"")))</f>
        <v/>
      </c>
      <c r="M5" s="31">
        <f>IF(ISNUMBER(J5),J5,IF(ISNUMBER(I5),I5-IF(OR(WEEKDAY(I5,2)=2,WEEKDAY(I5,2)=4),0,IF(WEEKDAY(I5,2)=3,1,IF(WEEKDAY(I5,2)=1,4,WEEKDAY(I5,2)-4))),IF(ISNUMBER(H5),WORKDAY(H5,SprintWorkingDays-1)-IF(OR(WEEKDAY(WORKDAY(H5,SprintWorkingDays-1),2)=2,WEEKDAY(WORKDAY(H5,SprintWorkingDays-1),2)=4),0,IF(WEEKDAY(WORKDAY(H5,SprintWorkingDays-1),2)=3,1,IF(WEEKDAY(WORKDAY(H5,SprintWorkingDays-1),2)=1,4,WEEKDAY(WORKDAY(H5,SprintWorkingDays-1),2)-4))),"")))</f>
        <v/>
      </c>
      <c r="N5" s="31">
        <f>IF(NOT(ISNUMBER(K5)),"",WORKDAY(K5,ReadyOffsetWD))</f>
        <v/>
      </c>
      <c r="O5" s="31">
        <f>IF(NOT(ISNUMBER(K5)),"",WORKDAY(K5,SprintReadinessOffsetWD))</f>
        <v/>
      </c>
      <c r="P5" s="29" t="n"/>
      <c r="Q5" s="31">
        <f>IF(NOT(ISNUMBER(T5)),"",WORKDAY(T5,RTSKOffsetFromOUR_WD))</f>
        <v/>
      </c>
      <c r="R5" s="32" t="n"/>
      <c r="S5" s="29" t="n"/>
      <c r="T5" s="31">
        <f>IF(NOT(ISNUMBER(W5)),"",WORKDAY(W5,OUROffsetFromSR_WD))</f>
        <v/>
      </c>
      <c r="U5" s="32" t="n"/>
      <c r="V5" s="29" t="n"/>
      <c r="W5" s="31">
        <f>IF(NOT(ISNUMBER(K5)),"",WORKDAY(K5,SROffsetFromStartWD))</f>
        <v/>
      </c>
      <c r="X5" s="32" t="n"/>
      <c r="Y5" s="29" t="n"/>
      <c r="Z5" s="29" t="n"/>
      <c r="AA5" s="31">
        <f>IF(ISNUMBER(Q5),Q5,"")</f>
        <v/>
      </c>
      <c r="AB5" s="32" t="n"/>
      <c r="AC5" s="29" t="n"/>
      <c r="AD5" s="29" t="n"/>
      <c r="AE5" s="29" t="n"/>
      <c r="AF5" s="29" t="n"/>
      <c r="AG5" s="31">
        <f>IF(NOT(ISNUMBER(Q5)),"",Q5)</f>
        <v/>
      </c>
      <c r="AH5" s="32" t="n"/>
      <c r="AI5" s="29" t="n"/>
      <c r="AJ5" s="31">
        <f>IF(NOT(ISNUMBER(T5)),"",T5)</f>
        <v/>
      </c>
      <c r="AK5" s="32" t="n"/>
      <c r="AL5" s="29" t="n"/>
      <c r="AM5" s="31">
        <f>IF(NOT(ISNUMBER(W5)),"",W5)</f>
        <v/>
      </c>
      <c r="AN5" s="32" t="n"/>
      <c r="AO5" s="29" t="n"/>
      <c r="AP5" s="29" t="n"/>
      <c r="AQ5" s="31">
        <f>IF(ISNUMBER(AG5),AG5,"")</f>
        <v/>
      </c>
      <c r="AR5" s="32" t="n"/>
      <c r="AS5" s="29" t="n"/>
      <c r="AT5" s="29" t="n"/>
      <c r="AU5" s="29" t="n"/>
      <c r="AV5" s="29" t="n"/>
      <c r="AW5" s="31">
        <f>IF(NOT(ISNUMBER(Q5)),"",Q5)</f>
        <v/>
      </c>
      <c r="AX5" s="32" t="n"/>
      <c r="AY5" s="29" t="n"/>
      <c r="AZ5" s="31">
        <f>IF(NOT(ISNUMBER(T5)),"",T5)</f>
        <v/>
      </c>
      <c r="BA5" s="32" t="n"/>
      <c r="BB5" s="29" t="n"/>
      <c r="BC5" s="31">
        <f>IF(NOT(ISNUMBER(W5)),"",W5)</f>
        <v/>
      </c>
      <c r="BD5" s="32" t="n"/>
      <c r="BE5" s="29" t="n"/>
      <c r="BF5" s="29" t="n"/>
      <c r="BG5" s="31">
        <f>IF(ISNUMBER(AW5),AW5,"")</f>
        <v/>
      </c>
      <c r="BH5" s="32" t="n"/>
      <c r="BI5" s="29" t="n"/>
      <c r="BJ5" s="29" t="n"/>
      <c r="BK5" s="29" t="n"/>
      <c r="BL5" s="29" t="n"/>
      <c r="BM5" s="31" t="n">
        <v>46213</v>
      </c>
      <c r="BN5" s="29" t="n"/>
      <c r="BO5" s="31">
        <f>IF(NOT(ISNUMBER(BM5)),"",IF(WEEKDAY(BM5-CodeReviewCalendarDays,2)&gt;5,BM5-CodeReviewCalendarDays-(WEEKDAY(BM5-CodeReviewCalendarDays,2)-5),BM5-CodeReviewCalendarDays))</f>
        <v/>
      </c>
      <c r="BP5" s="29" t="n"/>
      <c r="BQ5" s="31">
        <f>IF(NOT(ISNUMBER(BO5)),"",IF(WEEKDAY(BO5-CodeReviewInviteCalendarDays,2)&gt;5,BO5-CodeReviewInviteCalendarDays-(WEEKDAY(BO5-CodeReviewInviteCalendarDays,2)-5),BO5-CodeReviewInviteCalendarDays))</f>
        <v/>
      </c>
      <c r="BR5" s="29" t="n"/>
      <c r="BS5" s="29" t="n"/>
      <c r="BT5" s="30">
        <f>IF(A5="","",IF(IF(AND(ISNUMBER(J5),WEEKDAY(J5,2)&lt;&gt;2,WEEKDAY(J5,2)&lt;&gt;4)," | Release must be Tuesday or Thursday","")&amp;IF(AND(ISNUMBER(H5),WEEKDAY(H5,2)&lt;&gt;1)," | Sprint Start is not a Monday - dates still calculated from the date entered","")&amp;IF(AND(A5&lt;&gt;"",NOT(ISNUMBER(H5)),NOT(ISNUMBER(J5)))," | Enter Sprint Start or Release Date","")&amp;IF(AND(ISNUMBER(F5),F5&lt;TODAY(),D5&lt;&gt;"Completed")," | One or more raise-by dates are in the past and not completed","")&amp;IF(AND(ISNUMBER(K5),K5-TODAY()&lt;SprintWarningDays,K5&gt;=TODAY(),OR(D5="Yet to start",D5="Blocked"))," | Sprint starts in under 10 days - raise access requests now","")&amp;IF(AND(ISNUMBER(BQ5),BR5&lt;&gt;"Completed",BQ5-TODAY()&lt;CodeReviewInviteCalendarDays)," | Code Review invite should be sent at least 4 days before Code Review","")="","",MID(IF(AND(ISNUMBER(J5),WEEKDAY(J5,2)&lt;&gt;2,WEEKDAY(J5,2)&lt;&gt;4)," | Release must be Tuesday or Thursday","")&amp;IF(AND(ISNUMBER(H5),WEEKDAY(H5,2)&lt;&gt;1)," | Sprint Start is not a Monday - dates still calculated from the date entered","")&amp;IF(AND(A5&lt;&gt;"",NOT(ISNUMBER(H5)),NOT(ISNUMBER(J5)))," | Enter Sprint Start or Release Date","")&amp;IF(AND(ISNUMBER(F5),F5&lt;TODAY(),D5&lt;&gt;"Completed")," | One or more raise-by dates are in the past and not completed","")&amp;IF(AND(ISNUMBER(K5),K5-TODAY()&lt;SprintWarningDays,K5&gt;=TODAY(),OR(D5="Yet to start",D5="Blocked"))," | Sprint starts in under 10 days - raise access requests now","")&amp;IF(AND(ISNUMBER(BQ5),BR5&lt;&gt;"Completed",BQ5-TODAY()&lt;CodeReviewInviteCalendarDays)," | Code Review invite should be sent at least 4 days before Code Review",""),4,500)))</f>
        <v/>
      </c>
      <c r="BU5">
        <f>IF(AND(ISNUMBER(Q5),S5&lt;&gt;"Completed"),Q5,"")</f>
        <v/>
      </c>
      <c r="BV5">
        <f>IF(AND(ISNUMBER(T5),V5&lt;&gt;"Completed"),T5,"")</f>
        <v/>
      </c>
      <c r="BW5">
        <f>IF(AND(ISNUMBER(W5),Y5&lt;&gt;"Completed"),W5,"")</f>
        <v/>
      </c>
      <c r="BX5">
        <f>IF(AND(ISNUMBER(AA5),AC5&lt;&gt;"Completed"),AA5,"")</f>
        <v/>
      </c>
      <c r="BY5">
        <f>IF(AND(ISNUMBER(AG5),AI5&lt;&gt;"Completed"),AG5,"")</f>
        <v/>
      </c>
      <c r="BZ5">
        <f>IF(AND(ISNUMBER(AJ5),AL5&lt;&gt;"Completed"),AJ5,"")</f>
        <v/>
      </c>
      <c r="CA5">
        <f>IF(AND(ISNUMBER(AM5),AO5&lt;&gt;"Completed"),AM5,"")</f>
        <v/>
      </c>
      <c r="CB5">
        <f>IF(AND(ISNUMBER(AQ5),AS5&lt;&gt;"Completed"),AQ5,"")</f>
        <v/>
      </c>
      <c r="CC5">
        <f>IF(AND(ISNUMBER(AW5),AY5&lt;&gt;"Completed"),AW5,"")</f>
        <v/>
      </c>
      <c r="CD5">
        <f>IF(AND(ISNUMBER(AZ5),BB5&lt;&gt;"Completed"),AZ5,"")</f>
        <v/>
      </c>
      <c r="CE5">
        <f>IF(AND(ISNUMBER(BC5),BE5&lt;&gt;"Completed"),BC5,"")</f>
        <v/>
      </c>
      <c r="CF5">
        <f>IF(AND(ISNUMBER(BG5),BI5&lt;&gt;"Completed"),BG5,"")</f>
        <v/>
      </c>
      <c r="CG5">
        <f>IF(AND(ISNUMBER(O5),P5&lt;&gt;"Completed"),O5,"")</f>
        <v/>
      </c>
      <c r="CH5">
        <f>IF(AND(ISNUMBER(BQ5),BR5&lt;&gt;"Completed"),BQ5,"")</f>
        <v/>
      </c>
      <c r="CI5">
        <f>IF(AND(ISNUMBER(BO5),BP5&lt;&gt;"Completed"),BO5,"")</f>
        <v/>
      </c>
      <c r="CJ5">
        <f>IF(AND(ISNUMBER(BM5),BN5&lt;&gt;"Completed"),BM5,"")</f>
        <v/>
      </c>
      <c r="CK5">
        <f>IF(OR(A5="",D5="Completed"),"",IF(N(G5)&gt;0,1/(N(G5)+ROW()/100000),IF(ISNUMBER(F5),1000+F5+ROW()/100000,TODAY()+400+ROW()/100000)))</f>
        <v/>
      </c>
    </row>
    <row r="6" ht="16" customHeight="1" s="39">
      <c r="A6" s="29" t="inlineStr">
        <is>
          <t>CBP</t>
        </is>
      </c>
      <c r="B6" s="29" t="inlineStr">
        <is>
          <t>Ragavendhar &lt;aragavendhar@randomtrees.com&gt;</t>
        </is>
      </c>
      <c r="C6" s="29" t="inlineStr">
        <is>
          <t>Sprint 17</t>
        </is>
      </c>
      <c r="D6" s="30">
        <f>IF(A5="","",IF(((S5="Blocked")+(V5="Blocked")+(Y5="Blocked")+(AC5="Blocked")+(AI5="Blocked")+(AL5="Blocked")+(AO5="Blocked")+(AS5="Blocked")+(AY5="Blocked")+(BB5="Blocked")+(BE5="Blocked")+(BI5="Blocked")+(P5="Blocked")+(BN5="Blocked")+(BP5="Blocked")+(BR5="Blocked")+(BS5="Blocked"))&gt;0,"Blocked",IF((ISNUMBER(Q5)+ISNUMBER(T5)+ISNUMBER(W5)+ISNUMBER(AA5)+ISNUMBER(AG5)+ISNUMBER(AJ5)+ISNUMBER(AM5)+ISNUMBER(AQ5)+ISNUMBER(AW5)+ISNUMBER(AZ5)+ISNUMBER(BC5)+ISNUMBER(BG5)+ISNUMBER(O5)+ISNUMBER(BM5)+ISNUMBER(BO5)+ISNUMBER(BQ5))=0,"Yet to start",IF(AND(OR(NOT(ISNUMBER(Q5)),S5="Completed"),OR(NOT(ISNUMBER(T5)),V5="Completed"),OR(NOT(ISNUMBER(W5)),Y5="Completed"),OR(NOT(ISNUMBER(AA5)),AC5="Completed"),OR(NOT(ISNUMBER(AG5)),AI5="Completed"),OR(NOT(ISNUMBER(AJ5)),AL5="Completed"),OR(NOT(ISNUMBER(AM5)),AO5="Completed"),OR(NOT(ISNUMBER(AQ5)),AS5="Completed"),OR(NOT(ISNUMBER(AW5)),AY5="Completed"),OR(NOT(ISNUMBER(AZ5)),BB5="Completed"),OR(NOT(ISNUMBER(BC5)),BE5="Completed"),OR(NOT(ISNUMBER(BG5)),BI5="Completed"),OR(NOT(ISNUMBER(O5)),P5="Completed"),OR(NOT(ISNUMBER(BM5)),BN5="Completed"),OR(NOT(ISNUMBER(BO5)),BP5="Completed"),OR(NOT(ISNUMBER(BQ5)),BR5="Completed"),BS5="Completed"),"Completed",IF(((S5="In Progress")+(V5="In Progress")+(Y5="In Progress")+(AC5="In Progress")+(AI5="In Progress")+(AL5="In Progress")+(AO5="In Progress")+(AS5="In Progress")+(AY5="In Progress")+(BB5="In Progress")+(BE5="In Progress")+(BI5="In Progress")+(P5="In Progress")+(BN5="In Progress")+(BP5="In Progress")+(BR5="In Progress")+(BS5="In Progress"))&gt;0,"In Progress","Yet to start")))))</f>
        <v/>
      </c>
      <c r="E6" s="30">
        <f>IF(A6="","",IF(F6="","All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Review","CAB"},MATCH(F6,BU6:CJ6,0))))</f>
        <v/>
      </c>
      <c r="F6" s="31">
        <f>IF(A6="","",IF(COUNT(BU6:CJ6)=0,"",MIN(BU6:CJ6)))</f>
        <v/>
      </c>
      <c r="G6" s="30">
        <f>IF(A6="","",MAX(0,IF(AND(ISNUMBER(Q6),S6&lt;&gt;"Completed",Q6&lt;TODAY()),TODAY()-Q6,0),IF(AND(ISNUMBER(T6),V6&lt;&gt;"Completed",T6&lt;TODAY()),TODAY()-T6,0),IF(AND(ISNUMBER(W6),Y6&lt;&gt;"Completed",W6&lt;TODAY()),TODAY()-W6,0),IF(AND(ISNUMBER(AA6),AC6&lt;&gt;"Completed",AA6&lt;TODAY()),TODAY()-AA6,0),IF(AND(ISNUMBER(AG6),AI6&lt;&gt;"Completed",AG6&lt;TODAY()),TODAY()-AG6,0),IF(AND(ISNUMBER(AJ6),AL6&lt;&gt;"Completed",AJ6&lt;TODAY()),TODAY()-AJ6,0),IF(AND(ISNUMBER(AM6),AO6&lt;&gt;"Completed",AM6&lt;TODAY()),TODAY()-AM6,0),IF(AND(ISNUMBER(AQ6),AS6&lt;&gt;"Completed",AQ6&lt;TODAY()),TODAY()-AQ6,0),IF(AND(ISNUMBER(AW6),AY6&lt;&gt;"Completed",AW6&lt;TODAY()),TODAY()-AW6,0),IF(AND(ISNUMBER(AZ6),BB6&lt;&gt;"Completed",AZ6&lt;TODAY()),TODAY()-AZ6,0),IF(AND(ISNUMBER(BC6),BE6&lt;&gt;"Completed",BC6&lt;TODAY()),TODAY()-BC6,0),IF(AND(ISNUMBER(BG6),BI6&lt;&gt;"Completed",BG6&lt;TODAY()),TODAY()-BG6,0),IF(AND(ISNUMBER(O6),P6&lt;&gt;"Completed",O6&lt;TODAY()),TODAY()-O6,0),IF(AND(ISNUMBER(BQ6),BR6&lt;&gt;"Completed",BQ6&lt;TODAY()),TODAY()-BQ6,0),IF(AND(ISNUMBER(BO6),BP6&lt;&gt;"Completed",BO6&lt;TODAY()),TODAY()-BO6,0),IF(AND(ISNUMBER(BM6),BN6&lt;&gt;"Completed",BM6&lt;TODAY()),TODAY()-BM6,0)))</f>
        <v/>
      </c>
      <c r="H6" s="32" t="n">
        <v>46232</v>
      </c>
      <c r="I6" s="32" t="n">
        <v>46245</v>
      </c>
      <c r="J6" s="32" t="n">
        <v>46276</v>
      </c>
      <c r="K6" s="31">
        <f>IF(ISNUMBER(H6),H6,IF(ISNUMBER(M6),M6-WEEKDAY(M6,2)+1-7,""))</f>
        <v/>
      </c>
      <c r="L6" s="31">
        <f>IF(ISNUMBER(I6),I6,IF(ISNUMBER(H6),WORKDAY(H6,SprintWorkingDays-1),IF(ISNUMBER(K6),WORKDAY(K6,SprintWorkingDays-1),"")))</f>
        <v/>
      </c>
      <c r="M6" s="31">
        <f>IF(ISNUMBER(J6),J6,IF(ISNUMBER(I6),I6-IF(OR(WEEKDAY(I6,2)=2,WEEKDAY(I6,2)=4),0,IF(WEEKDAY(I6,2)=3,1,IF(WEEKDAY(I6,2)=1,4,WEEKDAY(I6,2)-4))),IF(ISNUMBER(H6),WORKDAY(H6,SprintWorkingDays-1)-IF(OR(WEEKDAY(WORKDAY(H6,SprintWorkingDays-1),2)=2,WEEKDAY(WORKDAY(H6,SprintWorkingDays-1),2)=4),0,IF(WEEKDAY(WORKDAY(H6,SprintWorkingDays-1),2)=3,1,IF(WEEKDAY(WORKDAY(H6,SprintWorkingDays-1),2)=1,4,WEEKDAY(WORKDAY(H6,SprintWorkingDays-1),2)-4))),"")))</f>
        <v/>
      </c>
      <c r="N6" s="31">
        <f>IF(NOT(ISNUMBER(K6)),"",WORKDAY(K6,ReadyOffsetWD))</f>
        <v/>
      </c>
      <c r="O6" s="31">
        <f>IF(NOT(ISNUMBER(K6)),"",WORKDAY(K6,SprintReadinessOffsetWD))</f>
        <v/>
      </c>
      <c r="P6" s="29" t="n"/>
      <c r="Q6" s="31">
        <f>IF(NOT(ISNUMBER(T6)),"",WORKDAY(T6,RTSKOffsetFromOUR_WD))</f>
        <v/>
      </c>
      <c r="R6" s="32" t="n"/>
      <c r="S6" s="29" t="n"/>
      <c r="T6" s="31">
        <f>IF(NOT(ISNUMBER(W6)),"",WORKDAY(W6,OUROffsetFromSR_WD))</f>
        <v/>
      </c>
      <c r="U6" s="32" t="n"/>
      <c r="V6" s="29" t="n"/>
      <c r="W6" s="31">
        <f>IF(NOT(ISNUMBER(K6)),"",WORKDAY(K6,SROffsetFromStartWD))</f>
        <v/>
      </c>
      <c r="X6" s="32" t="n"/>
      <c r="Y6" s="29" t="n"/>
      <c r="Z6" s="29" t="n"/>
      <c r="AA6" s="31">
        <f>IF(ISNUMBER(Q6),Q6,"")</f>
        <v/>
      </c>
      <c r="AB6" s="32" t="n"/>
      <c r="AC6" s="29" t="n"/>
      <c r="AD6" s="29" t="n"/>
      <c r="AE6" s="29" t="n"/>
      <c r="AF6" s="29" t="n"/>
      <c r="AG6" s="31">
        <f>IF(NOT(ISNUMBER(Q6)),"",Q6)</f>
        <v/>
      </c>
      <c r="AH6" s="32" t="n"/>
      <c r="AI6" s="29" t="n"/>
      <c r="AJ6" s="31">
        <f>IF(NOT(ISNUMBER(T6)),"",T6)</f>
        <v/>
      </c>
      <c r="AK6" s="32" t="n"/>
      <c r="AL6" s="29" t="n"/>
      <c r="AM6" s="31">
        <f>IF(NOT(ISNUMBER(W6)),"",W6)</f>
        <v/>
      </c>
      <c r="AN6" s="32" t="n"/>
      <c r="AO6" s="29" t="n"/>
      <c r="AP6" s="29" t="n"/>
      <c r="AQ6" s="31">
        <f>IF(ISNUMBER(AG6),AG6,"")</f>
        <v/>
      </c>
      <c r="AR6" s="32" t="n"/>
      <c r="AS6" s="29" t="n"/>
      <c r="AT6" s="29" t="n"/>
      <c r="AU6" s="29" t="n"/>
      <c r="AV6" s="29" t="n"/>
      <c r="AW6" s="31">
        <f>IF(NOT(ISNUMBER(Q6)),"",Q6)</f>
        <v/>
      </c>
      <c r="AX6" s="32" t="n"/>
      <c r="AY6" s="29" t="n"/>
      <c r="AZ6" s="31">
        <f>IF(NOT(ISNUMBER(T6)),"",T6)</f>
        <v/>
      </c>
      <c r="BA6" s="32" t="n"/>
      <c r="BB6" s="29" t="n"/>
      <c r="BC6" s="31">
        <f>IF(NOT(ISNUMBER(W6)),"",W6)</f>
        <v/>
      </c>
      <c r="BD6" s="32" t="n"/>
      <c r="BE6" s="29" t="n"/>
      <c r="BF6" s="29" t="n"/>
      <c r="BG6" s="31">
        <f>IF(ISNUMBER(AW6),AW6,"")</f>
        <v/>
      </c>
      <c r="BH6" s="32" t="n"/>
      <c r="BI6" s="29" t="n"/>
      <c r="BJ6" s="29" t="n"/>
      <c r="BK6" s="29" t="n"/>
      <c r="BL6" s="29" t="n"/>
      <c r="BM6" s="31" t="n">
        <v>46213</v>
      </c>
      <c r="BN6" s="29" t="n"/>
      <c r="BO6" s="31">
        <f>IF(NOT(ISNUMBER(BM6)),"",IF(WEEKDAY(BM6-CodeReviewCalendarDays,2)&gt;5,BM6-CodeReviewCalendarDays-(WEEKDAY(BM6-CodeReviewCalendarDays,2)-5),BM6-CodeReviewCalendarDays))</f>
        <v/>
      </c>
      <c r="BP6" s="29" t="n"/>
      <c r="BQ6" s="31">
        <f>IF(NOT(ISNUMBER(BO6)),"",IF(WEEKDAY(BO6-CodeReviewInviteCalendarDays,2)&gt;5,BO6-CodeReviewInviteCalendarDays-(WEEKDAY(BO6-CodeReviewInviteCalendarDays,2)-5),BO6-CodeReviewInviteCalendarDays))</f>
        <v/>
      </c>
      <c r="BR6" s="29" t="n"/>
      <c r="BS6" s="29" t="n"/>
      <c r="BT6" s="30">
        <f>IF(A6="","",IF(IF(AND(ISNUMBER(J6),WEEKDAY(J6,2)&lt;&gt;2,WEEKDAY(J6,2)&lt;&gt;4)," | Release must be Tuesday or Thursday","")&amp;IF(AND(ISNUMBER(H6),WEEKDAY(H6,2)&lt;&gt;1)," | Sprint Start is not a Monday - dates still calculated from the date entered","")&amp;IF(AND(A6&lt;&gt;"",NOT(ISNUMBER(H6)),NOT(ISNUMBER(J6)))," | Enter Sprint Start or Release Date","")&amp;IF(AND(ISNUMBER(F6),F6&lt;TODAY(),D6&lt;&gt;"Completed")," | One or more raise-by dates are in the past and not completed","")&amp;IF(AND(ISNUMBER(K6),K6-TODAY()&lt;SprintWarningDays,K6&gt;=TODAY(),OR(D6="Yet to start",D6="Blocked"))," | Sprint starts in under 10 days - raise access requests now","")&amp;IF(AND(ISNUMBER(BQ6),BR6&lt;&gt;"Completed",BQ6-TODAY()&lt;CodeReviewInviteCalendarDays)," | Code Review invite should be sent at least 4 days before Code Review","")="","",MID(IF(AND(ISNUMBER(J6),WEEKDAY(J6,2)&lt;&gt;2,WEEKDAY(J6,2)&lt;&gt;4)," | Release must be Tuesday or Thursday","")&amp;IF(AND(ISNUMBER(H6),WEEKDAY(H6,2)&lt;&gt;1)," | Sprint Start is not a Monday - dates still calculated from the date entered","")&amp;IF(AND(A6&lt;&gt;"",NOT(ISNUMBER(H6)),NOT(ISNUMBER(J6)))," | Enter Sprint Start or Release Date","")&amp;IF(AND(ISNUMBER(F6),F6&lt;TODAY(),D6&lt;&gt;"Completed")," | One or more raise-by dates are in the past and not completed","")&amp;IF(AND(ISNUMBER(K6),K6-TODAY()&lt;SprintWarningDays,K6&gt;=TODAY(),OR(D6="Yet to start",D6="Blocked"))," | Sprint starts in under 10 days - raise access requests now","")&amp;IF(AND(ISNUMBER(BQ6),BR6&lt;&gt;"Completed",BQ6-TODAY()&lt;CodeReviewInviteCalendarDays)," | Code Review invite should be sent at least 4 days before Code Review",""),4,500)))</f>
        <v/>
      </c>
      <c r="BU6">
        <f>IF(AND(ISNUMBER(Q6),S6&lt;&gt;"Completed"),Q6,"")</f>
        <v/>
      </c>
      <c r="BV6">
        <f>IF(AND(ISNUMBER(T6),V6&lt;&gt;"Completed"),T6,"")</f>
        <v/>
      </c>
      <c r="BW6">
        <f>IF(AND(ISNUMBER(W6),Y6&lt;&gt;"Completed"),W6,"")</f>
        <v/>
      </c>
      <c r="BX6">
        <f>IF(AND(ISNUMBER(AA6),AC6&lt;&gt;"Completed"),AA6,"")</f>
        <v/>
      </c>
      <c r="BY6">
        <f>IF(AND(ISNUMBER(AG6),AI6&lt;&gt;"Completed"),AG6,"")</f>
        <v/>
      </c>
      <c r="BZ6">
        <f>IF(AND(ISNUMBER(AJ6),AL6&lt;&gt;"Completed"),AJ6,"")</f>
        <v/>
      </c>
      <c r="CA6">
        <f>IF(AND(ISNUMBER(AM6),AO6&lt;&gt;"Completed"),AM6,"")</f>
        <v/>
      </c>
      <c r="CB6">
        <f>IF(AND(ISNUMBER(AQ6),AS6&lt;&gt;"Completed"),AQ6,"")</f>
        <v/>
      </c>
      <c r="CC6">
        <f>IF(AND(ISNUMBER(AW6),AY6&lt;&gt;"Completed"),AW6,"")</f>
        <v/>
      </c>
      <c r="CD6">
        <f>IF(AND(ISNUMBER(AZ6),BB6&lt;&gt;"Completed"),AZ6,"")</f>
        <v/>
      </c>
      <c r="CE6">
        <f>IF(AND(ISNUMBER(BC6),BE6&lt;&gt;"Completed"),BC6,"")</f>
        <v/>
      </c>
      <c r="CF6">
        <f>IF(AND(ISNUMBER(BG6),BI6&lt;&gt;"Completed"),BG6,"")</f>
        <v/>
      </c>
      <c r="CG6">
        <f>IF(AND(ISNUMBER(O6),P6&lt;&gt;"Completed"),O6,"")</f>
        <v/>
      </c>
      <c r="CH6">
        <f>IF(AND(ISNUMBER(BQ6),BR6&lt;&gt;"Completed"),BQ6,"")</f>
        <v/>
      </c>
      <c r="CI6">
        <f>IF(AND(ISNUMBER(BO6),BP6&lt;&gt;"Completed"),BO6,"")</f>
        <v/>
      </c>
      <c r="CJ6">
        <f>IF(AND(ISNUMBER(BM6),BN6&lt;&gt;"Completed"),BM6,"")</f>
        <v/>
      </c>
      <c r="CK6">
        <f>IF(OR(A6="",D6="Completed"),"",IF(N(G6)&gt;0,1/(N(G6)+ROW()/100000),IF(ISNUMBER(F6),1000+F6+ROW()/100000,TODAY()+400+ROW()/100000)))</f>
        <v/>
      </c>
    </row>
    <row r="7" ht="16" customHeight="1" s="39">
      <c r="A7" s="29" t="inlineStr">
        <is>
          <t>CI</t>
        </is>
      </c>
      <c r="B7" s="29" t="inlineStr">
        <is>
          <t>Vidhesha &lt;vkumaran@randomtrees.com&gt;</t>
        </is>
      </c>
      <c r="C7" s="29" t="inlineStr">
        <is>
          <t>Sprint 17</t>
        </is>
      </c>
      <c r="D7" s="30">
        <f>IF(A4="","",IF(((S4="Blocked")+(V4="Blocked")+(Y4="Blocked")+(AC4="Blocked")+(AI4="Blocked")+(AL4="Blocked")+(AO4="Blocked")+(AS4="Blocked")+(AY4="Blocked")+(BB4="Blocked")+(BE4="Blocked")+(BI4="Blocked")+(P4="Blocked")+(BN4="Blocked")+(BP4="Blocked")+(BR4="Blocked")+(BS4="Blocked"))&gt;0,"Blocked",IF((ISNUMBER(Q4)+ISNUMBER(T4)+ISNUMBER(W4)+ISNUMBER(AA4)+ISNUMBER(AG4)+ISNUMBER(AJ4)+ISNUMBER(AM4)+ISNUMBER(AQ4)+ISNUMBER(AW4)+ISNUMBER(AZ4)+ISNUMBER(BC4)+ISNUMBER(BG4)+ISNUMBER(O4)+ISNUMBER(BM4)+ISNUMBER(BO4)+ISNUMBER(BQ4))=0,"Yet to start",IF(AND(OR(NOT(ISNUMBER(Q4)),S4="Completed"),OR(NOT(ISNUMBER(T4)),V4="Completed"),OR(NOT(ISNUMBER(W4)),Y4="Completed"),OR(NOT(ISNUMBER(AA4)),AC4="Completed"),OR(NOT(ISNUMBER(AG4)),AI4="Completed"),OR(NOT(ISNUMBER(AJ4)),AL4="Completed"),OR(NOT(ISNUMBER(AM4)),AO4="Completed"),OR(NOT(ISNUMBER(AQ4)),AS4="Completed"),OR(NOT(ISNUMBER(AW4)),AY4="Completed"),OR(NOT(ISNUMBER(AZ4)),BB4="Completed"),OR(NOT(ISNUMBER(BC4)),BE4="Completed"),OR(NOT(ISNUMBER(BG4)),BI4="Completed"),OR(NOT(ISNUMBER(O4)),P4="Completed"),OR(NOT(ISNUMBER(BM4)),BN4="Completed"),OR(NOT(ISNUMBER(BO4)),BP4="Completed"),OR(NOT(ISNUMBER(BQ4)),BR4="Completed"),BS4="Completed"),"Completed",IF(((S4="In Progress")+(V4="In Progress")+(Y4="In Progress")+(AC4="In Progress")+(AI4="In Progress")+(AL4="In Progress")+(AO4="In Progress")+(AS4="In Progress")+(AY4="In Progress")+(BB4="In Progress")+(BE4="In Progress")+(BI4="In Progress")+(P4="In Progress")+(BN4="In Progress")+(BP4="In Progress")+(BR4="In Progress")+(BS4="In Progress"))&gt;0,"In Progress","Yet to start")))))</f>
        <v/>
      </c>
      <c r="E7" s="30">
        <f>IF(A7="","",IF(F7="","All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Review","CAB"},MATCH(F7,BU7:CJ7,0))))</f>
        <v/>
      </c>
      <c r="F7" s="31">
        <f>IF(A7="","",IF(COUNT(BU7:CJ7)=0,"",MIN(BU7:CJ7)))</f>
        <v/>
      </c>
      <c r="G7" s="30">
        <f>IF(A7="","",MAX(0,IF(AND(ISNUMBER(Q7),S7&lt;&gt;"Completed",Q7&lt;TODAY()),TODAY()-Q7,0),IF(AND(ISNUMBER(T7),V7&lt;&gt;"Completed",T7&lt;TODAY()),TODAY()-T7,0),IF(AND(ISNUMBER(W7),Y7&lt;&gt;"Completed",W7&lt;TODAY()),TODAY()-W7,0),IF(AND(ISNUMBER(AA7),AC7&lt;&gt;"Completed",AA7&lt;TODAY()),TODAY()-AA7,0),IF(AND(ISNUMBER(AG7),AI7&lt;&gt;"Completed",AG7&lt;TODAY()),TODAY()-AG7,0),IF(AND(ISNUMBER(AJ7),AL7&lt;&gt;"Completed",AJ7&lt;TODAY()),TODAY()-AJ7,0),IF(AND(ISNUMBER(AM7),AO7&lt;&gt;"Completed",AM7&lt;TODAY()),TODAY()-AM7,0),IF(AND(ISNUMBER(AQ7),AS7&lt;&gt;"Completed",AQ7&lt;TODAY()),TODAY()-AQ7,0),IF(AND(ISNUMBER(AW7),AY7&lt;&gt;"Completed",AW7&lt;TODAY()),TODAY()-AW7,0),IF(AND(ISNUMBER(AZ7),BB7&lt;&gt;"Completed",AZ7&lt;TODAY()),TODAY()-AZ7,0),IF(AND(ISNUMBER(BC7),BE7&lt;&gt;"Completed",BC7&lt;TODAY()),TODAY()-BC7,0),IF(AND(ISNUMBER(BG7),BI7&lt;&gt;"Completed",BG7&lt;TODAY()),TODAY()-BG7,0),IF(AND(ISNUMBER(O7),P7&lt;&gt;"Completed",O7&lt;TODAY()),TODAY()-O7,0),IF(AND(ISNUMBER(BQ7),BR7&lt;&gt;"Completed",BQ7&lt;TODAY()),TODAY()-BQ7,0),IF(AND(ISNUMBER(BO7),BP7&lt;&gt;"Completed",BO7&lt;TODAY()),TODAY()-BO7,0),IF(AND(ISNUMBER(BM7),BN7&lt;&gt;"Completed",BM7&lt;TODAY()),TODAY()-BM7,0)))</f>
        <v/>
      </c>
      <c r="H7" s="32" t="n">
        <v>46232</v>
      </c>
      <c r="I7" s="32" t="n">
        <v>46245</v>
      </c>
      <c r="J7" s="32" t="n">
        <v>46276</v>
      </c>
      <c r="K7" s="31">
        <f>IF(ISNUMBER(H7),H7,IF(ISNUMBER(M7),M7-WEEKDAY(M7,2)+1-7,""))</f>
        <v/>
      </c>
      <c r="L7" s="31">
        <f>IF(ISNUMBER(I7),I7,IF(ISNUMBER(H7),WORKDAY(H7,SprintWorkingDays-1),IF(ISNUMBER(K7),WORKDAY(K7,SprintWorkingDays-1),"")))</f>
        <v/>
      </c>
      <c r="M7" s="31">
        <f>IF(ISNUMBER(J7),J7,IF(ISNUMBER(I7),I7-IF(OR(WEEKDAY(I7,2)=2,WEEKDAY(I7,2)=4),0,IF(WEEKDAY(I7,2)=3,1,IF(WEEKDAY(I7,2)=1,4,WEEKDAY(I7,2)-4))),IF(ISNUMBER(H7),WORKDAY(H7,SprintWorkingDays-1)-IF(OR(WEEKDAY(WORKDAY(H7,SprintWorkingDays-1),2)=2,WEEKDAY(WORKDAY(H7,SprintWorkingDays-1),2)=4),0,IF(WEEKDAY(WORKDAY(H7,SprintWorkingDays-1),2)=3,1,IF(WEEKDAY(WORKDAY(H7,SprintWorkingDays-1),2)=1,4,WEEKDAY(WORKDAY(H7,SprintWorkingDays-1),2)-4))),"")))</f>
        <v/>
      </c>
      <c r="N7" s="31">
        <f>IF(NOT(ISNUMBER(K7)),"",WORKDAY(K7,ReadyOffsetWD))</f>
        <v/>
      </c>
      <c r="O7" s="31">
        <f>IF(NOT(ISNUMBER(K7)),"",WORKDAY(K7,SprintReadinessOffsetWD))</f>
        <v/>
      </c>
      <c r="P7" s="29" t="n"/>
      <c r="Q7" s="31">
        <f>IF(NOT(ISNUMBER(T7)),"",WORKDAY(T7,RTSKOffsetFromOUR_WD))</f>
        <v/>
      </c>
      <c r="R7" s="32" t="n"/>
      <c r="S7" s="29" t="inlineStr">
        <is>
          <t>Yet to start</t>
        </is>
      </c>
      <c r="T7" s="31">
        <f>IF(NOT(ISNUMBER(W7)),"",WORKDAY(W7,OUROffsetFromSR_WD))</f>
        <v/>
      </c>
      <c r="U7" s="32" t="n"/>
      <c r="V7" s="29" t="n"/>
      <c r="W7" s="31">
        <f>IF(NOT(ISNUMBER(K7)),"",WORKDAY(K7,SROffsetFromStartWD))</f>
        <v/>
      </c>
      <c r="X7" s="32" t="n"/>
      <c r="Y7" s="29" t="n"/>
      <c r="Z7" s="29" t="n"/>
      <c r="AA7" s="31">
        <f>IF(ISNUMBER(Q7),Q7,"")</f>
        <v/>
      </c>
      <c r="AB7" s="32" t="n"/>
      <c r="AC7" s="29" t="n"/>
      <c r="AD7" s="29" t="n"/>
      <c r="AE7" s="29" t="n"/>
      <c r="AF7" s="29" t="n"/>
      <c r="AG7" s="31">
        <f>IF(NOT(ISNUMBER(Q7)),"",Q7)</f>
        <v/>
      </c>
      <c r="AH7" s="32" t="n"/>
      <c r="AI7" s="29" t="n"/>
      <c r="AJ7" s="31">
        <f>IF(NOT(ISNUMBER(T7)),"",T7)</f>
        <v/>
      </c>
      <c r="AK7" s="32" t="n"/>
      <c r="AL7" s="29" t="n"/>
      <c r="AM7" s="31">
        <f>IF(NOT(ISNUMBER(W7)),"",W7)</f>
        <v/>
      </c>
      <c r="AN7" s="32" t="n"/>
      <c r="AO7" s="29" t="n"/>
      <c r="AP7" s="29" t="n"/>
      <c r="AQ7" s="31">
        <f>IF(ISNUMBER(AG7),AG7,"")</f>
        <v/>
      </c>
      <c r="AR7" s="32" t="n"/>
      <c r="AS7" s="29" t="n"/>
      <c r="AT7" s="29" t="n"/>
      <c r="AU7" s="29" t="n"/>
      <c r="AV7" s="29" t="n"/>
      <c r="AW7" s="31">
        <f>IF(NOT(ISNUMBER(Q7)),"",Q7)</f>
        <v/>
      </c>
      <c r="AX7" s="32" t="n"/>
      <c r="AY7" s="29" t="n"/>
      <c r="AZ7" s="31">
        <f>IF(NOT(ISNUMBER(T7)),"",T7)</f>
        <v/>
      </c>
      <c r="BA7" s="32" t="n"/>
      <c r="BB7" s="29" t="n"/>
      <c r="BC7" s="31">
        <f>IF(NOT(ISNUMBER(W7)),"",W7)</f>
        <v/>
      </c>
      <c r="BD7" s="32" t="n"/>
      <c r="BE7" s="29" t="n"/>
      <c r="BF7" s="29" t="n"/>
      <c r="BG7" s="31">
        <f>IF(ISNUMBER(AW7),AW7,"")</f>
        <v/>
      </c>
      <c r="BH7" s="32" t="n"/>
      <c r="BI7" s="29" t="n"/>
      <c r="BJ7" s="29" t="n"/>
      <c r="BK7" s="29" t="n"/>
      <c r="BL7" s="29" t="n"/>
      <c r="BM7" s="31" t="n">
        <v>46213</v>
      </c>
      <c r="BN7" s="29" t="n"/>
      <c r="BO7" s="31">
        <f>IF(NOT(ISNUMBER(BM7)),"",IF(WEEKDAY(BM7-CodeReviewCalendarDays,2)&gt;5,BM7-CodeReviewCalendarDays-(WEEKDAY(BM7-CodeReviewCalendarDays,2)-5),BM7-CodeReviewCalendarDays))</f>
        <v/>
      </c>
      <c r="BP7" s="29" t="n"/>
      <c r="BQ7" s="31">
        <f>IF(NOT(ISNUMBER(BO7)),"",IF(WEEKDAY(BO7-CodeReviewInviteCalendarDays,2)&gt;5,BO7-CodeReviewInviteCalendarDays-(WEEKDAY(BO7-CodeReviewInviteCalendarDays,2)-5),BO7-CodeReviewInviteCalendarDays))</f>
        <v/>
      </c>
      <c r="BR7" s="29" t="n"/>
      <c r="BS7" s="29" t="n"/>
      <c r="BT7" s="30">
        <f>IF(A7="","",IF(IF(AND(ISNUMBER(J7),WEEKDAY(J7,2)&lt;&gt;2,WEEKDAY(J7,2)&lt;&gt;4)," | Release must be Tuesday or Thursday","")&amp;IF(AND(ISNUMBER(H7),WEEKDAY(H7,2)&lt;&gt;1)," | Sprint Start is not a Monday - dates still calculated from the date entered","")&amp;IF(AND(A7&lt;&gt;"",NOT(ISNUMBER(H7)),NOT(ISNUMBER(J7)))," | Enter Sprint Start or Release Date","")&amp;IF(AND(ISNUMBER(F7),F7&lt;TODAY(),D7&lt;&gt;"Completed")," | One or more raise-by dates are in the past and not completed","")&amp;IF(AND(ISNUMBER(K7),K7-TODAY()&lt;SprintWarningDays,K7&gt;=TODAY(),OR(D7="Yet to start",D7="Blocked"))," | Sprint starts in under 10 days - raise access requests now","")&amp;IF(AND(ISNUMBER(BQ7),BR7&lt;&gt;"Completed",BQ7-TODAY()&lt;CodeReviewInviteCalendarDays)," | Code Review invite should be sent at least 4 days before Code Review","")="","",MID(IF(AND(ISNUMBER(J7),WEEKDAY(J7,2)&lt;&gt;2,WEEKDAY(J7,2)&lt;&gt;4)," | Release must be Tuesday or Thursday","")&amp;IF(AND(ISNUMBER(H7),WEEKDAY(H7,2)&lt;&gt;1)," | Sprint Start is not a Monday - dates still calculated from the date entered","")&amp;IF(AND(A7&lt;&gt;"",NOT(ISNUMBER(H7)),NOT(ISNUMBER(J7)))," | Enter Sprint Start or Release Date","")&amp;IF(AND(ISNUMBER(F7),F7&lt;TODAY(),D7&lt;&gt;"Completed")," | One or more raise-by dates are in the past and not completed","")&amp;IF(AND(ISNUMBER(K7),K7-TODAY()&lt;SprintWarningDays,K7&gt;=TODAY(),OR(D7="Yet to start",D7="Blocked"))," | Sprint starts in under 10 days - raise access requests now","")&amp;IF(AND(ISNUMBER(BQ7),BR7&lt;&gt;"Completed",BQ7-TODAY()&lt;CodeReviewInviteCalendarDays)," | Code Review invite should be sent at least 4 days before Code Review",""),4,500)))</f>
        <v/>
      </c>
      <c r="BU7">
        <f>IF(AND(ISNUMBER(Q7),S7&lt;&gt;"Completed"),Q7,"")</f>
        <v/>
      </c>
      <c r="BV7">
        <f>IF(AND(ISNUMBER(T7),V7&lt;&gt;"Completed"),T7,"")</f>
        <v/>
      </c>
      <c r="BW7">
        <f>IF(AND(ISNUMBER(W7),Y7&lt;&gt;"Completed"),W7,"")</f>
        <v/>
      </c>
      <c r="BX7">
        <f>IF(AND(ISNUMBER(AA7),AC7&lt;&gt;"Completed"),AA7,"")</f>
        <v/>
      </c>
      <c r="BY7">
        <f>IF(AND(ISNUMBER(AG7),AI7&lt;&gt;"Completed"),AG7,"")</f>
        <v/>
      </c>
      <c r="BZ7">
        <f>IF(AND(ISNUMBER(AJ7),AL7&lt;&gt;"Completed"),AJ7,"")</f>
        <v/>
      </c>
      <c r="CA7">
        <f>IF(AND(ISNUMBER(AM7),AO7&lt;&gt;"Completed"),AM7,"")</f>
        <v/>
      </c>
      <c r="CB7">
        <f>IF(AND(ISNUMBER(AQ7),AS7&lt;&gt;"Completed"),AQ7,"")</f>
        <v/>
      </c>
      <c r="CC7">
        <f>IF(AND(ISNUMBER(AW7),AY7&lt;&gt;"Completed"),AW7,"")</f>
        <v/>
      </c>
      <c r="CD7">
        <f>IF(AND(ISNUMBER(AZ7),BB7&lt;&gt;"Completed"),AZ7,"")</f>
        <v/>
      </c>
      <c r="CE7">
        <f>IF(AND(ISNUMBER(BC7),BE7&lt;&gt;"Completed"),BC7,"")</f>
        <v/>
      </c>
      <c r="CF7">
        <f>IF(AND(ISNUMBER(BG7),BI7&lt;&gt;"Completed"),BG7,"")</f>
        <v/>
      </c>
      <c r="CG7">
        <f>IF(AND(ISNUMBER(O7),P7&lt;&gt;"Completed"),O7,"")</f>
        <v/>
      </c>
      <c r="CH7">
        <f>IF(AND(ISNUMBER(BQ7),BR7&lt;&gt;"Completed"),BQ7,"")</f>
        <v/>
      </c>
      <c r="CI7">
        <f>IF(AND(ISNUMBER(BO7),BP7&lt;&gt;"Completed"),BO7,"")</f>
        <v/>
      </c>
      <c r="CJ7">
        <f>IF(AND(ISNUMBER(BM7),BN7&lt;&gt;"Completed"),BM7,"")</f>
        <v/>
      </c>
      <c r="CK7">
        <f>IF(OR(A7="",D7="Completed"),"",IF(N(G7)&gt;0,1/(N(G7)+ROW()/100000),IF(ISNUMBER(F7),1000+F7+ROW()/100000,TODAY()+400+ROW()/100000)))</f>
        <v/>
      </c>
    </row>
    <row r="8" ht="16" customHeight="1" s="39">
      <c r="A8" s="29" t="inlineStr">
        <is>
          <t>CI_MART</t>
        </is>
      </c>
      <c r="B8" s="29" t="inlineStr">
        <is>
          <t>Sharath &lt;Skotha1@randomtrees.com&gt;</t>
        </is>
      </c>
      <c r="C8" s="29" t="inlineStr">
        <is>
          <t>Sprint 17</t>
        </is>
      </c>
      <c r="D8" s="30">
        <f>IF(A3="","",IF(((S3="Blocked")+(V3="Blocked")+(Y3="Blocked")+(AC3="Blocked")+(AI3="Blocked")+(AL3="Blocked")+(AO3="Blocked")+(AS3="Blocked")+(AY3="Blocked")+(BB3="Blocked")+(BE3="Blocked")+(BI3="Blocked")+(P3="Blocked")+(BN3="Blocked")+(BP3="Blocked")+(BR3="Blocked")+(BS3="Blocked"))&gt;0,"Blocked",IF((ISNUMBER(Q3)+ISNUMBER(T3)+ISNUMBER(W3)+ISNUMBER(AA3)+ISNUMBER(AG3)+ISNUMBER(AJ3)+ISNUMBER(AM3)+ISNUMBER(AQ3)+ISNUMBER(AW3)+ISNUMBER(AZ3)+ISNUMBER(BC3)+ISNUMBER(BG3)+ISNUMBER(O3)+ISNUMBER(BM3)+ISNUMBER(BO3)+ISNUMBER(BQ3))=0,"Yet to start",IF(AND(OR(NOT(ISNUMBER(Q3)),S3="Completed"),OR(NOT(ISNUMBER(T3)),V3="Completed"),OR(NOT(ISNUMBER(W3)),Y3="Completed"),OR(NOT(ISNUMBER(AA3)),AC3="Completed"),OR(NOT(ISNUMBER(AG3)),AI3="Completed"),OR(NOT(ISNUMBER(AJ3)),AL3="Completed"),OR(NOT(ISNUMBER(AM3)),AO3="Completed"),OR(NOT(ISNUMBER(AQ3)),AS3="Completed"),OR(NOT(ISNUMBER(AW3)),AY3="Completed"),OR(NOT(ISNUMBER(AZ3)),BB3="Completed"),OR(NOT(ISNUMBER(BC3)),BE3="Completed"),OR(NOT(ISNUMBER(BG3)),BI3="Completed"),OR(NOT(ISNUMBER(O3)),P3="Completed"),OR(NOT(ISNUMBER(BM3)),BN3="Completed"),OR(NOT(ISNUMBER(BO3)),BP3="Completed"),OR(NOT(ISNUMBER(BQ3)),BR3="Completed"),BS3="Completed"),"Completed",IF(((S3="In Progress")+(V3="In Progress")+(Y3="In Progress")+(AC3="In Progress")+(AI3="In Progress")+(AL3="In Progress")+(AO3="In Progress")+(AS3="In Progress")+(AY3="In Progress")+(BB3="In Progress")+(BE3="In Progress")+(BI3="In Progress")+(P3="In Progress")+(BN3="In Progress")+(BP3="In Progress")+(BR3="In Progress")+(BS3="In Progress"))&gt;0,"In Progress","Yet to start")))))</f>
        <v/>
      </c>
      <c r="E8" s="30">
        <f>IF(A8="","",IF(F8="","All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Review","CAB"},MATCH(F8,BU8:CJ8,0))))</f>
        <v/>
      </c>
      <c r="F8" s="31">
        <f>IF(A8="","",IF(COUNT(BU8:CJ8)=0,"",MIN(BU8:CJ8)))</f>
        <v/>
      </c>
      <c r="G8" s="30">
        <f>IF(A8="","",MAX(0,IF(AND(ISNUMBER(Q8),S8&lt;&gt;"Completed",Q8&lt;TODAY()),TODAY()-Q8,0),IF(AND(ISNUMBER(T8),V8&lt;&gt;"Completed",T8&lt;TODAY()),TODAY()-T8,0),IF(AND(ISNUMBER(W8),Y8&lt;&gt;"Completed",W8&lt;TODAY()),TODAY()-W8,0),IF(AND(ISNUMBER(AA8),AC8&lt;&gt;"Completed",AA8&lt;TODAY()),TODAY()-AA8,0),IF(AND(ISNUMBER(AG8),AI8&lt;&gt;"Completed",AG8&lt;TODAY()),TODAY()-AG8,0),IF(AND(ISNUMBER(AJ8),AL8&lt;&gt;"Completed",AJ8&lt;TODAY()),TODAY()-AJ8,0),IF(AND(ISNUMBER(AM8),AO8&lt;&gt;"Completed",AM8&lt;TODAY()),TODAY()-AM8,0),IF(AND(ISNUMBER(AQ8),AS8&lt;&gt;"Completed",AQ8&lt;TODAY()),TODAY()-AQ8,0),IF(AND(ISNUMBER(AW8),AY8&lt;&gt;"Completed",AW8&lt;TODAY()),TODAY()-AW8,0),IF(AND(ISNUMBER(AZ8),BB8&lt;&gt;"Completed",AZ8&lt;TODAY()),TODAY()-AZ8,0),IF(AND(ISNUMBER(BC8),BE8&lt;&gt;"Completed",BC8&lt;TODAY()),TODAY()-BC8,0),IF(AND(ISNUMBER(BG8),BI8&lt;&gt;"Completed",BG8&lt;TODAY()),TODAY()-BG8,0),IF(AND(ISNUMBER(O8),P8&lt;&gt;"Completed",O8&lt;TODAY()),TODAY()-O8,0),IF(AND(ISNUMBER(BQ8),BR8&lt;&gt;"Completed",BQ8&lt;TODAY()),TODAY()-BQ8,0),IF(AND(ISNUMBER(BO8),BP8&lt;&gt;"Completed",BO8&lt;TODAY()),TODAY()-BO8,0),IF(AND(ISNUMBER(BM8),BN8&lt;&gt;"Completed",BM8&lt;TODAY()),TODAY()-BM8,0)))</f>
        <v/>
      </c>
      <c r="H8" s="32" t="n">
        <v>46232</v>
      </c>
      <c r="I8" s="32" t="n">
        <v>46245</v>
      </c>
      <c r="J8" s="32" t="n">
        <v>46276</v>
      </c>
      <c r="K8" s="31">
        <f>IF(ISNUMBER(H8),H8,IF(ISNUMBER(M8),M8-WEEKDAY(M8,2)+1-7,""))</f>
        <v/>
      </c>
      <c r="L8" s="31">
        <f>IF(ISNUMBER(I8),I8,IF(ISNUMBER(H8),WORKDAY(H8,SprintWorkingDays-1),IF(ISNUMBER(K8),WORKDAY(K8,SprintWorkingDays-1),"")))</f>
        <v/>
      </c>
      <c r="M8" s="31">
        <f>IF(ISNUMBER(J8),J8,IF(ISNUMBER(I8),I8-IF(OR(WEEKDAY(I8,2)=2,WEEKDAY(I8,2)=4),0,IF(WEEKDAY(I8,2)=3,1,IF(WEEKDAY(I8,2)=1,4,WEEKDAY(I8,2)-4))),IF(ISNUMBER(H8),WORKDAY(H8,SprintWorkingDays-1)-IF(OR(WEEKDAY(WORKDAY(H8,SprintWorkingDays-1),2)=2,WEEKDAY(WORKDAY(H8,SprintWorkingDays-1),2)=4),0,IF(WEEKDAY(WORKDAY(H8,SprintWorkingDays-1),2)=3,1,IF(WEEKDAY(WORKDAY(H8,SprintWorkingDays-1),2)=1,4,WEEKDAY(WORKDAY(H8,SprintWorkingDays-1),2)-4))),"")))</f>
        <v/>
      </c>
      <c r="N8" s="31">
        <f>IF(NOT(ISNUMBER(K8)),"",WORKDAY(K8,ReadyOffsetWD))</f>
        <v/>
      </c>
      <c r="O8" s="31">
        <f>IF(NOT(ISNUMBER(K8)),"",WORKDAY(K8,SprintReadinessOffsetWD))</f>
        <v/>
      </c>
      <c r="P8" s="29" t="n"/>
      <c r="Q8" s="31">
        <f>IF(NOT(ISNUMBER(T8)),"",WORKDAY(T8,RTSKOffsetFromOUR_WD))</f>
        <v/>
      </c>
      <c r="R8" s="32" t="n"/>
      <c r="S8" s="29" t="inlineStr">
        <is>
          <t>Completed</t>
        </is>
      </c>
      <c r="T8" s="31">
        <f>IF(NOT(ISNUMBER(W8)),"",WORKDAY(W8,OUROffsetFromSR_WD))</f>
        <v/>
      </c>
      <c r="U8" s="32" t="n"/>
      <c r="V8" s="29" t="n"/>
      <c r="W8" s="31">
        <f>IF(NOT(ISNUMBER(K8)),"",WORKDAY(K8,SROffsetFromStartWD))</f>
        <v/>
      </c>
      <c r="X8" s="32" t="n"/>
      <c r="Y8" s="29" t="n"/>
      <c r="Z8" s="29" t="n"/>
      <c r="AA8" s="31">
        <f>IF(ISNUMBER(Q8),Q8,"")</f>
        <v/>
      </c>
      <c r="AB8" s="32" t="n"/>
      <c r="AC8" s="29" t="n"/>
      <c r="AD8" s="29" t="n"/>
      <c r="AE8" s="29" t="n"/>
      <c r="AF8" s="29" t="n"/>
      <c r="AG8" s="31">
        <f>IF(NOT(ISNUMBER(Q8)),"",Q8)</f>
        <v/>
      </c>
      <c r="AH8" s="32" t="n"/>
      <c r="AI8" s="29" t="n"/>
      <c r="AJ8" s="31">
        <f>IF(NOT(ISNUMBER(T8)),"",T8)</f>
        <v/>
      </c>
      <c r="AK8" s="32" t="n"/>
      <c r="AL8" s="29" t="n"/>
      <c r="AM8" s="31">
        <f>IF(NOT(ISNUMBER(W8)),"",W8)</f>
        <v/>
      </c>
      <c r="AN8" s="32" t="n"/>
      <c r="AO8" s="29" t="n"/>
      <c r="AP8" s="29" t="n"/>
      <c r="AQ8" s="31">
        <f>IF(ISNUMBER(AG8),AG8,"")</f>
        <v/>
      </c>
      <c r="AR8" s="32" t="n"/>
      <c r="AS8" s="29" t="n"/>
      <c r="AT8" s="29" t="n"/>
      <c r="AU8" s="29" t="n"/>
      <c r="AV8" s="29" t="n"/>
      <c r="AW8" s="31">
        <f>IF(NOT(ISNUMBER(Q8)),"",Q8)</f>
        <v/>
      </c>
      <c r="AX8" s="32" t="n"/>
      <c r="AY8" s="29" t="n"/>
      <c r="AZ8" s="31">
        <f>IF(NOT(ISNUMBER(T8)),"",T8)</f>
        <v/>
      </c>
      <c r="BA8" s="32" t="n"/>
      <c r="BB8" s="29" t="n"/>
      <c r="BC8" s="31">
        <f>IF(NOT(ISNUMBER(W8)),"",W8)</f>
        <v/>
      </c>
      <c r="BD8" s="32" t="n"/>
      <c r="BE8" s="29" t="n"/>
      <c r="BF8" s="29" t="n"/>
      <c r="BG8" s="31">
        <f>IF(ISNUMBER(AW8),AW8,"")</f>
        <v/>
      </c>
      <c r="BH8" s="32" t="n"/>
      <c r="BI8" s="29" t="n"/>
      <c r="BJ8" s="29" t="n"/>
      <c r="BK8" s="29" t="n"/>
      <c r="BL8" s="29" t="n"/>
      <c r="BM8" s="31" t="n">
        <v>46213</v>
      </c>
      <c r="BN8" s="29" t="n"/>
      <c r="BO8" s="31">
        <f>IF(NOT(ISNUMBER(BM8)),"",IF(WEEKDAY(BM8-CodeReviewCalendarDays,2)&gt;5,BM8-CodeReviewCalendarDays-(WEEKDAY(BM8-CodeReviewCalendarDays,2)-5),BM8-CodeReviewCalendarDays))</f>
        <v/>
      </c>
      <c r="BP8" s="29" t="n"/>
      <c r="BQ8" s="31">
        <f>IF(NOT(ISNUMBER(BO8)),"",IF(WEEKDAY(BO8-CodeReviewInviteCalendarDays,2)&gt;5,BO8-CodeReviewInviteCalendarDays-(WEEKDAY(BO8-CodeReviewInviteCalendarDays,2)-5),BO8-CodeReviewInviteCalendarDays))</f>
        <v/>
      </c>
      <c r="BR8" s="29" t="n"/>
      <c r="BS8" s="29" t="n"/>
      <c r="BT8" s="30">
        <f>IF(A8="","",IF(IF(AND(ISNUMBER(J8),WEEKDAY(J8,2)&lt;&gt;2,WEEKDAY(J8,2)&lt;&gt;4)," | Release must be Tuesday or Thursday","")&amp;IF(AND(ISNUMBER(H8),WEEKDAY(H8,2)&lt;&gt;1)," | Sprint Start is not a Monday - dates still calculated from the date entered","")&amp;IF(AND(A8&lt;&gt;"",NOT(ISNUMBER(H8)),NOT(ISNUMBER(J8)))," | Enter Sprint Start or Release Date","")&amp;IF(AND(ISNUMBER(F8),F8&lt;TODAY(),D8&lt;&gt;"Completed")," | One or more raise-by dates are in the past and not completed","")&amp;IF(AND(ISNUMBER(K8),K8-TODAY()&lt;SprintWarningDays,K8&gt;=TODAY(),OR(D8="Yet to start",D8="Blocked"))," | Sprint starts in under 10 days - raise access requests now","")&amp;IF(AND(ISNUMBER(BQ8),BR8&lt;&gt;"Completed",BQ8-TODAY()&lt;CodeReviewInviteCalendarDays)," | Code Review invite should be sent at least 4 days before Code Review","")="","",MID(IF(AND(ISNUMBER(J8),WEEKDAY(J8,2)&lt;&gt;2,WEEKDAY(J8,2)&lt;&gt;4)," | Release must be Tuesday or Thursday","")&amp;IF(AND(ISNUMBER(H8),WEEKDAY(H8,2)&lt;&gt;1)," | Sprint Start is not a Monday - dates still calculated from the date entered","")&amp;IF(AND(A8&lt;&gt;"",NOT(ISNUMBER(H8)),NOT(ISNUMBER(J8)))," | Enter Sprint Start or Release Date","")&amp;IF(AND(ISNUMBER(F8),F8&lt;TODAY(),D8&lt;&gt;"Completed")," | One or more raise-by dates are in the past and not completed","")&amp;IF(AND(ISNUMBER(K8),K8-TODAY()&lt;SprintWarningDays,K8&gt;=TODAY(),OR(D8="Yet to start",D8="Blocked"))," | Sprint starts in under 10 days - raise access requests now","")&amp;IF(AND(ISNUMBER(BQ8),BR8&lt;&gt;"Completed",BQ8-TODAY()&lt;CodeReviewInviteCalendarDays)," | Code Review invite should be sent at least 4 days before Code Review",""),4,500)))</f>
        <v/>
      </c>
      <c r="BU8">
        <f>IF(AND(ISNUMBER(Q8),S8&lt;&gt;"Completed"),Q8,"")</f>
        <v/>
      </c>
      <c r="BV8">
        <f>IF(AND(ISNUMBER(T8),V8&lt;&gt;"Completed"),T8,"")</f>
        <v/>
      </c>
      <c r="BW8">
        <f>IF(AND(ISNUMBER(W8),Y8&lt;&gt;"Completed"),W8,"")</f>
        <v/>
      </c>
      <c r="BX8">
        <f>IF(AND(ISNUMBER(AA8),AC8&lt;&gt;"Completed"),AA8,"")</f>
        <v/>
      </c>
      <c r="BY8">
        <f>IF(AND(ISNUMBER(AG8),AI8&lt;&gt;"Completed"),AG8,"")</f>
        <v/>
      </c>
      <c r="BZ8">
        <f>IF(AND(ISNUMBER(AJ8),AL8&lt;&gt;"Completed"),AJ8,"")</f>
        <v/>
      </c>
      <c r="CA8">
        <f>IF(AND(ISNUMBER(AM8),AO8&lt;&gt;"Completed"),AM8,"")</f>
        <v/>
      </c>
      <c r="CB8">
        <f>IF(AND(ISNUMBER(AQ8),AS8&lt;&gt;"Completed"),AQ8,"")</f>
        <v/>
      </c>
      <c r="CC8">
        <f>IF(AND(ISNUMBER(AW8),AY8&lt;&gt;"Completed"),AW8,"")</f>
        <v/>
      </c>
      <c r="CD8">
        <f>IF(AND(ISNUMBER(AZ8),BB8&lt;&gt;"Completed"),AZ8,"")</f>
        <v/>
      </c>
      <c r="CE8">
        <f>IF(AND(ISNUMBER(BC8),BE8&lt;&gt;"Completed"),BC8,"")</f>
        <v/>
      </c>
      <c r="CF8">
        <f>IF(AND(ISNUMBER(BG8),BI8&lt;&gt;"Completed"),BG8,"")</f>
        <v/>
      </c>
      <c r="CG8">
        <f>IF(AND(ISNUMBER(O8),P8&lt;&gt;"Completed"),O8,"")</f>
        <v/>
      </c>
      <c r="CH8">
        <f>IF(AND(ISNUMBER(BQ8),BR8&lt;&gt;"Completed"),BQ8,"")</f>
        <v/>
      </c>
      <c r="CI8">
        <f>IF(AND(ISNUMBER(BO8),BP8&lt;&gt;"Completed"),BO8,"")</f>
        <v/>
      </c>
      <c r="CJ8">
        <f>IF(AND(ISNUMBER(BM8),BN8&lt;&gt;"Completed"),BM8,"")</f>
        <v/>
      </c>
      <c r="CK8">
        <f>IF(OR(A8="",D8="Completed"),"",IF(N(G8)&gt;0,1/(N(G8)+ROW()/100000),IF(ISNUMBER(F8),1000+F8+ROW()/100000,TODAY()+400+ROW()/100000)))</f>
        <v/>
      </c>
    </row>
    <row r="9" ht="16" customHeight="1" s="39">
      <c r="A9" s="29" t="inlineStr">
        <is>
          <t>Ecosys</t>
        </is>
      </c>
      <c r="B9" s="29" t="inlineStr">
        <is>
          <t>Santhosh &lt;skoyalkar@randomtrees.com&gt;</t>
        </is>
      </c>
      <c r="C9" s="29" t="inlineStr">
        <is>
          <t>Sprint 17</t>
        </is>
      </c>
      <c r="D9" s="30">
        <f>IF(A13="","",IF(((S13="Blocked")+(V13="Blocked")+(Y13="Blocked")+(AC13="Blocked")+(AI13="Blocked")+(AL13="Blocked")+(AO13="Blocked")+(AS13="Blocked")+(AY13="Blocked")+(BB13="Blocked")+(BE13="Blocked")+(BI13="Blocked")+(P13="Blocked")+(BN13="Blocked")+(BP13="Blocked")+(BR13="Blocked")+(BS13="Blocked"))&gt;0,"Blocked",IF((ISNUMBER(Q13)+ISNUMBER(T13)+ISNUMBER(W13)+ISNUMBER(AA13)+ISNUMBER(AG13)+ISNUMBER(AJ13)+ISNUMBER(AM13)+ISNUMBER(AQ13)+ISNUMBER(AW13)+ISNUMBER(AZ13)+ISNUMBER(BC13)+ISNUMBER(BG13)+ISNUMBER(O13)+ISNUMBER(BM13)+ISNUMBER(BO13)+ISNUMBER(BQ13))=0,"Yet to start",IF(AND(OR(NOT(ISNUMBER(Q13)),S13="Completed"),OR(NOT(ISNUMBER(T13)),V13="Completed"),OR(NOT(ISNUMBER(W13)),Y13="Completed"),OR(NOT(ISNUMBER(AA13)),AC13="Completed"),OR(NOT(ISNUMBER(AG13)),AI13="Completed"),OR(NOT(ISNUMBER(AJ13)),AL13="Completed"),OR(NOT(ISNUMBER(AM13)),AO13="Completed"),OR(NOT(ISNUMBER(AQ13)),AS13="Completed"),OR(NOT(ISNUMBER(AW13)),AY13="Completed"),OR(NOT(ISNUMBER(AZ13)),BB13="Completed"),OR(NOT(ISNUMBER(BC13)),BE13="Completed"),OR(NOT(ISNUMBER(BG13)),BI13="Completed"),OR(NOT(ISNUMBER(O13)),P13="Completed"),OR(NOT(ISNUMBER(BM13)),BN13="Completed"),OR(NOT(ISNUMBER(BO13)),BP13="Completed"),OR(NOT(ISNUMBER(BQ13)),BR13="Completed"),BS13="Completed"),"Completed",IF(((S13="In Progress")+(V13="In Progress")+(Y13="In Progress")+(AC13="In Progress")+(AI13="In Progress")+(AL13="In Progress")+(AO13="In Progress")+(AS13="In Progress")+(AY13="In Progress")+(BB13="In Progress")+(BE13="In Progress")+(BI13="In Progress")+(P13="In Progress")+(BN13="In Progress")+(BP13="In Progress")+(BR13="In Progress")+(BS13="In Progress"))&gt;0,"In Progress","Yet to start")))))</f>
        <v/>
      </c>
      <c r="E9" s="30">
        <f>IF(A9="","",IF(F9="","All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Review","CAB"},MATCH(F9,BU9:CJ9,0))))</f>
        <v/>
      </c>
      <c r="F9" s="31">
        <f>IF(A9="","",IF(COUNT(BU9:CJ9)=0,"",MIN(BU9:CJ9)))</f>
        <v/>
      </c>
      <c r="G9" s="30">
        <f>IF(A9="","",MAX(0,IF(AND(ISNUMBER(Q9),S9&lt;&gt;"Completed",Q9&lt;TODAY()),TODAY()-Q9,0),IF(AND(ISNUMBER(T9),V9&lt;&gt;"Completed",T9&lt;TODAY()),TODAY()-T9,0),IF(AND(ISNUMBER(W9),Y9&lt;&gt;"Completed",W9&lt;TODAY()),TODAY()-W9,0),IF(AND(ISNUMBER(AA9),AC9&lt;&gt;"Completed",AA9&lt;TODAY()),TODAY()-AA9,0),IF(AND(ISNUMBER(AG9),AI9&lt;&gt;"Completed",AG9&lt;TODAY()),TODAY()-AG9,0),IF(AND(ISNUMBER(AJ9),AL9&lt;&gt;"Completed",AJ9&lt;TODAY()),TODAY()-AJ9,0),IF(AND(ISNUMBER(AM9),AO9&lt;&gt;"Completed",AM9&lt;TODAY()),TODAY()-AM9,0),IF(AND(ISNUMBER(AQ9),AS9&lt;&gt;"Completed",AQ9&lt;TODAY()),TODAY()-AQ9,0),IF(AND(ISNUMBER(AW9),AY9&lt;&gt;"Completed",AW9&lt;TODAY()),TODAY()-AW9,0),IF(AND(ISNUMBER(AZ9),BB9&lt;&gt;"Completed",AZ9&lt;TODAY()),TODAY()-AZ9,0),IF(AND(ISNUMBER(BC9),BE9&lt;&gt;"Completed",BC9&lt;TODAY()),TODAY()-BC9,0),IF(AND(ISNUMBER(BG9),BI9&lt;&gt;"Completed",BG9&lt;TODAY()),TODAY()-BG9,0),IF(AND(ISNUMBER(O9),P9&lt;&gt;"Completed",O9&lt;TODAY()),TODAY()-O9,0),IF(AND(ISNUMBER(BQ9),BR9&lt;&gt;"Completed",BQ9&lt;TODAY()),TODAY()-BQ9,0),IF(AND(ISNUMBER(BO9),BP9&lt;&gt;"Completed",BO9&lt;TODAY()),TODAY()-BO9,0),IF(AND(ISNUMBER(BM9),BN9&lt;&gt;"Completed",BM9&lt;TODAY()),TODAY()-BM9,0)))</f>
        <v/>
      </c>
      <c r="H9" s="32" t="n">
        <v>46232</v>
      </c>
      <c r="I9" s="32" t="n">
        <v>46245</v>
      </c>
      <c r="J9" s="32" t="n">
        <v>46276</v>
      </c>
      <c r="K9" s="31">
        <f>IF(ISNUMBER(H9),H9,IF(ISNUMBER(M9),M9-WEEKDAY(M9,2)+1-7,""))</f>
        <v/>
      </c>
      <c r="L9" s="31">
        <f>IF(ISNUMBER(I9),I9,IF(ISNUMBER(H9),WORKDAY(H9,SprintWorkingDays-1),IF(ISNUMBER(K9),WORKDAY(K9,SprintWorkingDays-1),"")))</f>
        <v/>
      </c>
      <c r="M9" s="31">
        <f>IF(ISNUMBER(J9),J9,IF(ISNUMBER(I9),I9-IF(OR(WEEKDAY(I9,2)=2,WEEKDAY(I9,2)=4),0,IF(WEEKDAY(I9,2)=3,1,IF(WEEKDAY(I9,2)=1,4,WEEKDAY(I9,2)-4))),IF(ISNUMBER(H9),WORKDAY(H9,SprintWorkingDays-1)-IF(OR(WEEKDAY(WORKDAY(H9,SprintWorkingDays-1),2)=2,WEEKDAY(WORKDAY(H9,SprintWorkingDays-1),2)=4),0,IF(WEEKDAY(WORKDAY(H9,SprintWorkingDays-1),2)=3,1,IF(WEEKDAY(WORKDAY(H9,SprintWorkingDays-1),2)=1,4,WEEKDAY(WORKDAY(H9,SprintWorkingDays-1),2)-4))),"")))</f>
        <v/>
      </c>
      <c r="N9" s="31">
        <f>IF(NOT(ISNUMBER(K9)),"",WORKDAY(K9,ReadyOffsetWD))</f>
        <v/>
      </c>
      <c r="O9" s="31">
        <f>IF(NOT(ISNUMBER(K9)),"",WORKDAY(K9,SprintReadinessOffsetWD))</f>
        <v/>
      </c>
      <c r="P9" s="29" t="n"/>
      <c r="Q9" s="31">
        <f>IF(NOT(ISNUMBER(T9)),"",WORKDAY(T9,RTSKOffsetFromOUR_WD))</f>
        <v/>
      </c>
      <c r="R9" s="32" t="n"/>
      <c r="S9" s="29" t="n"/>
      <c r="T9" s="31">
        <f>IF(NOT(ISNUMBER(W9)),"",WORKDAY(W9,OUROffsetFromSR_WD))</f>
        <v/>
      </c>
      <c r="U9" s="32" t="n"/>
      <c r="V9" s="29" t="n"/>
      <c r="W9" s="31">
        <f>IF(NOT(ISNUMBER(K9)),"",WORKDAY(K9,SROffsetFromStartWD))</f>
        <v/>
      </c>
      <c r="X9" s="32" t="n"/>
      <c r="Y9" s="29" t="n"/>
      <c r="Z9" s="29" t="n"/>
      <c r="AA9" s="31">
        <f>IF(ISNUMBER(Q9),Q9,"")</f>
        <v/>
      </c>
      <c r="AB9" s="32" t="n"/>
      <c r="AC9" s="29" t="n"/>
      <c r="AD9" s="29" t="n"/>
      <c r="AE9" s="29" t="n"/>
      <c r="AF9" s="29" t="n"/>
      <c r="AG9" s="31">
        <f>IF(NOT(ISNUMBER(Q9)),"",Q9)</f>
        <v/>
      </c>
      <c r="AH9" s="32" t="n"/>
      <c r="AI9" s="29" t="n"/>
      <c r="AJ9" s="31">
        <f>IF(NOT(ISNUMBER(T9)),"",T9)</f>
        <v/>
      </c>
      <c r="AK9" s="32" t="n"/>
      <c r="AL9" s="29" t="n"/>
      <c r="AM9" s="31">
        <f>IF(NOT(ISNUMBER(W9)),"",W9)</f>
        <v/>
      </c>
      <c r="AN9" s="32" t="n"/>
      <c r="AO9" s="29" t="n"/>
      <c r="AP9" s="29" t="n"/>
      <c r="AQ9" s="31">
        <f>IF(ISNUMBER(AG9),AG9,"")</f>
        <v/>
      </c>
      <c r="AR9" s="32" t="n"/>
      <c r="AS9" s="29" t="n"/>
      <c r="AT9" s="29" t="n"/>
      <c r="AU9" s="29" t="n"/>
      <c r="AV9" s="29" t="n"/>
      <c r="AW9" s="31">
        <f>IF(NOT(ISNUMBER(Q9)),"",Q9)</f>
        <v/>
      </c>
      <c r="AX9" s="32" t="n"/>
      <c r="AY9" s="29" t="n"/>
      <c r="AZ9" s="31">
        <f>IF(NOT(ISNUMBER(T9)),"",T9)</f>
        <v/>
      </c>
      <c r="BA9" s="32" t="n"/>
      <c r="BB9" s="29" t="n"/>
      <c r="BC9" s="31">
        <f>IF(NOT(ISNUMBER(W9)),"",W9)</f>
        <v/>
      </c>
      <c r="BD9" s="32" t="n"/>
      <c r="BE9" s="29" t="n"/>
      <c r="BF9" s="29" t="n"/>
      <c r="BG9" s="31">
        <f>IF(ISNUMBER(AW9),AW9,"")</f>
        <v/>
      </c>
      <c r="BH9" s="32" t="n"/>
      <c r="BI9" s="29" t="n"/>
      <c r="BJ9" s="29" t="n"/>
      <c r="BK9" s="29" t="n"/>
      <c r="BL9" s="29" t="n"/>
      <c r="BM9" s="31" t="n">
        <v>46213</v>
      </c>
      <c r="BN9" s="29" t="n"/>
      <c r="BO9" s="31">
        <f>IF(NOT(ISNUMBER(BM9)),"",IF(WEEKDAY(BM9-CodeReviewCalendarDays,2)&gt;5,BM9-CodeReviewCalendarDays-(WEEKDAY(BM9-CodeReviewCalendarDays,2)-5),BM9-CodeReviewCalendarDays))</f>
        <v/>
      </c>
      <c r="BP9" s="29" t="n"/>
      <c r="BQ9" s="31">
        <f>IF(NOT(ISNUMBER(BO9)),"",IF(WEEKDAY(BO9-CodeReviewInviteCalendarDays,2)&gt;5,BO9-CodeReviewInviteCalendarDays-(WEEKDAY(BO9-CodeReviewInviteCalendarDays,2)-5),BO9-CodeReviewInviteCalendarDays))</f>
        <v/>
      </c>
      <c r="BR9" s="29" t="n"/>
      <c r="BS9" s="29" t="n"/>
      <c r="BT9" s="30">
        <f>IF(A9="","",IF(IF(AND(ISNUMBER(J9),WEEKDAY(J9,2)&lt;&gt;2,WEEKDAY(J9,2)&lt;&gt;4)," | Release must be Tuesday or Thursday","")&amp;IF(AND(ISNUMBER(H9),WEEKDAY(H9,2)&lt;&gt;1)," | Sprint Start is not a Monday - dates still calculated from the date entered","")&amp;IF(AND(A9&lt;&gt;"",NOT(ISNUMBER(H9)),NOT(ISNUMBER(J9)))," | Enter Sprint Start or Release Date","")&amp;IF(AND(ISNUMBER(F9),F9&lt;TODAY(),D9&lt;&gt;"Completed")," | One or more raise-by dates are in the past and not completed","")&amp;IF(AND(ISNUMBER(K9),K9-TODAY()&lt;SprintWarningDays,K9&gt;=TODAY(),OR(D9="Yet to start",D9="Blocked"))," | Sprint starts in under 10 days - raise access requests now","")&amp;IF(AND(ISNUMBER(BQ9),BR9&lt;&gt;"Completed",BQ9-TODAY()&lt;CodeReviewInviteCalendarDays)," | Code Review invite should be sent at least 4 days before Code Review","")="","",MID(IF(AND(ISNUMBER(J9),WEEKDAY(J9,2)&lt;&gt;2,WEEKDAY(J9,2)&lt;&gt;4)," | Release must be Tuesday or Thursday","")&amp;IF(AND(ISNUMBER(H9),WEEKDAY(H9,2)&lt;&gt;1)," | Sprint Start is not a Monday - dates still calculated from the date entered","")&amp;IF(AND(A9&lt;&gt;"",NOT(ISNUMBER(H9)),NOT(ISNUMBER(J9)))," | Enter Sprint Start or Release Date","")&amp;IF(AND(ISNUMBER(F9),F9&lt;TODAY(),D9&lt;&gt;"Completed")," | One or more raise-by dates are in the past and not completed","")&amp;IF(AND(ISNUMBER(K9),K9-TODAY()&lt;SprintWarningDays,K9&gt;=TODAY(),OR(D9="Yet to start",D9="Blocked"))," | Sprint starts in under 10 days - raise access requests now","")&amp;IF(AND(ISNUMBER(BQ9),BR9&lt;&gt;"Completed",BQ9-TODAY()&lt;CodeReviewInviteCalendarDays)," | Code Review invite should be sent at least 4 days before Code Review",""),4,500)))</f>
        <v/>
      </c>
      <c r="BU9">
        <f>IF(AND(ISNUMBER(Q9),S9&lt;&gt;"Completed"),Q9,"")</f>
        <v/>
      </c>
      <c r="BV9">
        <f>IF(AND(ISNUMBER(T9),V9&lt;&gt;"Completed"),T9,"")</f>
        <v/>
      </c>
      <c r="BW9">
        <f>IF(AND(ISNUMBER(W9),Y9&lt;&gt;"Completed"),W9,"")</f>
        <v/>
      </c>
      <c r="BX9">
        <f>IF(AND(ISNUMBER(AA9),AC9&lt;&gt;"Completed"),AA9,"")</f>
        <v/>
      </c>
      <c r="BY9">
        <f>IF(AND(ISNUMBER(AG9),AI9&lt;&gt;"Completed"),AG9,"")</f>
        <v/>
      </c>
      <c r="BZ9">
        <f>IF(AND(ISNUMBER(AJ9),AL9&lt;&gt;"Completed"),AJ9,"")</f>
        <v/>
      </c>
      <c r="CA9">
        <f>IF(AND(ISNUMBER(AM9),AO9&lt;&gt;"Completed"),AM9,"")</f>
        <v/>
      </c>
      <c r="CB9">
        <f>IF(AND(ISNUMBER(AQ9),AS9&lt;&gt;"Completed"),AQ9,"")</f>
        <v/>
      </c>
      <c r="CC9">
        <f>IF(AND(ISNUMBER(AW9),AY9&lt;&gt;"Completed"),AW9,"")</f>
        <v/>
      </c>
      <c r="CD9">
        <f>IF(AND(ISNUMBER(AZ9),BB9&lt;&gt;"Completed"),AZ9,"")</f>
        <v/>
      </c>
      <c r="CE9">
        <f>IF(AND(ISNUMBER(BC9),BE9&lt;&gt;"Completed"),BC9,"")</f>
        <v/>
      </c>
      <c r="CF9">
        <f>IF(AND(ISNUMBER(BG9),BI9&lt;&gt;"Completed"),BG9,"")</f>
        <v/>
      </c>
      <c r="CG9">
        <f>IF(AND(ISNUMBER(O9),P9&lt;&gt;"Completed"),O9,"")</f>
        <v/>
      </c>
      <c r="CH9">
        <f>IF(AND(ISNUMBER(BQ9),BR9&lt;&gt;"Completed"),BQ9,"")</f>
        <v/>
      </c>
      <c r="CI9">
        <f>IF(AND(ISNUMBER(BO9),BP9&lt;&gt;"Completed"),BO9,"")</f>
        <v/>
      </c>
      <c r="CJ9">
        <f>IF(AND(ISNUMBER(BM9),BN9&lt;&gt;"Completed"),BM9,"")</f>
        <v/>
      </c>
      <c r="CK9">
        <f>IF(OR(A9="",D9="Completed"),"",IF(N(G9)&gt;0,1/(N(G9)+ROW()/100000),IF(ISNUMBER(F9),1000+F9+ROW()/100000,TODAY()+400+ROW()/100000)))</f>
        <v/>
      </c>
    </row>
    <row r="10" ht="16" customHeight="1" s="39">
      <c r="A10" s="29" t="inlineStr">
        <is>
          <t>EDDS</t>
        </is>
      </c>
      <c r="B10" s="29" t="inlineStr">
        <is>
          <t>Sandeep &lt;sgodi@randomtrees.com&gt;</t>
        </is>
      </c>
      <c r="C10" s="29" t="inlineStr">
        <is>
          <t>Sprint 17</t>
        </is>
      </c>
      <c r="D10" s="30">
        <f>IF(A12="","",IF(((S12="Blocked")+(V12="Blocked")+(Y12="Blocked")+(AC12="Blocked")+(AI12="Blocked")+(AL12="Blocked")+(AO12="Blocked")+(AS12="Blocked")+(AY12="Blocked")+(BB12="Blocked")+(BE12="Blocked")+(BI12="Blocked")+(P12="Blocked")+(BN12="Blocked")+(BP12="Blocked")+(BR12="Blocked")+(BS12="Blocked"))&gt;0,"Blocked",IF((ISNUMBER(Q12)+ISNUMBER(T12)+ISNUMBER(W12)+ISNUMBER(AA12)+ISNUMBER(AG12)+ISNUMBER(AJ12)+ISNUMBER(AM12)+ISNUMBER(AQ12)+ISNUMBER(AW12)+ISNUMBER(AZ12)+ISNUMBER(BC12)+ISNUMBER(BG12)+ISNUMBER(O12)+ISNUMBER(BM12)+ISNUMBER(BO12)+ISNUMBER(BQ12))=0,"Yet to start",IF(AND(OR(NOT(ISNUMBER(Q12)),S12="Completed"),OR(NOT(ISNUMBER(T12)),V12="Completed"),OR(NOT(ISNUMBER(W12)),Y12="Completed"),OR(NOT(ISNUMBER(AA12)),AC12="Completed"),OR(NOT(ISNUMBER(AG12)),AI12="Completed"),OR(NOT(ISNUMBER(AJ12)),AL12="Completed"),OR(NOT(ISNUMBER(AM12)),AO12="Completed"),OR(NOT(ISNUMBER(AQ12)),AS12="Completed"),OR(NOT(ISNUMBER(AW12)),AY12="Completed"),OR(NOT(ISNUMBER(AZ12)),BB12="Completed"),OR(NOT(ISNUMBER(BC12)),BE12="Completed"),OR(NOT(ISNUMBER(BG12)),BI12="Completed"),OR(NOT(ISNUMBER(O12)),P12="Completed"),OR(NOT(ISNUMBER(BM12)),BN12="Completed"),OR(NOT(ISNUMBER(BO12)),BP12="Completed"),OR(NOT(ISNUMBER(BQ12)),BR12="Completed"),BS12="Completed"),"Completed",IF(((S12="In Progress")+(V12="In Progress")+(Y12="In Progress")+(AC12="In Progress")+(AI12="In Progress")+(AL12="In Progress")+(AO12="In Progress")+(AS12="In Progress")+(AY12="In Progress")+(BB12="In Progress")+(BE12="In Progress")+(BI12="In Progress")+(P12="In Progress")+(BN12="In Progress")+(BP12="In Progress")+(BR12="In Progress")+(BS12="In Progress"))&gt;0,"In Progress","Yet to start")))))</f>
        <v/>
      </c>
      <c r="E10" s="30">
        <f>IF(A10="","",IF(F10="","All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Review","CAB"},MATCH(F10,BU10:CJ10,0))))</f>
        <v/>
      </c>
      <c r="F10" s="31">
        <f>IF(A10="","",IF(COUNT(BU10:CJ10)=0,"",MIN(BU10:CJ10)))</f>
        <v/>
      </c>
      <c r="G10" s="30">
        <f>IF(A10="","",MAX(0,IF(AND(ISNUMBER(Q10),S10&lt;&gt;"Completed",Q10&lt;TODAY()),TODAY()-Q10,0),IF(AND(ISNUMBER(T10),V10&lt;&gt;"Completed",T10&lt;TODAY()),TODAY()-T10,0),IF(AND(ISNUMBER(W10),Y10&lt;&gt;"Completed",W10&lt;TODAY()),TODAY()-W10,0),IF(AND(ISNUMBER(AA10),AC10&lt;&gt;"Completed",AA10&lt;TODAY()),TODAY()-AA10,0),IF(AND(ISNUMBER(AG10),AI10&lt;&gt;"Completed",AG10&lt;TODAY()),TODAY()-AG10,0),IF(AND(ISNUMBER(AJ10),AL10&lt;&gt;"Completed",AJ10&lt;TODAY()),TODAY()-AJ10,0),IF(AND(ISNUMBER(AM10),AO10&lt;&gt;"Completed",AM10&lt;TODAY()),TODAY()-AM10,0),IF(AND(ISNUMBER(AQ10),AS10&lt;&gt;"Completed",AQ10&lt;TODAY()),TODAY()-AQ10,0),IF(AND(ISNUMBER(AW10),AY10&lt;&gt;"Completed",AW10&lt;TODAY()),TODAY()-AW10,0),IF(AND(ISNUMBER(AZ10),BB10&lt;&gt;"Completed",AZ10&lt;TODAY()),TODAY()-AZ10,0),IF(AND(ISNUMBER(BC10),BE10&lt;&gt;"Completed",BC10&lt;TODAY()),TODAY()-BC10,0),IF(AND(ISNUMBER(BG10),BI10&lt;&gt;"Completed",BG10&lt;TODAY()),TODAY()-BG10,0),IF(AND(ISNUMBER(O10),P10&lt;&gt;"Completed",O10&lt;TODAY()),TODAY()-O10,0),IF(AND(ISNUMBER(BQ10),BR10&lt;&gt;"Completed",BQ10&lt;TODAY()),TODAY()-BQ10,0),IF(AND(ISNUMBER(BO10),BP10&lt;&gt;"Completed",BO10&lt;TODAY()),TODAY()-BO10,0),IF(AND(ISNUMBER(BM10),BN10&lt;&gt;"Completed",BM10&lt;TODAY()),TODAY()-BM10,0)))</f>
        <v/>
      </c>
      <c r="H10" s="32" t="n">
        <v>46232</v>
      </c>
      <c r="I10" s="32" t="n">
        <v>46245</v>
      </c>
      <c r="J10" s="32" t="n">
        <v>46276</v>
      </c>
      <c r="K10" s="31">
        <f>IF(ISNUMBER(H10),H10,IF(ISNUMBER(M10),M10-WEEKDAY(M10,2)+1-7,""))</f>
        <v/>
      </c>
      <c r="L10" s="31">
        <f>IF(ISNUMBER(I10),I10,IF(ISNUMBER(H10),WORKDAY(H10,SprintWorkingDays-1),IF(ISNUMBER(K10),WORKDAY(K10,SprintWorkingDays-1),"")))</f>
        <v/>
      </c>
      <c r="M10" s="31">
        <f>IF(ISNUMBER(J10),J10,IF(ISNUMBER(I10),I10-IF(OR(WEEKDAY(I10,2)=2,WEEKDAY(I10,2)=4),0,IF(WEEKDAY(I10,2)=3,1,IF(WEEKDAY(I10,2)=1,4,WEEKDAY(I10,2)-4))),IF(ISNUMBER(H10),WORKDAY(H10,SprintWorkingDays-1)-IF(OR(WEEKDAY(WORKDAY(H10,SprintWorkingDays-1),2)=2,WEEKDAY(WORKDAY(H10,SprintWorkingDays-1),2)=4),0,IF(WEEKDAY(WORKDAY(H10,SprintWorkingDays-1),2)=3,1,IF(WEEKDAY(WORKDAY(H10,SprintWorkingDays-1),2)=1,4,WEEKDAY(WORKDAY(H10,SprintWorkingDays-1),2)-4))),"")))</f>
        <v/>
      </c>
      <c r="N10" s="31">
        <f>IF(NOT(ISNUMBER(K10)),"",WORKDAY(K10,ReadyOffsetWD))</f>
        <v/>
      </c>
      <c r="O10" s="31">
        <f>IF(NOT(ISNUMBER(K10)),"",WORKDAY(K10,SprintReadinessOffsetWD))</f>
        <v/>
      </c>
      <c r="P10" s="29" t="n"/>
      <c r="Q10" s="31">
        <f>IF(NOT(ISNUMBER(T10)),"",WORKDAY(T10,RTSKOffsetFromOUR_WD))</f>
        <v/>
      </c>
      <c r="R10" s="32" t="n"/>
      <c r="S10" s="29" t="n"/>
      <c r="T10" s="31">
        <f>IF(NOT(ISNUMBER(W10)),"",WORKDAY(W10,OUROffsetFromSR_WD))</f>
        <v/>
      </c>
      <c r="U10" s="32" t="n"/>
      <c r="V10" s="29" t="n"/>
      <c r="W10" s="31">
        <f>IF(NOT(ISNUMBER(K10)),"",WORKDAY(K10,SROffsetFromStartWD))</f>
        <v/>
      </c>
      <c r="X10" s="32" t="n"/>
      <c r="Y10" s="29" t="n"/>
      <c r="Z10" s="29" t="n"/>
      <c r="AA10" s="31">
        <f>IF(ISNUMBER(Q10),Q10,"")</f>
        <v/>
      </c>
      <c r="AB10" s="32" t="n"/>
      <c r="AC10" s="29" t="n"/>
      <c r="AD10" s="29" t="n"/>
      <c r="AE10" s="29" t="n"/>
      <c r="AF10" s="29" t="n"/>
      <c r="AG10" s="31">
        <f>IF(NOT(ISNUMBER(Q10)),"",Q10)</f>
        <v/>
      </c>
      <c r="AH10" s="32" t="n"/>
      <c r="AI10" s="29" t="n"/>
      <c r="AJ10" s="31">
        <f>IF(NOT(ISNUMBER(T10)),"",T10)</f>
        <v/>
      </c>
      <c r="AK10" s="32" t="n"/>
      <c r="AL10" s="29" t="n"/>
      <c r="AM10" s="31">
        <f>IF(NOT(ISNUMBER(W10)),"",W10)</f>
        <v/>
      </c>
      <c r="AN10" s="32" t="n"/>
      <c r="AO10" s="29" t="n"/>
      <c r="AP10" s="29" t="n"/>
      <c r="AQ10" s="31">
        <f>IF(ISNUMBER(AG10),AG10,"")</f>
        <v/>
      </c>
      <c r="AR10" s="32" t="n"/>
      <c r="AS10" s="29" t="n"/>
      <c r="AT10" s="29" t="n"/>
      <c r="AU10" s="29" t="n"/>
      <c r="AV10" s="29" t="n"/>
      <c r="AW10" s="31">
        <f>IF(NOT(ISNUMBER(Q10)),"",Q10)</f>
        <v/>
      </c>
      <c r="AX10" s="32" t="n"/>
      <c r="AY10" s="29" t="n"/>
      <c r="AZ10" s="31">
        <f>IF(NOT(ISNUMBER(T10)),"",T10)</f>
        <v/>
      </c>
      <c r="BA10" s="32" t="n"/>
      <c r="BB10" s="29" t="n"/>
      <c r="BC10" s="31">
        <f>IF(NOT(ISNUMBER(W10)),"",W10)</f>
        <v/>
      </c>
      <c r="BD10" s="32" t="n"/>
      <c r="BE10" s="29" t="n"/>
      <c r="BF10" s="29" t="n"/>
      <c r="BG10" s="31">
        <f>IF(ISNUMBER(AW10),AW10,"")</f>
        <v/>
      </c>
      <c r="BH10" s="32" t="n"/>
      <c r="BI10" s="29" t="n"/>
      <c r="BJ10" s="29" t="n"/>
      <c r="BK10" s="29" t="n"/>
      <c r="BL10" s="29" t="n"/>
      <c r="BM10" s="31" t="n">
        <v>46213</v>
      </c>
      <c r="BN10" s="29" t="n"/>
      <c r="BO10" s="31">
        <f>IF(NOT(ISNUMBER(BM10)),"",IF(WEEKDAY(BM10-CodeReviewCalendarDays,2)&gt;5,BM10-CodeReviewCalendarDays-(WEEKDAY(BM10-CodeReviewCalendarDays,2)-5),BM10-CodeReviewCalendarDays))</f>
        <v/>
      </c>
      <c r="BP10" s="29" t="n"/>
      <c r="BQ10" s="31">
        <f>IF(NOT(ISNUMBER(BO10)),"",IF(WEEKDAY(BO10-CodeReviewInviteCalendarDays,2)&gt;5,BO10-CodeReviewInviteCalendarDays-(WEEKDAY(BO10-CodeReviewInviteCalendarDays,2)-5),BO10-CodeReviewInviteCalendarDays))</f>
        <v/>
      </c>
      <c r="BR10" s="29" t="n"/>
      <c r="BS10" s="29" t="n"/>
      <c r="BT10" s="30">
        <f>IF(A10="","",IF(IF(AND(ISNUMBER(J10),WEEKDAY(J10,2)&lt;&gt;2,WEEKDAY(J10,2)&lt;&gt;4)," | Release must be Tuesday or Thursday","")&amp;IF(AND(ISNUMBER(H10),WEEKDAY(H10,2)&lt;&gt;1)," | Sprint Start is not a Monday - dates still calculated from the date entered","")&amp;IF(AND(A10&lt;&gt;"",NOT(ISNUMBER(H10)),NOT(ISNUMBER(J10)))," | Enter Sprint Start or Release Date","")&amp;IF(AND(ISNUMBER(F10),F10&lt;TODAY(),D10&lt;&gt;"Completed")," | One or more raise-by dates are in the past and not completed","")&amp;IF(AND(ISNUMBER(K10),K10-TODAY()&lt;SprintWarningDays,K10&gt;=TODAY(),OR(D10="Yet to start",D10="Blocked"))," | Sprint starts in under 10 days - raise access requests now","")&amp;IF(AND(ISNUMBER(BQ10),BR10&lt;&gt;"Completed",BQ10-TODAY()&lt;CodeReviewInviteCalendarDays)," | Code Review invite should be sent at least 4 days before Code Review","")="","",MID(IF(AND(ISNUMBER(J10),WEEKDAY(J10,2)&lt;&gt;2,WEEKDAY(J10,2)&lt;&gt;4)," | Release must be Tuesday or Thursday","")&amp;IF(AND(ISNUMBER(H10),WEEKDAY(H10,2)&lt;&gt;1)," | Sprint Start is not a Monday - dates still calculated from the date entered","")&amp;IF(AND(A10&lt;&gt;"",NOT(ISNUMBER(H10)),NOT(ISNUMBER(J10)))," | Enter Sprint Start or Release Date","")&amp;IF(AND(ISNUMBER(F10),F10&lt;TODAY(),D10&lt;&gt;"Completed")," | One or more raise-by dates are in the past and not completed","")&amp;IF(AND(ISNUMBER(K10),K10-TODAY()&lt;SprintWarningDays,K10&gt;=TODAY(),OR(D10="Yet to start",D10="Blocked"))," | Sprint starts in under 10 days - raise access requests now","")&amp;IF(AND(ISNUMBER(BQ10),BR10&lt;&gt;"Completed",BQ10-TODAY()&lt;CodeReviewInviteCalendarDays)," | Code Review invite should be sent at least 4 days before Code Review",""),4,500)))</f>
        <v/>
      </c>
      <c r="BU10">
        <f>IF(AND(ISNUMBER(Q10),S10&lt;&gt;"Completed"),Q10,"")</f>
        <v/>
      </c>
      <c r="BV10">
        <f>IF(AND(ISNUMBER(T10),V10&lt;&gt;"Completed"),T10,"")</f>
        <v/>
      </c>
      <c r="BW10">
        <f>IF(AND(ISNUMBER(W10),Y10&lt;&gt;"Completed"),W10,"")</f>
        <v/>
      </c>
      <c r="BX10">
        <f>IF(AND(ISNUMBER(AA10),AC10&lt;&gt;"Completed"),AA10,"")</f>
        <v/>
      </c>
      <c r="BY10">
        <f>IF(AND(ISNUMBER(AG10),AI10&lt;&gt;"Completed"),AG10,"")</f>
        <v/>
      </c>
      <c r="BZ10">
        <f>IF(AND(ISNUMBER(AJ10),AL10&lt;&gt;"Completed"),AJ10,"")</f>
        <v/>
      </c>
      <c r="CA10">
        <f>IF(AND(ISNUMBER(AM10),AO10&lt;&gt;"Completed"),AM10,"")</f>
        <v/>
      </c>
      <c r="CB10">
        <f>IF(AND(ISNUMBER(AQ10),AS10&lt;&gt;"Completed"),AQ10,"")</f>
        <v/>
      </c>
      <c r="CC10">
        <f>IF(AND(ISNUMBER(AW10),AY10&lt;&gt;"Completed"),AW10,"")</f>
        <v/>
      </c>
      <c r="CD10">
        <f>IF(AND(ISNUMBER(AZ10),BB10&lt;&gt;"Completed"),AZ10,"")</f>
        <v/>
      </c>
      <c r="CE10">
        <f>IF(AND(ISNUMBER(BC10),BE10&lt;&gt;"Completed"),BC10,"")</f>
        <v/>
      </c>
      <c r="CF10">
        <f>IF(AND(ISNUMBER(BG10),BI10&lt;&gt;"Completed"),BG10,"")</f>
        <v/>
      </c>
      <c r="CG10">
        <f>IF(AND(ISNUMBER(O10),P10&lt;&gt;"Completed"),O10,"")</f>
        <v/>
      </c>
      <c r="CH10">
        <f>IF(AND(ISNUMBER(BQ10),BR10&lt;&gt;"Completed"),BQ10,"")</f>
        <v/>
      </c>
      <c r="CI10">
        <f>IF(AND(ISNUMBER(BO10),BP10&lt;&gt;"Completed"),BO10,"")</f>
        <v/>
      </c>
      <c r="CJ10">
        <f>IF(AND(ISNUMBER(BM10),BN10&lt;&gt;"Completed"),BM10,"")</f>
        <v/>
      </c>
      <c r="CK10">
        <f>IF(OR(A10="",D10="Completed"),"",IF(N(G10)&gt;0,1/(N(G10)+ROW()/100000),IF(ISNUMBER(F10),1000+F10+ROW()/100000,TODAY()+400+ROW()/100000)))</f>
        <v/>
      </c>
    </row>
    <row r="11" ht="16" customHeight="1" s="39">
      <c r="A11" s="29" t="inlineStr">
        <is>
          <t>EPM_BALANCES</t>
        </is>
      </c>
      <c r="B11" s="29" t="inlineStr">
        <is>
          <t>Ragavendhar &lt;aragavendhar@randomtrees.com&gt;</t>
        </is>
      </c>
      <c r="C11" s="29" t="inlineStr">
        <is>
          <t>Sprint 17</t>
        </is>
      </c>
      <c r="D11" s="30">
        <f>IF(A11="","",IF(((S11="Blocked")+(V11="Blocked")+(Y11="Blocked")+(AC11="Blocked")+(AI11="Blocked")+(AL11="Blocked")+(AO11="Blocked")+(AS11="Blocked")+(AY11="Blocked")+(BB11="Blocked")+(BE11="Blocked")+(BI11="Blocked")+(P11="Blocked")+(BN11="Blocked")+(BP11="Blocked")+(BR11="Blocked")+(BS11="Blocked"))&gt;0,"Blocked",IF((ISNUMBER(Q11)+ISNUMBER(T11)+ISNUMBER(W11)+ISNUMBER(AA11)+ISNUMBER(AG11)+ISNUMBER(AJ11)+ISNUMBER(AM11)+ISNUMBER(AQ11)+ISNUMBER(AW11)+ISNUMBER(AZ11)+ISNUMBER(BC11)+ISNUMBER(BG11)+ISNUMBER(O11)+ISNUMBER(BM11)+ISNUMBER(BO11)+ISNUMBER(BQ11))=0,"Yet to start",IF(AND(OR(NOT(ISNUMBER(Q11)),S11="Completed"),OR(NOT(ISNUMBER(T11)),V11="Completed"),OR(NOT(ISNUMBER(W11)),Y11="Completed"),OR(NOT(ISNUMBER(AA11)),AC11="Completed"),OR(NOT(ISNUMBER(AG11)),AI11="Completed"),OR(NOT(ISNUMBER(AJ11)),AL11="Completed"),OR(NOT(ISNUMBER(AM11)),AO11="Completed"),OR(NOT(ISNUMBER(AQ11)),AS11="Completed"),OR(NOT(ISNUMBER(AW11)),AY11="Completed"),OR(NOT(ISNUMBER(AZ11)),BB11="Completed"),OR(NOT(ISNUMBER(BC11)),BE11="Completed"),OR(NOT(ISNUMBER(BG11)),BI11="Completed"),OR(NOT(ISNUMBER(O11)),P11="Completed"),OR(NOT(ISNUMBER(BM11)),BN11="Completed"),OR(NOT(ISNUMBER(BO11)),BP11="Completed"),OR(NOT(ISNUMBER(BQ11)),BR11="Completed"),BS11="Completed"),"Completed",IF(((S11="In Progress")+(V11="In Progress")+(Y11="In Progress")+(AC11="In Progress")+(AI11="In Progress")+(AL11="In Progress")+(AO11="In Progress")+(AS11="In Progress")+(AY11="In Progress")+(BB11="In Progress")+(BE11="In Progress")+(BI11="In Progress")+(P11="In Progress")+(BN11="In Progress")+(BP11="In Progress")+(BR11="In Progress")+(BS11="In Progress"))&gt;0,"In Progress","Yet to start")))))</f>
        <v/>
      </c>
      <c r="E11" s="30">
        <f>IF(A11="","",IF(F11="","All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Review","CAB"},MATCH(F11,BU11:CJ11,0))))</f>
        <v/>
      </c>
      <c r="F11" s="31">
        <f>IF(A11="","",IF(COUNT(BU11:CJ11)=0,"",MIN(BU11:CJ11)))</f>
        <v/>
      </c>
      <c r="G11" s="30">
        <f>IF(A11="","",MAX(0,IF(AND(ISNUMBER(Q11),S11&lt;&gt;"Completed",Q11&lt;TODAY()),TODAY()-Q11,0),IF(AND(ISNUMBER(T11),V11&lt;&gt;"Completed",T11&lt;TODAY()),TODAY()-T11,0),IF(AND(ISNUMBER(W11),Y11&lt;&gt;"Completed",W11&lt;TODAY()),TODAY()-W11,0),IF(AND(ISNUMBER(AA11),AC11&lt;&gt;"Completed",AA11&lt;TODAY()),TODAY()-AA11,0),IF(AND(ISNUMBER(AG11),AI11&lt;&gt;"Completed",AG11&lt;TODAY()),TODAY()-AG11,0),IF(AND(ISNUMBER(AJ11),AL11&lt;&gt;"Completed",AJ11&lt;TODAY()),TODAY()-AJ11,0),IF(AND(ISNUMBER(AM11),AO11&lt;&gt;"Completed",AM11&lt;TODAY()),TODAY()-AM11,0),IF(AND(ISNUMBER(AQ11),AS11&lt;&gt;"Completed",AQ11&lt;TODAY()),TODAY()-AQ11,0),IF(AND(ISNUMBER(AW11),AY11&lt;&gt;"Completed",AW11&lt;TODAY()),TODAY()-AW11,0),IF(AND(ISNUMBER(AZ11),BB11&lt;&gt;"Completed",AZ11&lt;TODAY()),TODAY()-AZ11,0),IF(AND(ISNUMBER(BC11),BE11&lt;&gt;"Completed",BC11&lt;TODAY()),TODAY()-BC11,0),IF(AND(ISNUMBER(BG11),BI11&lt;&gt;"Completed",BG11&lt;TODAY()),TODAY()-BG11,0),IF(AND(ISNUMBER(O11),P11&lt;&gt;"Completed",O11&lt;TODAY()),TODAY()-O11,0),IF(AND(ISNUMBER(BQ11),BR11&lt;&gt;"Completed",BQ11&lt;TODAY()),TODAY()-BQ11,0),IF(AND(ISNUMBER(BO11),BP11&lt;&gt;"Completed",BO11&lt;TODAY()),TODAY()-BO11,0),IF(AND(ISNUMBER(BM11),BN11&lt;&gt;"Completed",BM11&lt;TODAY()),TODAY()-BM11,0)))</f>
        <v/>
      </c>
      <c r="H11" s="32" t="n">
        <v>46232</v>
      </c>
      <c r="I11" s="32" t="n">
        <v>46245</v>
      </c>
      <c r="J11" s="32" t="n">
        <v>46276</v>
      </c>
      <c r="K11" s="31">
        <f>IF(ISNUMBER(H11),H11,IF(ISNUMBER(M11),M11-WEEKDAY(M11,2)+1-7,""))</f>
        <v/>
      </c>
      <c r="L11" s="31">
        <f>IF(ISNUMBER(I11),I11,IF(ISNUMBER(H11),WORKDAY(H11,SprintWorkingDays-1),IF(ISNUMBER(K11),WORKDAY(K11,SprintWorkingDays-1),"")))</f>
        <v/>
      </c>
      <c r="M11" s="31">
        <f>IF(ISNUMBER(J11),J11,IF(ISNUMBER(I11),I11-IF(OR(WEEKDAY(I11,2)=2,WEEKDAY(I11,2)=4),0,IF(WEEKDAY(I11,2)=3,1,IF(WEEKDAY(I11,2)=1,4,WEEKDAY(I11,2)-4))),IF(ISNUMBER(H11),WORKDAY(H11,SprintWorkingDays-1)-IF(OR(WEEKDAY(WORKDAY(H11,SprintWorkingDays-1),2)=2,WEEKDAY(WORKDAY(H11,SprintWorkingDays-1),2)=4),0,IF(WEEKDAY(WORKDAY(H11,SprintWorkingDays-1),2)=3,1,IF(WEEKDAY(WORKDAY(H11,SprintWorkingDays-1),2)=1,4,WEEKDAY(WORKDAY(H11,SprintWorkingDays-1),2)-4))),"")))</f>
        <v/>
      </c>
      <c r="N11" s="31">
        <f>IF(NOT(ISNUMBER(K11)),"",WORKDAY(K11,ReadyOffsetWD))</f>
        <v/>
      </c>
      <c r="O11" s="31">
        <f>IF(NOT(ISNUMBER(K11)),"",WORKDAY(K11,SprintReadinessOffsetWD))</f>
        <v/>
      </c>
      <c r="P11" s="29" t="n"/>
      <c r="Q11" s="31">
        <f>IF(NOT(ISNUMBER(T11)),"",WORKDAY(T11,RTSKOffsetFromOUR_WD))</f>
        <v/>
      </c>
      <c r="R11" s="32" t="n"/>
      <c r="S11" s="29" t="n"/>
      <c r="T11" s="31">
        <f>IF(NOT(ISNUMBER(W11)),"",WORKDAY(W11,OUROffsetFromSR_WD))</f>
        <v/>
      </c>
      <c r="U11" s="32" t="n"/>
      <c r="V11" s="29" t="n"/>
      <c r="W11" s="31">
        <f>IF(NOT(ISNUMBER(K11)),"",WORKDAY(K11,SROffsetFromStartWD))</f>
        <v/>
      </c>
      <c r="X11" s="32" t="n"/>
      <c r="Y11" s="29" t="n"/>
      <c r="Z11" s="29" t="n"/>
      <c r="AA11" s="31">
        <f>IF(ISNUMBER(Q11),Q11,"")</f>
        <v/>
      </c>
      <c r="AB11" s="32" t="n"/>
      <c r="AC11" s="29" t="n"/>
      <c r="AD11" s="29" t="n"/>
      <c r="AE11" s="29" t="n"/>
      <c r="AF11" s="29" t="n"/>
      <c r="AG11" s="31">
        <f>IF(NOT(ISNUMBER(Q11)),"",Q11)</f>
        <v/>
      </c>
      <c r="AH11" s="32" t="n"/>
      <c r="AI11" s="29" t="n"/>
      <c r="AJ11" s="31">
        <f>IF(NOT(ISNUMBER(T11)),"",T11)</f>
        <v/>
      </c>
      <c r="AK11" s="32" t="n"/>
      <c r="AL11" s="29" t="n"/>
      <c r="AM11" s="31">
        <f>IF(NOT(ISNUMBER(W11)),"",W11)</f>
        <v/>
      </c>
      <c r="AN11" s="32" t="n"/>
      <c r="AO11" s="29" t="n"/>
      <c r="AP11" s="29" t="n"/>
      <c r="AQ11" s="31">
        <f>IF(ISNUMBER(AG11),AG11,"")</f>
        <v/>
      </c>
      <c r="AR11" s="32" t="n"/>
      <c r="AS11" s="29" t="n"/>
      <c r="AT11" s="29" t="n"/>
      <c r="AU11" s="29" t="n"/>
      <c r="AV11" s="29" t="n"/>
      <c r="AW11" s="31">
        <f>IF(NOT(ISNUMBER(Q11)),"",Q11)</f>
        <v/>
      </c>
      <c r="AX11" s="32" t="n"/>
      <c r="AY11" s="29" t="n"/>
      <c r="AZ11" s="31">
        <f>IF(NOT(ISNUMBER(T11)),"",T11)</f>
        <v/>
      </c>
      <c r="BA11" s="32" t="n"/>
      <c r="BB11" s="29" t="n"/>
      <c r="BC11" s="31">
        <f>IF(NOT(ISNUMBER(W11)),"",W11)</f>
        <v/>
      </c>
      <c r="BD11" s="32" t="n"/>
      <c r="BE11" s="29" t="n"/>
      <c r="BF11" s="29" t="n"/>
      <c r="BG11" s="31">
        <f>IF(ISNUMBER(AW11),AW11,"")</f>
        <v/>
      </c>
      <c r="BH11" s="32" t="n"/>
      <c r="BI11" s="29" t="n"/>
      <c r="BJ11" s="29" t="n"/>
      <c r="BK11" s="29" t="n"/>
      <c r="BL11" s="29" t="n"/>
      <c r="BM11" s="31" t="n">
        <v>46213</v>
      </c>
      <c r="BN11" s="29" t="n"/>
      <c r="BO11" s="31">
        <f>IF(NOT(ISNUMBER(BM11)),"",IF(WEEKDAY(BM11-CodeReviewCalendarDays,2)&gt;5,BM11-CodeReviewCalendarDays-(WEEKDAY(BM11-CodeReviewCalendarDays,2)-5),BM11-CodeReviewCalendarDays))</f>
        <v/>
      </c>
      <c r="BP11" s="29" t="n"/>
      <c r="BQ11" s="31">
        <f>IF(NOT(ISNUMBER(BO11)),"",IF(WEEKDAY(BO11-CodeReviewInviteCalendarDays,2)&gt;5,BO11-CodeReviewInviteCalendarDays-(WEEKDAY(BO11-CodeReviewInviteCalendarDays,2)-5),BO11-CodeReviewInviteCalendarDays))</f>
        <v/>
      </c>
      <c r="BR11" s="29" t="n"/>
      <c r="BS11" s="29" t="n"/>
      <c r="BT11" s="30">
        <f>IF(A11="","",IF(IF(AND(ISNUMBER(J11),WEEKDAY(J11,2)&lt;&gt;2,WEEKDAY(J11,2)&lt;&gt;4)," | Release must be Tuesday or Thursday","")&amp;IF(AND(ISNUMBER(H11),WEEKDAY(H11,2)&lt;&gt;1)," | Sprint Start is not a Monday - dates still calculated from the date entered","")&amp;IF(AND(A11&lt;&gt;"",NOT(ISNUMBER(H11)),NOT(ISNUMBER(J11)))," | Enter Sprint Start or Release Date","")&amp;IF(AND(ISNUMBER(F11),F11&lt;TODAY(),D11&lt;&gt;"Completed")," | One or more raise-by dates are in the past and not completed","")&amp;IF(AND(ISNUMBER(K11),K11-TODAY()&lt;SprintWarningDays,K11&gt;=TODAY(),OR(D11="Yet to start",D11="Blocked"))," | Sprint starts in under 10 days - raise access requests now","")&amp;IF(AND(ISNUMBER(BQ11),BR11&lt;&gt;"Completed",BQ11-TODAY()&lt;CodeReviewInviteCalendarDays)," | Code Review invite should be sent at least 4 days before Code Review","")="","",MID(IF(AND(ISNUMBER(J11),WEEKDAY(J11,2)&lt;&gt;2,WEEKDAY(J11,2)&lt;&gt;4)," | Release must be Tuesday or Thursday","")&amp;IF(AND(ISNUMBER(H11),WEEKDAY(H11,2)&lt;&gt;1)," | Sprint Start is not a Monday - dates still calculated from the date entered","")&amp;IF(AND(A11&lt;&gt;"",NOT(ISNUMBER(H11)),NOT(ISNUMBER(J11)))," | Enter Sprint Start or Release Date","")&amp;IF(AND(ISNUMBER(F11),F11&lt;TODAY(),D11&lt;&gt;"Completed")," | One or more raise-by dates are in the past and not completed","")&amp;IF(AND(ISNUMBER(K11),K11-TODAY()&lt;SprintWarningDays,K11&gt;=TODAY(),OR(D11="Yet to start",D11="Blocked"))," | Sprint starts in under 10 days - raise access requests now","")&amp;IF(AND(ISNUMBER(BQ11),BR11&lt;&gt;"Completed",BQ11-TODAY()&lt;CodeReviewInviteCalendarDays)," | Code Review invite should be sent at least 4 days before Code Review",""),4,500)))</f>
        <v/>
      </c>
      <c r="BU11">
        <f>IF(AND(ISNUMBER(Q11),S11&lt;&gt;"Completed"),Q11,"")</f>
        <v/>
      </c>
      <c r="BV11">
        <f>IF(AND(ISNUMBER(T11),V11&lt;&gt;"Completed"),T11,"")</f>
        <v/>
      </c>
      <c r="BW11">
        <f>IF(AND(ISNUMBER(W11),Y11&lt;&gt;"Completed"),W11,"")</f>
        <v/>
      </c>
      <c r="BX11">
        <f>IF(AND(ISNUMBER(AA11),AC11&lt;&gt;"Completed"),AA11,"")</f>
        <v/>
      </c>
      <c r="BY11">
        <f>IF(AND(ISNUMBER(AG11),AI11&lt;&gt;"Completed"),AG11,"")</f>
        <v/>
      </c>
      <c r="BZ11">
        <f>IF(AND(ISNUMBER(AJ11),AL11&lt;&gt;"Completed"),AJ11,"")</f>
        <v/>
      </c>
      <c r="CA11">
        <f>IF(AND(ISNUMBER(AM11),AO11&lt;&gt;"Completed"),AM11,"")</f>
        <v/>
      </c>
      <c r="CB11">
        <f>IF(AND(ISNUMBER(AQ11),AS11&lt;&gt;"Completed"),AQ11,"")</f>
        <v/>
      </c>
      <c r="CC11">
        <f>IF(AND(ISNUMBER(AW11),AY11&lt;&gt;"Completed"),AW11,"")</f>
        <v/>
      </c>
      <c r="CD11">
        <f>IF(AND(ISNUMBER(AZ11),BB11&lt;&gt;"Completed"),AZ11,"")</f>
        <v/>
      </c>
      <c r="CE11">
        <f>IF(AND(ISNUMBER(BC11),BE11&lt;&gt;"Completed"),BC11,"")</f>
        <v/>
      </c>
      <c r="CF11">
        <f>IF(AND(ISNUMBER(BG11),BI11&lt;&gt;"Completed"),BG11,"")</f>
        <v/>
      </c>
      <c r="CG11">
        <f>IF(AND(ISNUMBER(O11),P11&lt;&gt;"Completed"),O11,"")</f>
        <v/>
      </c>
      <c r="CH11">
        <f>IF(AND(ISNUMBER(BQ11),BR11&lt;&gt;"Completed"),BQ11,"")</f>
        <v/>
      </c>
      <c r="CI11">
        <f>IF(AND(ISNUMBER(BO11),BP11&lt;&gt;"Completed"),BO11,"")</f>
        <v/>
      </c>
      <c r="CJ11">
        <f>IF(AND(ISNUMBER(BM11),BN11&lt;&gt;"Completed"),BM11,"")</f>
        <v/>
      </c>
      <c r="CK11">
        <f>IF(OR(A11="",D11="Completed"),"",IF(N(G11)&gt;0,1/(N(G11)+ROW()/100000),IF(ISNUMBER(F11),1000+F11+ROW()/100000,TODAY()+400+ROW()/100000)))</f>
        <v/>
      </c>
    </row>
    <row r="12" ht="16" customHeight="1" s="39">
      <c r="A12" s="29" t="inlineStr">
        <is>
          <t>EPM_DIM_NOD</t>
        </is>
      </c>
      <c r="B12" s="29" t="inlineStr">
        <is>
          <t>Vidhesha &lt;vkumaran@randomtrees.com&gt;</t>
        </is>
      </c>
      <c r="C12" s="29" t="inlineStr">
        <is>
          <t>Sprint 17</t>
        </is>
      </c>
      <c r="D12" s="30">
        <f>IF(A10="","",IF(((S10="Blocked")+(V10="Blocked")+(Y10="Blocked")+(AC10="Blocked")+(AI10="Blocked")+(AL10="Blocked")+(AO10="Blocked")+(AS10="Blocked")+(AY10="Blocked")+(BB10="Blocked")+(BE10="Blocked")+(BI10="Blocked")+(P10="Blocked")+(BN10="Blocked")+(BP10="Blocked")+(BR10="Blocked")+(BS10="Blocked"))&gt;0,"Blocked",IF((ISNUMBER(Q10)+ISNUMBER(T10)+ISNUMBER(W10)+ISNUMBER(AA10)+ISNUMBER(AG10)+ISNUMBER(AJ10)+ISNUMBER(AM10)+ISNUMBER(AQ10)+ISNUMBER(AW10)+ISNUMBER(AZ10)+ISNUMBER(BC10)+ISNUMBER(BG10)+ISNUMBER(O10)+ISNUMBER(BM10)+ISNUMBER(BO10)+ISNUMBER(BQ10))=0,"Yet to start",IF(AND(OR(NOT(ISNUMBER(Q10)),S10="Completed"),OR(NOT(ISNUMBER(T10)),V10="Completed"),OR(NOT(ISNUMBER(W10)),Y10="Completed"),OR(NOT(ISNUMBER(AA10)),AC10="Completed"),OR(NOT(ISNUMBER(AG10)),AI10="Completed"),OR(NOT(ISNUMBER(AJ10)),AL10="Completed"),OR(NOT(ISNUMBER(AM10)),AO10="Completed"),OR(NOT(ISNUMBER(AQ10)),AS10="Completed"),OR(NOT(ISNUMBER(AW10)),AY10="Completed"),OR(NOT(ISNUMBER(AZ10)),BB10="Completed"),OR(NOT(ISNUMBER(BC10)),BE10="Completed"),OR(NOT(ISNUMBER(BG10)),BI10="Completed"),OR(NOT(ISNUMBER(O10)),P10="Completed"),OR(NOT(ISNUMBER(BM10)),BN10="Completed"),OR(NOT(ISNUMBER(BO10)),BP10="Completed"),OR(NOT(ISNUMBER(BQ10)),BR10="Completed"),BS10="Completed"),"Completed",IF(((S10="In Progress")+(V10="In Progress")+(Y10="In Progress")+(AC10="In Progress")+(AI10="In Progress")+(AL10="In Progress")+(AO10="In Progress")+(AS10="In Progress")+(AY10="In Progress")+(BB10="In Progress")+(BE10="In Progress")+(BI10="In Progress")+(P10="In Progress")+(BN10="In Progress")+(BP10="In Progress")+(BR10="In Progress")+(BS10="In Progress"))&gt;0,"In Progress","Yet to start")))))</f>
        <v/>
      </c>
      <c r="E12" s="30">
        <f>IF(A12="","",IF(F12="","All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Review","CAB"},MATCH(F12,BU12:CJ12,0))))</f>
        <v/>
      </c>
      <c r="F12" s="31">
        <f>IF(A12="","",IF(COUNT(BU12:CJ12)=0,"",MIN(BU12:CJ12)))</f>
        <v/>
      </c>
      <c r="G12" s="30">
        <f>IF(A12="","",MAX(0,IF(AND(ISNUMBER(Q12),S12&lt;&gt;"Completed",Q12&lt;TODAY()),TODAY()-Q12,0),IF(AND(ISNUMBER(T12),V12&lt;&gt;"Completed",T12&lt;TODAY()),TODAY()-T12,0),IF(AND(ISNUMBER(W12),Y12&lt;&gt;"Completed",W12&lt;TODAY()),TODAY()-W12,0),IF(AND(ISNUMBER(AA12),AC12&lt;&gt;"Completed",AA12&lt;TODAY()),TODAY()-AA12,0),IF(AND(ISNUMBER(AG12),AI12&lt;&gt;"Completed",AG12&lt;TODAY()),TODAY()-AG12,0),IF(AND(ISNUMBER(AJ12),AL12&lt;&gt;"Completed",AJ12&lt;TODAY()),TODAY()-AJ12,0),IF(AND(ISNUMBER(AM12),AO12&lt;&gt;"Completed",AM12&lt;TODAY()),TODAY()-AM12,0),IF(AND(ISNUMBER(AQ12),AS12&lt;&gt;"Completed",AQ12&lt;TODAY()),TODAY()-AQ12,0),IF(AND(ISNUMBER(AW12),AY12&lt;&gt;"Completed",AW12&lt;TODAY()),TODAY()-AW12,0),IF(AND(ISNUMBER(AZ12),BB12&lt;&gt;"Completed",AZ12&lt;TODAY()),TODAY()-AZ12,0),IF(AND(ISNUMBER(BC12),BE12&lt;&gt;"Completed",BC12&lt;TODAY()),TODAY()-BC12,0),IF(AND(ISNUMBER(BG12),BI12&lt;&gt;"Completed",BG12&lt;TODAY()),TODAY()-BG12,0),IF(AND(ISNUMBER(O12),P12&lt;&gt;"Completed",O12&lt;TODAY()),TODAY()-O12,0),IF(AND(ISNUMBER(BQ12),BR12&lt;&gt;"Completed",BQ12&lt;TODAY()),TODAY()-BQ12,0),IF(AND(ISNUMBER(BO12),BP12&lt;&gt;"Completed",BO12&lt;TODAY()),TODAY()-BO12,0),IF(AND(ISNUMBER(BM12),BN12&lt;&gt;"Completed",BM12&lt;TODAY()),TODAY()-BM12,0)))</f>
        <v/>
      </c>
      <c r="H12" s="32" t="n">
        <v>46232</v>
      </c>
      <c r="I12" s="32" t="n">
        <v>46245</v>
      </c>
      <c r="J12" s="32" t="n">
        <v>46276</v>
      </c>
      <c r="K12" s="31">
        <f>IF(ISNUMBER(H12),H12,IF(ISNUMBER(M12),M12-WEEKDAY(M12,2)+1-7,""))</f>
        <v/>
      </c>
      <c r="L12" s="31">
        <f>IF(ISNUMBER(I12),I12,IF(ISNUMBER(H12),WORKDAY(H12,SprintWorkingDays-1),IF(ISNUMBER(K12),WORKDAY(K12,SprintWorkingDays-1),"")))</f>
        <v/>
      </c>
      <c r="M12" s="31">
        <f>IF(ISNUMBER(J12),J12,IF(ISNUMBER(I12),I12-IF(OR(WEEKDAY(I12,2)=2,WEEKDAY(I12,2)=4),0,IF(WEEKDAY(I12,2)=3,1,IF(WEEKDAY(I12,2)=1,4,WEEKDAY(I12,2)-4))),IF(ISNUMBER(H12),WORKDAY(H12,SprintWorkingDays-1)-IF(OR(WEEKDAY(WORKDAY(H12,SprintWorkingDays-1),2)=2,WEEKDAY(WORKDAY(H12,SprintWorkingDays-1),2)=4),0,IF(WEEKDAY(WORKDAY(H12,SprintWorkingDays-1),2)=3,1,IF(WEEKDAY(WORKDAY(H12,SprintWorkingDays-1),2)=1,4,WEEKDAY(WORKDAY(H12,SprintWorkingDays-1),2)-4))),"")))</f>
        <v/>
      </c>
      <c r="N12" s="31">
        <f>IF(NOT(ISNUMBER(K12)),"",WORKDAY(K12,ReadyOffsetWD))</f>
        <v/>
      </c>
      <c r="O12" s="31">
        <f>IF(NOT(ISNUMBER(K12)),"",WORKDAY(K12,SprintReadinessOffsetWD))</f>
        <v/>
      </c>
      <c r="P12" s="29" t="n"/>
      <c r="Q12" s="31">
        <f>IF(NOT(ISNUMBER(T12)),"",WORKDAY(T12,RTSKOffsetFromOUR_WD))</f>
        <v/>
      </c>
      <c r="R12" s="32" t="n"/>
      <c r="S12" s="29" t="n"/>
      <c r="T12" s="31">
        <f>IF(NOT(ISNUMBER(W12)),"",WORKDAY(W12,OUROffsetFromSR_WD))</f>
        <v/>
      </c>
      <c r="U12" s="32" t="n"/>
      <c r="V12" s="29" t="n"/>
      <c r="W12" s="31">
        <f>IF(NOT(ISNUMBER(K12)),"",WORKDAY(K12,SROffsetFromStartWD))</f>
        <v/>
      </c>
      <c r="X12" s="32" t="n"/>
      <c r="Y12" s="29" t="n"/>
      <c r="Z12" s="29" t="n"/>
      <c r="AA12" s="31">
        <f>IF(ISNUMBER(Q12),Q12,"")</f>
        <v/>
      </c>
      <c r="AB12" s="32" t="n"/>
      <c r="AC12" s="29" t="n"/>
      <c r="AD12" s="29" t="n"/>
      <c r="AE12" s="29" t="n"/>
      <c r="AF12" s="29" t="n"/>
      <c r="AG12" s="31">
        <f>IF(NOT(ISNUMBER(Q12)),"",Q12)</f>
        <v/>
      </c>
      <c r="AH12" s="32" t="n"/>
      <c r="AI12" s="29" t="n"/>
      <c r="AJ12" s="31">
        <f>IF(NOT(ISNUMBER(T12)),"",T12)</f>
        <v/>
      </c>
      <c r="AK12" s="32" t="n"/>
      <c r="AL12" s="29" t="n"/>
      <c r="AM12" s="31">
        <f>IF(NOT(ISNUMBER(W12)),"",W12)</f>
        <v/>
      </c>
      <c r="AN12" s="32" t="n"/>
      <c r="AO12" s="29" t="n"/>
      <c r="AP12" s="29" t="n"/>
      <c r="AQ12" s="31">
        <f>IF(ISNUMBER(AG12),AG12,"")</f>
        <v/>
      </c>
      <c r="AR12" s="32" t="n"/>
      <c r="AS12" s="29" t="n"/>
      <c r="AT12" s="29" t="n"/>
      <c r="AU12" s="29" t="n"/>
      <c r="AV12" s="29" t="n"/>
      <c r="AW12" s="31">
        <f>IF(NOT(ISNUMBER(Q12)),"",Q12)</f>
        <v/>
      </c>
      <c r="AX12" s="32" t="n"/>
      <c r="AY12" s="29" t="n"/>
      <c r="AZ12" s="31">
        <f>IF(NOT(ISNUMBER(T12)),"",T12)</f>
        <v/>
      </c>
      <c r="BA12" s="32" t="n"/>
      <c r="BB12" s="29" t="n"/>
      <c r="BC12" s="31">
        <f>IF(NOT(ISNUMBER(W12)),"",W12)</f>
        <v/>
      </c>
      <c r="BD12" s="32" t="n"/>
      <c r="BE12" s="29" t="n"/>
      <c r="BF12" s="29" t="n"/>
      <c r="BG12" s="31">
        <f>IF(ISNUMBER(AW12),AW12,"")</f>
        <v/>
      </c>
      <c r="BH12" s="32" t="n"/>
      <c r="BI12" s="29" t="n"/>
      <c r="BJ12" s="29" t="n"/>
      <c r="BK12" s="29" t="n"/>
      <c r="BL12" s="29" t="n"/>
      <c r="BM12" s="31" t="n">
        <v>46213</v>
      </c>
      <c r="BN12" s="29" t="n"/>
      <c r="BO12" s="31">
        <f>IF(NOT(ISNUMBER(BM12)),"",IF(WEEKDAY(BM12-CodeReviewCalendarDays,2)&gt;5,BM12-CodeReviewCalendarDays-(WEEKDAY(BM12-CodeReviewCalendarDays,2)-5),BM12-CodeReviewCalendarDays))</f>
        <v/>
      </c>
      <c r="BP12" s="29" t="n"/>
      <c r="BQ12" s="31">
        <f>IF(NOT(ISNUMBER(BO12)),"",IF(WEEKDAY(BO12-CodeReviewInviteCalendarDays,2)&gt;5,BO12-CodeReviewInviteCalendarDays-(WEEKDAY(BO12-CodeReviewInviteCalendarDays,2)-5),BO12-CodeReviewInviteCalendarDays))</f>
        <v/>
      </c>
      <c r="BR12" s="29" t="n"/>
      <c r="BS12" s="29" t="n"/>
      <c r="BT12" s="30">
        <f>IF(A12="","",IF(IF(AND(ISNUMBER(J12),WEEKDAY(J12,2)&lt;&gt;2,WEEKDAY(J12,2)&lt;&gt;4)," | Release must be Tuesday or Thursday","")&amp;IF(AND(ISNUMBER(H12),WEEKDAY(H12,2)&lt;&gt;1)," | Sprint Start is not a Monday - dates still calculated from the date entered","")&amp;IF(AND(A12&lt;&gt;"",NOT(ISNUMBER(H12)),NOT(ISNUMBER(J12)))," | Enter Sprint Start or Release Date","")&amp;IF(AND(ISNUMBER(F12),F12&lt;TODAY(),D12&lt;&gt;"Completed")," | One or more raise-by dates are in the past and not completed","")&amp;IF(AND(ISNUMBER(K12),K12-TODAY()&lt;SprintWarningDays,K12&gt;=TODAY(),OR(D12="Yet to start",D12="Blocked"))," | Sprint starts in under 10 days - raise access requests now","")&amp;IF(AND(ISNUMBER(BQ12),BR12&lt;&gt;"Completed",BQ12-TODAY()&lt;CodeReviewInviteCalendarDays)," | Code Review invite should be sent at least 4 days before Code Review","")="","",MID(IF(AND(ISNUMBER(J12),WEEKDAY(J12,2)&lt;&gt;2,WEEKDAY(J12,2)&lt;&gt;4)," | Release must be Tuesday or Thursday","")&amp;IF(AND(ISNUMBER(H12),WEEKDAY(H12,2)&lt;&gt;1)," | Sprint Start is not a Monday - dates still calculated from the date entered","")&amp;IF(AND(A12&lt;&gt;"",NOT(ISNUMBER(H12)),NOT(ISNUMBER(J12)))," | Enter Sprint Start or Release Date","")&amp;IF(AND(ISNUMBER(F12),F12&lt;TODAY(),D12&lt;&gt;"Completed")," | One or more raise-by dates are in the past and not completed","")&amp;IF(AND(ISNUMBER(K12),K12-TODAY()&lt;SprintWarningDays,K12&gt;=TODAY(),OR(D12="Yet to start",D12="Blocked"))," | Sprint starts in under 10 days - raise access requests now","")&amp;IF(AND(ISNUMBER(BQ12),BR12&lt;&gt;"Completed",BQ12-TODAY()&lt;CodeReviewInviteCalendarDays)," | Code Review invite should be sent at least 4 days before Code Review",""),4,500)))</f>
        <v/>
      </c>
      <c r="BU12">
        <f>IF(AND(ISNUMBER(Q12),S12&lt;&gt;"Completed"),Q12,"")</f>
        <v/>
      </c>
      <c r="BV12">
        <f>IF(AND(ISNUMBER(T12),V12&lt;&gt;"Completed"),T12,"")</f>
        <v/>
      </c>
      <c r="BW12">
        <f>IF(AND(ISNUMBER(W12),Y12&lt;&gt;"Completed"),W12,"")</f>
        <v/>
      </c>
      <c r="BX12">
        <f>IF(AND(ISNUMBER(AA12),AC12&lt;&gt;"Completed"),AA12,"")</f>
        <v/>
      </c>
      <c r="BY12">
        <f>IF(AND(ISNUMBER(AG12),AI12&lt;&gt;"Completed"),AG12,"")</f>
        <v/>
      </c>
      <c r="BZ12">
        <f>IF(AND(ISNUMBER(AJ12),AL12&lt;&gt;"Completed"),AJ12,"")</f>
        <v/>
      </c>
      <c r="CA12">
        <f>IF(AND(ISNUMBER(AM12),AO12&lt;&gt;"Completed"),AM12,"")</f>
        <v/>
      </c>
      <c r="CB12">
        <f>IF(AND(ISNUMBER(AQ12),AS12&lt;&gt;"Completed"),AQ12,"")</f>
        <v/>
      </c>
      <c r="CC12">
        <f>IF(AND(ISNUMBER(AW12),AY12&lt;&gt;"Completed"),AW12,"")</f>
        <v/>
      </c>
      <c r="CD12">
        <f>IF(AND(ISNUMBER(AZ12),BB12&lt;&gt;"Completed"),AZ12,"")</f>
        <v/>
      </c>
      <c r="CE12">
        <f>IF(AND(ISNUMBER(BC12),BE12&lt;&gt;"Completed"),BC12,"")</f>
        <v/>
      </c>
      <c r="CF12">
        <f>IF(AND(ISNUMBER(BG12),BI12&lt;&gt;"Completed"),BG12,"")</f>
        <v/>
      </c>
      <c r="CG12">
        <f>IF(AND(ISNUMBER(O12),P12&lt;&gt;"Completed"),O12,"")</f>
        <v/>
      </c>
      <c r="CH12">
        <f>IF(AND(ISNUMBER(BQ12),BR12&lt;&gt;"Completed"),BQ12,"")</f>
        <v/>
      </c>
      <c r="CI12">
        <f>IF(AND(ISNUMBER(BO12),BP12&lt;&gt;"Completed"),BO12,"")</f>
        <v/>
      </c>
      <c r="CJ12">
        <f>IF(AND(ISNUMBER(BM12),BN12&lt;&gt;"Completed"),BM12,"")</f>
        <v/>
      </c>
      <c r="CK12">
        <f>IF(OR(A12="",D12="Completed"),"",IF(N(G12)&gt;0,1/(N(G12)+ROW()/100000),IF(ISNUMBER(F12),1000+F12+ROW()/100000,TODAY()+400+ROW()/100000)))</f>
        <v/>
      </c>
    </row>
    <row r="13" ht="16" customHeight="1" s="39">
      <c r="A13" s="29" t="inlineStr">
        <is>
          <t>EPM_UI PUSH</t>
        </is>
      </c>
      <c r="B13" s="29" t="inlineStr">
        <is>
          <t>Sharath &lt;Skotha1@randomtrees.com&gt;</t>
        </is>
      </c>
      <c r="C13" s="29" t="inlineStr">
        <is>
          <t>Sprint 17</t>
        </is>
      </c>
      <c r="D13" s="30">
        <f>IF(A9="","",IF(((S9="Blocked")+(V9="Blocked")+(Y9="Blocked")+(AC9="Blocked")+(AI9="Blocked")+(AL9="Blocked")+(AO9="Blocked")+(AS9="Blocked")+(AY9="Blocked")+(BB9="Blocked")+(BE9="Blocked")+(BI9="Blocked")+(P9="Blocked")+(BN9="Blocked")+(BP9="Blocked")+(BR9="Blocked")+(BS9="Blocked"))&gt;0,"Blocked",IF((ISNUMBER(Q9)+ISNUMBER(T9)+ISNUMBER(W9)+ISNUMBER(AA9)+ISNUMBER(AG9)+ISNUMBER(AJ9)+ISNUMBER(AM9)+ISNUMBER(AQ9)+ISNUMBER(AW9)+ISNUMBER(AZ9)+ISNUMBER(BC9)+ISNUMBER(BG9)+ISNUMBER(O9)+ISNUMBER(BM9)+ISNUMBER(BO9)+ISNUMBER(BQ9))=0,"Yet to start",IF(AND(OR(NOT(ISNUMBER(Q9)),S9="Completed"),OR(NOT(ISNUMBER(T9)),V9="Completed"),OR(NOT(ISNUMBER(W9)),Y9="Completed"),OR(NOT(ISNUMBER(AA9)),AC9="Completed"),OR(NOT(ISNUMBER(AG9)),AI9="Completed"),OR(NOT(ISNUMBER(AJ9)),AL9="Completed"),OR(NOT(ISNUMBER(AM9)),AO9="Completed"),OR(NOT(ISNUMBER(AQ9)),AS9="Completed"),OR(NOT(ISNUMBER(AW9)),AY9="Completed"),OR(NOT(ISNUMBER(AZ9)),BB9="Completed"),OR(NOT(ISNUMBER(BC9)),BE9="Completed"),OR(NOT(ISNUMBER(BG9)),BI9="Completed"),OR(NOT(ISNUMBER(O9)),P9="Completed"),OR(NOT(ISNUMBER(BM9)),BN9="Completed"),OR(NOT(ISNUMBER(BO9)),BP9="Completed"),OR(NOT(ISNUMBER(BQ9)),BR9="Completed"),BS9="Completed"),"Completed",IF(((S9="In Progress")+(V9="In Progress")+(Y9="In Progress")+(AC9="In Progress")+(AI9="In Progress")+(AL9="In Progress")+(AO9="In Progress")+(AS9="In Progress")+(AY9="In Progress")+(BB9="In Progress")+(BE9="In Progress")+(BI9="In Progress")+(P9="In Progress")+(BN9="In Progress")+(BP9="In Progress")+(BR9="In Progress")+(BS9="In Progress"))&gt;0,"In Progress","Yet to start")))))</f>
        <v/>
      </c>
      <c r="E13" s="30">
        <f>IF(A13="","",IF(F13="","All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Review","CAB"},MATCH(F13,BU13:CJ13,0))))</f>
        <v/>
      </c>
      <c r="F13" s="31">
        <f>IF(A13="","",IF(COUNT(BU13:CJ13)=0,"",MIN(BU13:CJ13)))</f>
        <v/>
      </c>
      <c r="G13" s="30">
        <f>IF(A13="","",MAX(0,IF(AND(ISNUMBER(Q13),S13&lt;&gt;"Completed",Q13&lt;TODAY()),TODAY()-Q13,0),IF(AND(ISNUMBER(T13),V13&lt;&gt;"Completed",T13&lt;TODAY()),TODAY()-T13,0),IF(AND(ISNUMBER(W13),Y13&lt;&gt;"Completed",W13&lt;TODAY()),TODAY()-W13,0),IF(AND(ISNUMBER(AA13),AC13&lt;&gt;"Completed",AA13&lt;TODAY()),TODAY()-AA13,0),IF(AND(ISNUMBER(AG13),AI13&lt;&gt;"Completed",AG13&lt;TODAY()),TODAY()-AG13,0),IF(AND(ISNUMBER(AJ13),AL13&lt;&gt;"Completed",AJ13&lt;TODAY()),TODAY()-AJ13,0),IF(AND(ISNUMBER(AM13),AO13&lt;&gt;"Completed",AM13&lt;TODAY()),TODAY()-AM13,0),IF(AND(ISNUMBER(AQ13),AS13&lt;&gt;"Completed",AQ13&lt;TODAY()),TODAY()-AQ13,0),IF(AND(ISNUMBER(AW13),AY13&lt;&gt;"Completed",AW13&lt;TODAY()),TODAY()-AW13,0),IF(AND(ISNUMBER(AZ13),BB13&lt;&gt;"Completed",AZ13&lt;TODAY()),TODAY()-AZ13,0),IF(AND(ISNUMBER(BC13),BE13&lt;&gt;"Completed",BC13&lt;TODAY()),TODAY()-BC13,0),IF(AND(ISNUMBER(BG13),BI13&lt;&gt;"Completed",BG13&lt;TODAY()),TODAY()-BG13,0),IF(AND(ISNUMBER(O13),P13&lt;&gt;"Completed",O13&lt;TODAY()),TODAY()-O13,0),IF(AND(ISNUMBER(BQ13),BR13&lt;&gt;"Completed",BQ13&lt;TODAY()),TODAY()-BQ13,0),IF(AND(ISNUMBER(BO13),BP13&lt;&gt;"Completed",BO13&lt;TODAY()),TODAY()-BO13,0),IF(AND(ISNUMBER(BM13),BN13&lt;&gt;"Completed",BM13&lt;TODAY()),TODAY()-BM13,0)))</f>
        <v/>
      </c>
      <c r="H13" s="32" t="n">
        <v>46232</v>
      </c>
      <c r="I13" s="32" t="n">
        <v>46245</v>
      </c>
      <c r="J13" s="32" t="n">
        <v>46276</v>
      </c>
      <c r="K13" s="31">
        <f>IF(ISNUMBER(H13),H13,IF(ISNUMBER(M13),M13-WEEKDAY(M13,2)+1-7,""))</f>
        <v/>
      </c>
      <c r="L13" s="31">
        <f>IF(ISNUMBER(I13),I13,IF(ISNUMBER(H13),WORKDAY(H13,SprintWorkingDays-1),IF(ISNUMBER(K13),WORKDAY(K13,SprintWorkingDays-1),"")))</f>
        <v/>
      </c>
      <c r="M13" s="31">
        <f>IF(ISNUMBER(J13),J13,IF(ISNUMBER(I13),I13-IF(OR(WEEKDAY(I13,2)=2,WEEKDAY(I13,2)=4),0,IF(WEEKDAY(I13,2)=3,1,IF(WEEKDAY(I13,2)=1,4,WEEKDAY(I13,2)-4))),IF(ISNUMBER(H13),WORKDAY(H13,SprintWorkingDays-1)-IF(OR(WEEKDAY(WORKDAY(H13,SprintWorkingDays-1),2)=2,WEEKDAY(WORKDAY(H13,SprintWorkingDays-1),2)=4),0,IF(WEEKDAY(WORKDAY(H13,SprintWorkingDays-1),2)=3,1,IF(WEEKDAY(WORKDAY(H13,SprintWorkingDays-1),2)=1,4,WEEKDAY(WORKDAY(H13,SprintWorkingDays-1),2)-4))),"")))</f>
        <v/>
      </c>
      <c r="N13" s="31">
        <f>IF(NOT(ISNUMBER(K13)),"",WORKDAY(K13,ReadyOffsetWD))</f>
        <v/>
      </c>
      <c r="O13" s="31">
        <f>IF(NOT(ISNUMBER(K13)),"",WORKDAY(K13,SprintReadinessOffsetWD))</f>
        <v/>
      </c>
      <c r="P13" s="29" t="n"/>
      <c r="Q13" s="31">
        <f>IF(NOT(ISNUMBER(T13)),"",WORKDAY(T13,RTSKOffsetFromOUR_WD))</f>
        <v/>
      </c>
      <c r="R13" s="32" t="n"/>
      <c r="S13" s="29" t="n"/>
      <c r="T13" s="31">
        <f>IF(NOT(ISNUMBER(W13)),"",WORKDAY(W13,OUROffsetFromSR_WD))</f>
        <v/>
      </c>
      <c r="U13" s="32" t="n"/>
      <c r="V13" s="29" t="n"/>
      <c r="W13" s="31">
        <f>IF(NOT(ISNUMBER(K13)),"",WORKDAY(K13,SROffsetFromStartWD))</f>
        <v/>
      </c>
      <c r="X13" s="32" t="n"/>
      <c r="Y13" s="29" t="n"/>
      <c r="Z13" s="29" t="n"/>
      <c r="AA13" s="31">
        <f>IF(ISNUMBER(Q13),Q13,"")</f>
        <v/>
      </c>
      <c r="AB13" s="32" t="n"/>
      <c r="AC13" s="29" t="n"/>
      <c r="AD13" s="29" t="n"/>
      <c r="AE13" s="29" t="n"/>
      <c r="AF13" s="29" t="n"/>
      <c r="AG13" s="31">
        <f>IF(NOT(ISNUMBER(Q13)),"",Q13)</f>
        <v/>
      </c>
      <c r="AH13" s="32" t="n"/>
      <c r="AI13" s="29" t="n"/>
      <c r="AJ13" s="31">
        <f>IF(NOT(ISNUMBER(T13)),"",T13)</f>
        <v/>
      </c>
      <c r="AK13" s="32" t="n"/>
      <c r="AL13" s="29" t="n"/>
      <c r="AM13" s="31">
        <f>IF(NOT(ISNUMBER(W13)),"",W13)</f>
        <v/>
      </c>
      <c r="AN13" s="32" t="n"/>
      <c r="AO13" s="29" t="n"/>
      <c r="AP13" s="29" t="n"/>
      <c r="AQ13" s="31">
        <f>IF(ISNUMBER(AG13),AG13,"")</f>
        <v/>
      </c>
      <c r="AR13" s="32" t="n"/>
      <c r="AS13" s="29" t="n"/>
      <c r="AT13" s="29" t="n"/>
      <c r="AU13" s="29" t="n"/>
      <c r="AV13" s="29" t="n"/>
      <c r="AW13" s="31">
        <f>IF(NOT(ISNUMBER(Q13)),"",Q13)</f>
        <v/>
      </c>
      <c r="AX13" s="32" t="n"/>
      <c r="AY13" s="29" t="n"/>
      <c r="AZ13" s="31">
        <f>IF(NOT(ISNUMBER(T13)),"",T13)</f>
        <v/>
      </c>
      <c r="BA13" s="32" t="n"/>
      <c r="BB13" s="29" t="n"/>
      <c r="BC13" s="31">
        <f>IF(NOT(ISNUMBER(W13)),"",W13)</f>
        <v/>
      </c>
      <c r="BD13" s="32" t="n"/>
      <c r="BE13" s="29" t="n"/>
      <c r="BF13" s="29" t="n"/>
      <c r="BG13" s="31">
        <f>IF(ISNUMBER(AW13),AW13,"")</f>
        <v/>
      </c>
      <c r="BH13" s="32" t="n"/>
      <c r="BI13" s="29" t="n"/>
      <c r="BJ13" s="29" t="n"/>
      <c r="BK13" s="29" t="n"/>
      <c r="BL13" s="29" t="n"/>
      <c r="BM13" s="31" t="n">
        <v>46213</v>
      </c>
      <c r="BN13" s="29" t="n"/>
      <c r="BO13" s="31">
        <f>IF(NOT(ISNUMBER(BM13)),"",IF(WEEKDAY(BM13-CodeReviewCalendarDays,2)&gt;5,BM13-CodeReviewCalendarDays-(WEEKDAY(BM13-CodeReviewCalendarDays,2)-5),BM13-CodeReviewCalendarDays))</f>
        <v/>
      </c>
      <c r="BP13" s="29" t="n"/>
      <c r="BQ13" s="31">
        <f>IF(NOT(ISNUMBER(BO13)),"",IF(WEEKDAY(BO13-CodeReviewInviteCalendarDays,2)&gt;5,BO13-CodeReviewInviteCalendarDays-(WEEKDAY(BO13-CodeReviewInviteCalendarDays,2)-5),BO13-CodeReviewInviteCalendarDays))</f>
        <v/>
      </c>
      <c r="BR13" s="29" t="n"/>
      <c r="BS13" s="29" t="n"/>
      <c r="BT13" s="30">
        <f>IF(A13="","",IF(IF(AND(ISNUMBER(J13),WEEKDAY(J13,2)&lt;&gt;2,WEEKDAY(J13,2)&lt;&gt;4)," | Release must be Tuesday or Thursday","")&amp;IF(AND(ISNUMBER(H13),WEEKDAY(H13,2)&lt;&gt;1)," | Sprint Start is not a Monday - dates still calculated from the date entered","")&amp;IF(AND(A13&lt;&gt;"",NOT(ISNUMBER(H13)),NOT(ISNUMBER(J13)))," | Enter Sprint Start or Release Date","")&amp;IF(AND(ISNUMBER(F13),F13&lt;TODAY(),D13&lt;&gt;"Completed")," | One or more raise-by dates are in the past and not completed","")&amp;IF(AND(ISNUMBER(K13),K13-TODAY()&lt;SprintWarningDays,K13&gt;=TODAY(),OR(D13="Yet to start",D13="Blocked"))," | Sprint starts in under 10 days - raise access requests now","")&amp;IF(AND(ISNUMBER(BQ13),BR13&lt;&gt;"Completed",BQ13-TODAY()&lt;CodeReviewInviteCalendarDays)," | Code Review invite should be sent at least 4 days before Code Review","")="","",MID(IF(AND(ISNUMBER(J13),WEEKDAY(J13,2)&lt;&gt;2,WEEKDAY(J13,2)&lt;&gt;4)," | Release must be Tuesday or Thursday","")&amp;IF(AND(ISNUMBER(H13),WEEKDAY(H13,2)&lt;&gt;1)," | Sprint Start is not a Monday - dates still calculated from the date entered","")&amp;IF(AND(A13&lt;&gt;"",NOT(ISNUMBER(H13)),NOT(ISNUMBER(J13)))," | Enter Sprint Start or Release Date","")&amp;IF(AND(ISNUMBER(F13),F13&lt;TODAY(),D13&lt;&gt;"Completed")," | One or more raise-by dates are in the past and not completed","")&amp;IF(AND(ISNUMBER(K13),K13-TODAY()&lt;SprintWarningDays,K13&gt;=TODAY(),OR(D13="Yet to start",D13="Blocked"))," | Sprint starts in under 10 days - raise access requests now","")&amp;IF(AND(ISNUMBER(BQ13),BR13&lt;&gt;"Completed",BQ13-TODAY()&lt;CodeReviewInviteCalendarDays)," | Code Review invite should be sent at least 4 days before Code Review",""),4,500)))</f>
        <v/>
      </c>
      <c r="BU13">
        <f>IF(AND(ISNUMBER(Q13),S13&lt;&gt;"Completed"),Q13,"")</f>
        <v/>
      </c>
      <c r="BV13">
        <f>IF(AND(ISNUMBER(T13),V13&lt;&gt;"Completed"),T13,"")</f>
        <v/>
      </c>
      <c r="BW13">
        <f>IF(AND(ISNUMBER(W13),Y13&lt;&gt;"Completed"),W13,"")</f>
        <v/>
      </c>
      <c r="BX13">
        <f>IF(AND(ISNUMBER(AA13),AC13&lt;&gt;"Completed"),AA13,"")</f>
        <v/>
      </c>
      <c r="BY13">
        <f>IF(AND(ISNUMBER(AG13),AI13&lt;&gt;"Completed"),AG13,"")</f>
        <v/>
      </c>
      <c r="BZ13">
        <f>IF(AND(ISNUMBER(AJ13),AL13&lt;&gt;"Completed"),AJ13,"")</f>
        <v/>
      </c>
      <c r="CA13">
        <f>IF(AND(ISNUMBER(AM13),AO13&lt;&gt;"Completed"),AM13,"")</f>
        <v/>
      </c>
      <c r="CB13">
        <f>IF(AND(ISNUMBER(AQ13),AS13&lt;&gt;"Completed"),AQ13,"")</f>
        <v/>
      </c>
      <c r="CC13">
        <f>IF(AND(ISNUMBER(AW13),AY13&lt;&gt;"Completed"),AW13,"")</f>
        <v/>
      </c>
      <c r="CD13">
        <f>IF(AND(ISNUMBER(AZ13),BB13&lt;&gt;"Completed"),AZ13,"")</f>
        <v/>
      </c>
      <c r="CE13">
        <f>IF(AND(ISNUMBER(BC13),BE13&lt;&gt;"Completed"),BC13,"")</f>
        <v/>
      </c>
      <c r="CF13">
        <f>IF(AND(ISNUMBER(BG13),BI13&lt;&gt;"Completed"),BG13,"")</f>
        <v/>
      </c>
      <c r="CG13">
        <f>IF(AND(ISNUMBER(O13),P13&lt;&gt;"Completed"),O13,"")</f>
        <v/>
      </c>
      <c r="CH13">
        <f>IF(AND(ISNUMBER(BQ13),BR13&lt;&gt;"Completed"),BQ13,"")</f>
        <v/>
      </c>
      <c r="CI13">
        <f>IF(AND(ISNUMBER(BO13),BP13&lt;&gt;"Completed"),BO13,"")</f>
        <v/>
      </c>
      <c r="CJ13">
        <f>IF(AND(ISNUMBER(BM13),BN13&lt;&gt;"Completed"),BM13,"")</f>
        <v/>
      </c>
      <c r="CK13">
        <f>IF(OR(A13="",D13="Completed"),"",IF(N(G13)&gt;0,1/(N(G13)+ROW()/100000),IF(ISNUMBER(F13),1000+F13+ROW()/100000,TODAY()+400+ROW()/100000)))</f>
        <v/>
      </c>
    </row>
    <row r="14" ht="16" customHeight="1" s="39">
      <c r="A14" s="29" t="inlineStr">
        <is>
          <t>AUDIT REPORTS</t>
        </is>
      </c>
      <c r="B14" s="29" t="inlineStr">
        <is>
          <t>Santhosh &lt;skoyalkar@randomtrees.com&gt;</t>
        </is>
      </c>
      <c r="C14" s="29" t="inlineStr">
        <is>
          <t>Sprint 17</t>
        </is>
      </c>
      <c r="D14" s="30">
        <f>IF(A14="","",IF(((S14="Blocked")+(V14="Blocked")+(Y14="Blocked")+(AC14="Blocked")+(AI14="Blocked")+(AL14="Blocked")+(AO14="Blocked")+(AS14="Blocked")+(AY14="Blocked")+(BB14="Blocked")+(BE14="Blocked")+(BI14="Blocked")+(P14="Blocked")+(BN14="Blocked")+(BP14="Blocked")+(BR14="Blocked")+(BS14="Blocked"))&gt;0,"Blocked",IF((ISNUMBER(Q14)+ISNUMBER(T14)+ISNUMBER(W14)+ISNUMBER(AA14)+ISNUMBER(AG14)+ISNUMBER(AJ14)+ISNUMBER(AM14)+ISNUMBER(AQ14)+ISNUMBER(AW14)+ISNUMBER(AZ14)+ISNUMBER(BC14)+ISNUMBER(BG14)+ISNUMBER(O14)+ISNUMBER(BM14)+ISNUMBER(BO14)+ISNUMBER(BQ14))=0,"Yet to start",IF(AND(OR(NOT(ISNUMBER(Q14)),S14="Completed"),OR(NOT(ISNUMBER(T14)),V14="Completed"),OR(NOT(ISNUMBER(W14)),Y14="Completed"),OR(NOT(ISNUMBER(AA14)),AC14="Completed"),OR(NOT(ISNUMBER(AG14)),AI14="Completed"),OR(NOT(ISNUMBER(AJ14)),AL14="Completed"),OR(NOT(ISNUMBER(AM14)),AO14="Completed"),OR(NOT(ISNUMBER(AQ14)),AS14="Completed"),OR(NOT(ISNUMBER(AW14)),AY14="Completed"),OR(NOT(ISNUMBER(AZ14)),BB14="Completed"),OR(NOT(ISNUMBER(BC14)),BE14="Completed"),OR(NOT(ISNUMBER(BG14)),BI14="Completed"),OR(NOT(ISNUMBER(O14)),P14="Completed"),OR(NOT(ISNUMBER(BM14)),BN14="Completed"),OR(NOT(ISNUMBER(BO14)),BP14="Completed"),OR(NOT(ISNUMBER(BQ14)),BR14="Completed"),BS14="Completed"),"Completed",IF(((S14="In Progress")+(V14="In Progress")+(Y14="In Progress")+(AC14="In Progress")+(AI14="In Progress")+(AL14="In Progress")+(AO14="In Progress")+(AS14="In Progress")+(AY14="In Progress")+(BB14="In Progress")+(BE14="In Progress")+(BI14="In Progress")+(P14="In Progress")+(BN14="In Progress")+(BP14="In Progress")+(BR14="In Progress")+(BS14="In Progress"))&gt;0,"In Progress","Yet to start")))))</f>
        <v/>
      </c>
      <c r="E14" s="30">
        <f>IF(A14="","",IF(F14="","All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Review","CAB"},MATCH(F14,BU14:CJ14,0))))</f>
        <v/>
      </c>
      <c r="F14" s="31">
        <f>IF(A14="","",IF(COUNT(BU14:CJ14)=0,"",MIN(BU14:CJ14)))</f>
        <v/>
      </c>
      <c r="G14" s="30">
        <f>IF(A14="","",MAX(0,IF(AND(ISNUMBER(Q14),S14&lt;&gt;"Completed",Q14&lt;TODAY()),TODAY()-Q14,0),IF(AND(ISNUMBER(T14),V14&lt;&gt;"Completed",T14&lt;TODAY()),TODAY()-T14,0),IF(AND(ISNUMBER(W14),Y14&lt;&gt;"Completed",W14&lt;TODAY()),TODAY()-W14,0),IF(AND(ISNUMBER(AA14),AC14&lt;&gt;"Completed",AA14&lt;TODAY()),TODAY()-AA14,0),IF(AND(ISNUMBER(AG14),AI14&lt;&gt;"Completed",AG14&lt;TODAY()),TODAY()-AG14,0),IF(AND(ISNUMBER(AJ14),AL14&lt;&gt;"Completed",AJ14&lt;TODAY()),TODAY()-AJ14,0),IF(AND(ISNUMBER(AM14),AO14&lt;&gt;"Completed",AM14&lt;TODAY()),TODAY()-AM14,0),IF(AND(ISNUMBER(AQ14),AS14&lt;&gt;"Completed",AQ14&lt;TODAY()),TODAY()-AQ14,0),IF(AND(ISNUMBER(AW14),AY14&lt;&gt;"Completed",AW14&lt;TODAY()),TODAY()-AW14,0),IF(AND(ISNUMBER(AZ14),BB14&lt;&gt;"Completed",AZ14&lt;TODAY()),TODAY()-AZ14,0),IF(AND(ISNUMBER(BC14),BE14&lt;&gt;"Completed",BC14&lt;TODAY()),TODAY()-BC14,0),IF(AND(ISNUMBER(BG14),BI14&lt;&gt;"Completed",BG14&lt;TODAY()),TODAY()-BG14,0),IF(AND(ISNUMBER(O14),P14&lt;&gt;"Completed",O14&lt;TODAY()),TODAY()-O14,0),IF(AND(ISNUMBER(BQ14),BR14&lt;&gt;"Completed",BQ14&lt;TODAY()),TODAY()-BQ14,0),IF(AND(ISNUMBER(BO14),BP14&lt;&gt;"Completed",BO14&lt;TODAY()),TODAY()-BO14,0),IF(AND(ISNUMBER(BM14),BN14&lt;&gt;"Completed",BM14&lt;TODAY()),TODAY()-BM14,0)))</f>
        <v/>
      </c>
      <c r="H14" s="32" t="n">
        <v>46232</v>
      </c>
      <c r="I14" s="32" t="n">
        <v>46245</v>
      </c>
      <c r="J14" s="32" t="n">
        <v>46276</v>
      </c>
      <c r="K14" s="31">
        <f>IF(ISNUMBER(H14),H14,IF(ISNUMBER(M14),M14-WEEKDAY(M14,2)+1-7,""))</f>
        <v/>
      </c>
      <c r="L14" s="31">
        <f>IF(ISNUMBER(I14),I14,IF(ISNUMBER(H14),WORKDAY(H14,SprintWorkingDays-1),IF(ISNUMBER(K14),WORKDAY(K14,SprintWorkingDays-1),"")))</f>
        <v/>
      </c>
      <c r="M14" s="31">
        <f>IF(ISNUMBER(J14),J14,IF(ISNUMBER(I14),I14-IF(OR(WEEKDAY(I14,2)=2,WEEKDAY(I14,2)=4),0,IF(WEEKDAY(I14,2)=3,1,IF(WEEKDAY(I14,2)=1,4,WEEKDAY(I14,2)-4))),IF(ISNUMBER(H14),WORKDAY(H14,SprintWorkingDays-1)-IF(OR(WEEKDAY(WORKDAY(H14,SprintWorkingDays-1),2)=2,WEEKDAY(WORKDAY(H14,SprintWorkingDays-1),2)=4),0,IF(WEEKDAY(WORKDAY(H14,SprintWorkingDays-1),2)=3,1,IF(WEEKDAY(WORKDAY(H14,SprintWorkingDays-1),2)=1,4,WEEKDAY(WORKDAY(H14,SprintWorkingDays-1),2)-4))),"")))</f>
        <v/>
      </c>
      <c r="N14" s="31">
        <f>IF(NOT(ISNUMBER(K14)),"",WORKDAY(K14,ReadyOffsetWD))</f>
        <v/>
      </c>
      <c r="O14" s="31">
        <f>IF(NOT(ISNUMBER(K14)),"",WORKDAY(K14,SprintReadinessOffsetWD))</f>
        <v/>
      </c>
      <c r="P14" s="29" t="n"/>
      <c r="Q14" s="31">
        <f>IF(NOT(ISNUMBER(T14)),"",WORKDAY(T14,RTSKOffsetFromOUR_WD))</f>
        <v/>
      </c>
      <c r="R14" s="32" t="n"/>
      <c r="S14" s="29" t="n"/>
      <c r="T14" s="31">
        <f>IF(NOT(ISNUMBER(W14)),"",WORKDAY(W14,OUROffsetFromSR_WD))</f>
        <v/>
      </c>
      <c r="U14" s="32" t="n"/>
      <c r="V14" s="29" t="n"/>
      <c r="W14" s="31">
        <f>IF(NOT(ISNUMBER(K14)),"",WORKDAY(K14,SROffsetFromStartWD))</f>
        <v/>
      </c>
      <c r="X14" s="32" t="n"/>
      <c r="Y14" s="29" t="n"/>
      <c r="Z14" s="29" t="n"/>
      <c r="AA14" s="31">
        <f>IF(ISNUMBER(Q14),Q14,"")</f>
        <v/>
      </c>
      <c r="AB14" s="32" t="n"/>
      <c r="AC14" s="29" t="n"/>
      <c r="AD14" s="29" t="n"/>
      <c r="AE14" s="29" t="n"/>
      <c r="AF14" s="29" t="n"/>
      <c r="AG14" s="31">
        <f>IF(NOT(ISNUMBER(Q14)),"",Q14)</f>
        <v/>
      </c>
      <c r="AH14" s="32" t="n"/>
      <c r="AI14" s="29" t="n"/>
      <c r="AJ14" s="31">
        <f>IF(NOT(ISNUMBER(T14)),"",T14)</f>
        <v/>
      </c>
      <c r="AK14" s="32" t="n"/>
      <c r="AL14" s="29" t="n"/>
      <c r="AM14" s="31">
        <f>IF(NOT(ISNUMBER(W14)),"",W14)</f>
        <v/>
      </c>
      <c r="AN14" s="32" t="n"/>
      <c r="AO14" s="29" t="n"/>
      <c r="AP14" s="29" t="n"/>
      <c r="AQ14" s="31">
        <f>IF(ISNUMBER(AG14),AG14,"")</f>
        <v/>
      </c>
      <c r="AR14" s="32" t="n"/>
      <c r="AS14" s="29" t="n"/>
      <c r="AT14" s="29" t="n"/>
      <c r="AU14" s="29" t="n"/>
      <c r="AV14" s="29" t="n"/>
      <c r="AW14" s="31">
        <f>IF(NOT(ISNUMBER(Q14)),"",Q14)</f>
        <v/>
      </c>
      <c r="AX14" s="32" t="n"/>
      <c r="AY14" s="29" t="n"/>
      <c r="AZ14" s="31">
        <f>IF(NOT(ISNUMBER(T14)),"",T14)</f>
        <v/>
      </c>
      <c r="BA14" s="32" t="n"/>
      <c r="BB14" s="29" t="n"/>
      <c r="BC14" s="31">
        <f>IF(NOT(ISNUMBER(W14)),"",W14)</f>
        <v/>
      </c>
      <c r="BD14" s="32" t="n"/>
      <c r="BE14" s="29" t="n"/>
      <c r="BF14" s="29" t="n"/>
      <c r="BG14" s="31">
        <f>IF(ISNUMBER(AW14),AW14,"")</f>
        <v/>
      </c>
      <c r="BH14" s="32" t="n"/>
      <c r="BI14" s="29" t="n"/>
      <c r="BJ14" s="29" t="n"/>
      <c r="BK14" s="29" t="n"/>
      <c r="BL14" s="29" t="n"/>
      <c r="BM14" s="31" t="n">
        <v>46213</v>
      </c>
      <c r="BN14" s="29" t="n"/>
      <c r="BO14" s="31">
        <f>IF(NOT(ISNUMBER(BM14)),"",IF(WEEKDAY(BM14-CodeReviewCalendarDays,2)&gt;5,BM14-CodeReviewCalendarDays-(WEEKDAY(BM14-CodeReviewCalendarDays,2)-5),BM14-CodeReviewCalendarDays))</f>
        <v/>
      </c>
      <c r="BP14" s="29" t="n"/>
      <c r="BQ14" s="31">
        <f>IF(NOT(ISNUMBER(BO14)),"",IF(WEEKDAY(BO14-CodeReviewInviteCalendarDays,2)&gt;5,BO14-CodeReviewInviteCalendarDays-(WEEKDAY(BO14-CodeReviewInviteCalendarDays,2)-5),BO14-CodeReviewInviteCalendarDays))</f>
        <v/>
      </c>
      <c r="BR14" s="29" t="n"/>
      <c r="BS14" s="29" t="n"/>
      <c r="BT14" s="30">
        <f>IF(A14="","",IF(IF(AND(ISNUMBER(J14),WEEKDAY(J14,2)&lt;&gt;2,WEEKDAY(J14,2)&lt;&gt;4)," | Release must be Tuesday or Thursday","")&amp;IF(AND(ISNUMBER(H14),WEEKDAY(H14,2)&lt;&gt;1)," | Sprint Start is not a Monday - dates still calculated from the date entered","")&amp;IF(AND(A14&lt;&gt;"",NOT(ISNUMBER(H14)),NOT(ISNUMBER(J14)))," | Enter Sprint Start or Release Date","")&amp;IF(AND(ISNUMBER(F14),F14&lt;TODAY(),D14&lt;&gt;"Completed")," | One or more raise-by dates are in the past and not completed","")&amp;IF(AND(ISNUMBER(K14),K14-TODAY()&lt;SprintWarningDays,K14&gt;=TODAY(),OR(D14="Yet to start",D14="Blocked"))," | Sprint starts in under 10 days - raise access requests now","")&amp;IF(AND(ISNUMBER(BQ14),BR14&lt;&gt;"Completed",BQ14-TODAY()&lt;CodeReviewInviteCalendarDays)," | Code Review invite should be sent at least 4 days before Code Review","")="","",MID(IF(AND(ISNUMBER(J14),WEEKDAY(J14,2)&lt;&gt;2,WEEKDAY(J14,2)&lt;&gt;4)," | Release must be Tuesday or Thursday","")&amp;IF(AND(ISNUMBER(H14),WEEKDAY(H14,2)&lt;&gt;1)," | Sprint Start is not a Monday - dates still calculated from the date entered","")&amp;IF(AND(A14&lt;&gt;"",NOT(ISNUMBER(H14)),NOT(ISNUMBER(J14)))," | Enter Sprint Start or Release Date","")&amp;IF(AND(ISNUMBER(F14),F14&lt;TODAY(),D14&lt;&gt;"Completed")," | One or more raise-by dates are in the past and not completed","")&amp;IF(AND(ISNUMBER(K14),K14-TODAY()&lt;SprintWarningDays,K14&gt;=TODAY(),OR(D14="Yet to start",D14="Blocked"))," | Sprint starts in under 10 days - raise access requests now","")&amp;IF(AND(ISNUMBER(BQ14),BR14&lt;&gt;"Completed",BQ14-TODAY()&lt;CodeReviewInviteCalendarDays)," | Code Review invite should be sent at least 4 days before Code Review",""),4,500)))</f>
        <v/>
      </c>
      <c r="BU14">
        <f>IF(AND(ISNUMBER(Q14),S14&lt;&gt;"Completed"),Q14,"")</f>
        <v/>
      </c>
      <c r="BV14">
        <f>IF(AND(ISNUMBER(T14),V14&lt;&gt;"Completed"),T14,"")</f>
        <v/>
      </c>
      <c r="BW14">
        <f>IF(AND(ISNUMBER(W14),Y14&lt;&gt;"Completed"),W14,"")</f>
        <v/>
      </c>
      <c r="BX14">
        <f>IF(AND(ISNUMBER(AA14),AC14&lt;&gt;"Completed"),AA14,"")</f>
        <v/>
      </c>
      <c r="BY14">
        <f>IF(AND(ISNUMBER(AG14),AI14&lt;&gt;"Completed"),AG14,"")</f>
        <v/>
      </c>
      <c r="BZ14">
        <f>IF(AND(ISNUMBER(AJ14),AL14&lt;&gt;"Completed"),AJ14,"")</f>
        <v/>
      </c>
      <c r="CA14">
        <f>IF(AND(ISNUMBER(AM14),AO14&lt;&gt;"Completed"),AM14,"")</f>
        <v/>
      </c>
      <c r="CB14">
        <f>IF(AND(ISNUMBER(AQ14),AS14&lt;&gt;"Completed"),AQ14,"")</f>
        <v/>
      </c>
      <c r="CC14">
        <f>IF(AND(ISNUMBER(AW14),AY14&lt;&gt;"Completed"),AW14,"")</f>
        <v/>
      </c>
      <c r="CD14">
        <f>IF(AND(ISNUMBER(AZ14),BB14&lt;&gt;"Completed"),AZ14,"")</f>
        <v/>
      </c>
      <c r="CE14">
        <f>IF(AND(ISNUMBER(BC14),BE14&lt;&gt;"Completed"),BC14,"")</f>
        <v/>
      </c>
      <c r="CF14">
        <f>IF(AND(ISNUMBER(BG14),BI14&lt;&gt;"Completed"),BG14,"")</f>
        <v/>
      </c>
      <c r="CG14">
        <f>IF(AND(ISNUMBER(O14),P14&lt;&gt;"Completed"),O14,"")</f>
        <v/>
      </c>
      <c r="CH14">
        <f>IF(AND(ISNUMBER(BQ14),BR14&lt;&gt;"Completed"),BQ14,"")</f>
        <v/>
      </c>
      <c r="CI14">
        <f>IF(AND(ISNUMBER(BO14),BP14&lt;&gt;"Completed"),BO14,"")</f>
        <v/>
      </c>
      <c r="CJ14">
        <f>IF(AND(ISNUMBER(BM14),BN14&lt;&gt;"Completed"),BM14,"")</f>
        <v/>
      </c>
      <c r="CK14">
        <f>IF(OR(A14="",D14="Completed"),"",IF(N(G14)&gt;0,1/(N(G14)+ROW()/100000),IF(ISNUMBER(F14),1000+F14+ROW()/100000,TODAY()+400+ROW()/100000)))</f>
        <v/>
      </c>
    </row>
    <row r="15" ht="16" customHeight="1" s="39">
      <c r="A15" s="29" t="inlineStr">
        <is>
          <t>FIN</t>
        </is>
      </c>
      <c r="B15" s="29" t="inlineStr">
        <is>
          <t>Sandeep &lt;sgodi@randomtrees.com&gt;</t>
        </is>
      </c>
      <c r="C15" s="29" t="inlineStr">
        <is>
          <t>Sprint 18</t>
        </is>
      </c>
      <c r="D15" s="30">
        <f>IF(A15="","",IF(((S15="Blocked")+(V15="Blocked")+(Y15="Blocked")+(AC15="Blocked")+(AI15="Blocked")+(AL15="Blocked")+(AO15="Blocked")+(AS15="Blocked")+(AY15="Blocked")+(BB15="Blocked")+(BE15="Blocked")+(BI15="Blocked")+(P15="Blocked")+(BN15="Blocked")+(BP15="Blocked")+(BR15="Blocked")+(BS15="Blocked"))&gt;0,"Blocked",IF((ISNUMBER(Q15)+ISNUMBER(T15)+ISNUMBER(W15)+ISNUMBER(AA15)+ISNUMBER(AG15)+ISNUMBER(AJ15)+ISNUMBER(AM15)+ISNUMBER(AQ15)+ISNUMBER(AW15)+ISNUMBER(AZ15)+ISNUMBER(BC15)+ISNUMBER(BG15)+ISNUMBER(O15)+ISNUMBER(BM15)+ISNUMBER(BO15)+ISNUMBER(BQ15))=0,"Yet to start",IF(AND(OR(NOT(ISNUMBER(Q15)),S15="Completed"),OR(NOT(ISNUMBER(T15)),V15="Completed"),OR(NOT(ISNUMBER(W15)),Y15="Completed"),OR(NOT(ISNUMBER(AA15)),AC15="Completed"),OR(NOT(ISNUMBER(AG15)),AI15="Completed"),OR(NOT(ISNUMBER(AJ15)),AL15="Completed"),OR(NOT(ISNUMBER(AM15)),AO15="Completed"),OR(NOT(ISNUMBER(AQ15)),AS15="Completed"),OR(NOT(ISNUMBER(AW15)),AY15="Completed"),OR(NOT(ISNUMBER(AZ15)),BB15="Completed"),OR(NOT(ISNUMBER(BC15)),BE15="Completed"),OR(NOT(ISNUMBER(BG15)),BI15="Completed"),OR(NOT(ISNUMBER(O15)),P15="Completed"),OR(NOT(ISNUMBER(BM15)),BN15="Completed"),OR(NOT(ISNUMBER(BO15)),BP15="Completed"),OR(NOT(ISNUMBER(BQ15)),BR15="Completed"),BS15="Completed"),"Completed",IF(((S15="In Progress")+(V15="In Progress")+(Y15="In Progress")+(AC15="In Progress")+(AI15="In Progress")+(AL15="In Progress")+(AO15="In Progress")+(AS15="In Progress")+(AY15="In Progress")+(BB15="In Progress")+(BE15="In Progress")+(BI15="In Progress")+(P15="In Progress")+(BN15="In Progress")+(BP15="In Progress")+(BR15="In Progress")+(BS15="In Progress"))&gt;0,"In Progress","Yet to start")))))</f>
        <v/>
      </c>
      <c r="E15" s="30">
        <f>IF(A15="","",IF(F15="","All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Review","CAB"},MATCH(F15,BU15:CJ15,0))))</f>
        <v/>
      </c>
      <c r="F15" s="31">
        <f>IF(A15="","",IF(COUNT(BU15:CJ15)=0,"",MIN(BU15:CJ15)))</f>
        <v/>
      </c>
      <c r="G15" s="30">
        <f>IF(A15="","",MAX(0,IF(AND(ISNUMBER(Q15),S15&lt;&gt;"Completed",Q15&lt;TODAY()),TODAY()-Q15,0),IF(AND(ISNUMBER(T15),V15&lt;&gt;"Completed",T15&lt;TODAY()),TODAY()-T15,0),IF(AND(ISNUMBER(W15),Y15&lt;&gt;"Completed",W15&lt;TODAY()),TODAY()-W15,0),IF(AND(ISNUMBER(AA15),AC15&lt;&gt;"Completed",AA15&lt;TODAY()),TODAY()-AA15,0),IF(AND(ISNUMBER(AG15),AI15&lt;&gt;"Completed",AG15&lt;TODAY()),TODAY()-AG15,0),IF(AND(ISNUMBER(AJ15),AL15&lt;&gt;"Completed",AJ15&lt;TODAY()),TODAY()-AJ15,0),IF(AND(ISNUMBER(AM15),AO15&lt;&gt;"Completed",AM15&lt;TODAY()),TODAY()-AM15,0),IF(AND(ISNUMBER(AQ15),AS15&lt;&gt;"Completed",AQ15&lt;TODAY()),TODAY()-AQ15,0),IF(AND(ISNUMBER(AW15),AY15&lt;&gt;"Completed",AW15&lt;TODAY()),TODAY()-AW15,0),IF(AND(ISNUMBER(AZ15),BB15&lt;&gt;"Completed",AZ15&lt;TODAY()),TODAY()-AZ15,0),IF(AND(ISNUMBER(BC15),BE15&lt;&gt;"Completed",BC15&lt;TODAY()),TODAY()-BC15,0),IF(AND(ISNUMBER(BG15),BI15&lt;&gt;"Completed",BG15&lt;TODAY()),TODAY()-BG15,0),IF(AND(ISNUMBER(O15),P15&lt;&gt;"Completed",O15&lt;TODAY()),TODAY()-O15,0),IF(AND(ISNUMBER(BQ15),BR15&lt;&gt;"Completed",BQ15&lt;TODAY()),TODAY()-BQ15,0),IF(AND(ISNUMBER(BO15),BP15&lt;&gt;"Completed",BO15&lt;TODAY()),TODAY()-BO15,0),IF(AND(ISNUMBER(BM15),BN15&lt;&gt;"Completed",BM15&lt;TODAY()),TODAY()-BM15,0)))</f>
        <v/>
      </c>
      <c r="H15" s="32" t="n">
        <v>46246</v>
      </c>
      <c r="I15" s="32" t="n">
        <v>46259</v>
      </c>
      <c r="J15" s="32" t="n"/>
      <c r="K15" s="31">
        <f>IF(ISNUMBER(H15),H15,IF(ISNUMBER(M15),M15-WEEKDAY(M15,2)+1-7,""))</f>
        <v/>
      </c>
      <c r="L15" s="31">
        <f>IF(ISNUMBER(I15),I15,IF(ISNUMBER(H15),WORKDAY(H15,SprintWorkingDays-1),IF(ISNUMBER(K15),WORKDAY(K15,SprintWorkingDays-1),"")))</f>
        <v/>
      </c>
      <c r="M15" s="31">
        <f>IF(ISNUMBER(J15),J15,IF(ISNUMBER(I15),I15-IF(OR(WEEKDAY(I15,2)=2,WEEKDAY(I15,2)=4),0,IF(WEEKDAY(I15,2)=3,1,IF(WEEKDAY(I15,2)=1,4,WEEKDAY(I15,2)-4))),IF(ISNUMBER(H15),WORKDAY(H15,SprintWorkingDays-1)-IF(OR(WEEKDAY(WORKDAY(H15,SprintWorkingDays-1),2)=2,WEEKDAY(WORKDAY(H15,SprintWorkingDays-1),2)=4),0,IF(WEEKDAY(WORKDAY(H15,SprintWorkingDays-1),2)=3,1,IF(WEEKDAY(WORKDAY(H15,SprintWorkingDays-1),2)=1,4,WEEKDAY(WORKDAY(H15,SprintWorkingDays-1),2)-4))),"")))</f>
        <v/>
      </c>
      <c r="N15" s="31">
        <f>IF(NOT(ISNUMBER(K15)),"",WORKDAY(K15,ReadyOffsetWD))</f>
        <v/>
      </c>
      <c r="O15" s="31">
        <f>IF(NOT(ISNUMBER(K15)),"",WORKDAY(K15,SprintReadinessOffsetWD))</f>
        <v/>
      </c>
      <c r="P15" s="29" t="n"/>
      <c r="Q15" s="31">
        <f>IF(NOT(ISNUMBER(T15)),"",WORKDAY(T15,RTSKOffsetFromOUR_WD))</f>
        <v/>
      </c>
      <c r="R15" s="32" t="n"/>
      <c r="S15" s="29" t="n"/>
      <c r="T15" s="31">
        <f>IF(NOT(ISNUMBER(W15)),"",WORKDAY(W15,OUROffsetFromSR_WD))</f>
        <v/>
      </c>
      <c r="U15" s="32" t="n"/>
      <c r="V15" s="29" t="n"/>
      <c r="W15" s="31">
        <f>IF(NOT(ISNUMBER(K15)),"",WORKDAY(K15,SROffsetFromStartWD))</f>
        <v/>
      </c>
      <c r="X15" s="32" t="n"/>
      <c r="Y15" s="29" t="n"/>
      <c r="Z15" s="29" t="n"/>
      <c r="AA15" s="31">
        <f>IF(ISNUMBER(Q15),Q15,"")</f>
        <v/>
      </c>
      <c r="AB15" s="32" t="n"/>
      <c r="AC15" s="29" t="n"/>
      <c r="AD15" s="29" t="n"/>
      <c r="AE15" s="29" t="n"/>
      <c r="AF15" s="29" t="n"/>
      <c r="AG15" s="31">
        <f>IF(NOT(ISNUMBER(Q15)),"",Q15)</f>
        <v/>
      </c>
      <c r="AH15" s="32" t="n"/>
      <c r="AI15" s="29" t="n"/>
      <c r="AJ15" s="31">
        <f>IF(NOT(ISNUMBER(T15)),"",T15)</f>
        <v/>
      </c>
      <c r="AK15" s="32" t="n"/>
      <c r="AL15" s="29" t="n"/>
      <c r="AM15" s="31">
        <f>IF(NOT(ISNUMBER(W15)),"",W15)</f>
        <v/>
      </c>
      <c r="AN15" s="32" t="n"/>
      <c r="AO15" s="29" t="n"/>
      <c r="AP15" s="29" t="n"/>
      <c r="AQ15" s="31">
        <f>IF(ISNUMBER(AG15),AG15,"")</f>
        <v/>
      </c>
      <c r="AR15" s="32" t="n"/>
      <c r="AS15" s="29" t="n"/>
      <c r="AT15" s="29" t="n"/>
      <c r="AU15" s="29" t="n"/>
      <c r="AV15" s="29" t="n"/>
      <c r="AW15" s="31">
        <f>IF(NOT(ISNUMBER(Q15)),"",Q15)</f>
        <v/>
      </c>
      <c r="AX15" s="32" t="n"/>
      <c r="AY15" s="29" t="n"/>
      <c r="AZ15" s="31">
        <f>IF(NOT(ISNUMBER(T15)),"",T15)</f>
        <v/>
      </c>
      <c r="BA15" s="32" t="n"/>
      <c r="BB15" s="29" t="n"/>
      <c r="BC15" s="31">
        <f>IF(NOT(ISNUMBER(W15)),"",W15)</f>
        <v/>
      </c>
      <c r="BD15" s="32" t="n"/>
      <c r="BE15" s="29" t="n"/>
      <c r="BF15" s="29" t="n"/>
      <c r="BG15" s="31">
        <f>IF(ISNUMBER(AW15),AW15,"")</f>
        <v/>
      </c>
      <c r="BH15" s="32" t="n"/>
      <c r="BI15" s="29" t="n"/>
      <c r="BJ15" s="29" t="n"/>
      <c r="BK15" s="29" t="n"/>
      <c r="BL15" s="29" t="n"/>
      <c r="BM15" s="31">
        <f>IF(OR(NOT(ISNUMBER(M15)),AND(WEEKDAY(M15,2)&lt;&gt;2,WEEKDAY(M15,2)&lt;&gt;4)),"",WORKDAY(M15,CABOffsetFromReleaseWD))</f>
        <v/>
      </c>
      <c r="BN15" s="29" t="n"/>
      <c r="BO15" s="31">
        <f>IF(NOT(ISNUMBER(BM15)),"",IF(WEEKDAY(BM15-CodeReviewCalendarDays,2)&gt;5,BM15-CodeReviewCalendarDays-(WEEKDAY(BM15-CodeReviewCalendarDays,2)-5),BM15-CodeReviewCalendarDays))</f>
        <v/>
      </c>
      <c r="BP15" s="29" t="n"/>
      <c r="BQ15" s="31">
        <f>IF(NOT(ISNUMBER(BO15)),"",IF(WEEKDAY(BO15-CodeReviewInviteCalendarDays,2)&gt;5,BO15-CodeReviewInviteCalendarDays-(WEEKDAY(BO15-CodeReviewInviteCalendarDays,2)-5),BO15-CodeReviewInviteCalendarDays))</f>
        <v/>
      </c>
      <c r="BR15" s="29" t="n"/>
      <c r="BS15" s="29" t="n"/>
      <c r="BT15" s="30">
        <f>IF(A15="","",IF(IF(AND(ISNUMBER(J15),WEEKDAY(J15,2)&lt;&gt;2,WEEKDAY(J15,2)&lt;&gt;4)," | Release must be Tuesday or Thursday","")&amp;IF(AND(ISNUMBER(H15),WEEKDAY(H15,2)&lt;&gt;1)," | Sprint Start is not a Monday - dates still calculated from the date entered","")&amp;IF(AND(A15&lt;&gt;"",NOT(ISNUMBER(H15)),NOT(ISNUMBER(J15)))," | Enter Sprint Start or Release Date","")&amp;IF(AND(ISNUMBER(F15),F15&lt;TODAY(),D15&lt;&gt;"Completed")," | One or more raise-by dates are in the past and not completed","")&amp;IF(AND(ISNUMBER(K15),K15-TODAY()&lt;SprintWarningDays,K15&gt;=TODAY(),OR(D15="Yet to start",D15="Blocked"))," | Sprint starts in under 10 days - raise access requests now","")&amp;IF(AND(ISNUMBER(BQ15),BR15&lt;&gt;"Completed",BQ15-TODAY()&lt;CodeReviewInviteCalendarDays)," | Code Review invite should be sent at least 4 days before Code Review","")="","",MID(IF(AND(ISNUMBER(J15),WEEKDAY(J15,2)&lt;&gt;2,WEEKDAY(J15,2)&lt;&gt;4)," | Release must be Tuesday or Thursday","")&amp;IF(AND(ISNUMBER(H15),WEEKDAY(H15,2)&lt;&gt;1)," | Sprint Start is not a Monday - dates still calculated from the date entered","")&amp;IF(AND(A15&lt;&gt;"",NOT(ISNUMBER(H15)),NOT(ISNUMBER(J15)))," | Enter Sprint Start or Release Date","")&amp;IF(AND(ISNUMBER(F15),F15&lt;TODAY(),D15&lt;&gt;"Completed")," | One or more raise-by dates are in the past and not completed","")&amp;IF(AND(ISNUMBER(K15),K15-TODAY()&lt;SprintWarningDays,K15&gt;=TODAY(),OR(D15="Yet to start",D15="Blocked"))," | Sprint starts in under 10 days - raise access requests now","")&amp;IF(AND(ISNUMBER(BQ15),BR15&lt;&gt;"Completed",BQ15-TODAY()&lt;CodeReviewInviteCalendarDays)," | Code Review invite should be sent at least 4 days before Code Review",""),4,500)))</f>
        <v/>
      </c>
      <c r="BU15">
        <f>IF(AND(ISNUMBER(Q15),S15&lt;&gt;"Completed"),Q15,"")</f>
        <v/>
      </c>
      <c r="BV15">
        <f>IF(AND(ISNUMBER(T15),V15&lt;&gt;"Completed"),T15,"")</f>
        <v/>
      </c>
      <c r="BW15">
        <f>IF(AND(ISNUMBER(W15),Y15&lt;&gt;"Completed"),W15,"")</f>
        <v/>
      </c>
      <c r="BX15">
        <f>IF(AND(ISNUMBER(AA15),AC15&lt;&gt;"Completed"),AA15,"")</f>
        <v/>
      </c>
      <c r="BY15">
        <f>IF(AND(ISNUMBER(AG15),AI15&lt;&gt;"Completed"),AG15,"")</f>
        <v/>
      </c>
      <c r="BZ15">
        <f>IF(AND(ISNUMBER(AJ15),AL15&lt;&gt;"Completed"),AJ15,"")</f>
        <v/>
      </c>
      <c r="CA15">
        <f>IF(AND(ISNUMBER(AM15),AO15&lt;&gt;"Completed"),AM15,"")</f>
        <v/>
      </c>
      <c r="CB15">
        <f>IF(AND(ISNUMBER(AQ15),AS15&lt;&gt;"Completed"),AQ15,"")</f>
        <v/>
      </c>
      <c r="CC15">
        <f>IF(AND(ISNUMBER(AW15),AY15&lt;&gt;"Completed"),AW15,"")</f>
        <v/>
      </c>
      <c r="CD15">
        <f>IF(AND(ISNUMBER(AZ15),BB15&lt;&gt;"Completed"),AZ15,"")</f>
        <v/>
      </c>
      <c r="CE15">
        <f>IF(AND(ISNUMBER(BC15),BE15&lt;&gt;"Completed"),BC15,"")</f>
        <v/>
      </c>
      <c r="CF15">
        <f>IF(AND(ISNUMBER(BG15),BI15&lt;&gt;"Completed"),BG15,"")</f>
        <v/>
      </c>
      <c r="CG15">
        <f>IF(AND(ISNUMBER(O15),P15&lt;&gt;"Completed"),O15,"")</f>
        <v/>
      </c>
      <c r="CH15">
        <f>IF(AND(ISNUMBER(BQ15),BR15&lt;&gt;"Completed"),BQ15,"")</f>
        <v/>
      </c>
      <c r="CI15">
        <f>IF(AND(ISNUMBER(BO15),BP15&lt;&gt;"Completed"),BO15,"")</f>
        <v/>
      </c>
      <c r="CJ15">
        <f>IF(AND(ISNUMBER(BM15),BN15&lt;&gt;"Completed"),BM15,"")</f>
        <v/>
      </c>
      <c r="CK15">
        <f>IF(OR(A15="",D15="Completed"),"",IF(N(G15)&gt;0,1/(N(G15)+ROW()/100000),IF(ISNUMBER(F15),1000+F15+ROW()/100000,TODAY()+400+ROW()/100000)))</f>
        <v/>
      </c>
    </row>
    <row r="16" ht="16" customHeight="1" s="39">
      <c r="A16" s="29" t="inlineStr">
        <is>
          <t>FINDET_BUDGETS</t>
        </is>
      </c>
      <c r="B16" s="29" t="inlineStr">
        <is>
          <t>Ragavendhar &lt;aragavendhar@randomtrees.com&gt;</t>
        </is>
      </c>
      <c r="C16" s="29" t="inlineStr">
        <is>
          <t>Sprint 18</t>
        </is>
      </c>
      <c r="D16" s="30">
        <f>IF(A16="","",IF(((S16="Blocked")+(V16="Blocked")+(Y16="Blocked")+(AC16="Blocked")+(AI16="Blocked")+(AL16="Blocked")+(AO16="Blocked")+(AS16="Blocked")+(AY16="Blocked")+(BB16="Blocked")+(BE16="Blocked")+(BI16="Blocked")+(P16="Blocked")+(BN16="Blocked")+(BP16="Blocked")+(BR16="Blocked")+(BS16="Blocked"))&gt;0,"Blocked",IF((ISNUMBER(Q16)+ISNUMBER(T16)+ISNUMBER(W16)+ISNUMBER(AA16)+ISNUMBER(AG16)+ISNUMBER(AJ16)+ISNUMBER(AM16)+ISNUMBER(AQ16)+ISNUMBER(AW16)+ISNUMBER(AZ16)+ISNUMBER(BC16)+ISNUMBER(BG16)+ISNUMBER(O16)+ISNUMBER(BM16)+ISNUMBER(BO16)+ISNUMBER(BQ16))=0,"Yet to start",IF(AND(OR(NOT(ISNUMBER(Q16)),S16="Completed"),OR(NOT(ISNUMBER(T16)),V16="Completed"),OR(NOT(ISNUMBER(W16)),Y16="Completed"),OR(NOT(ISNUMBER(AA16)),AC16="Completed"),OR(NOT(ISNUMBER(AG16)),AI16="Completed"),OR(NOT(ISNUMBER(AJ16)),AL16="Completed"),OR(NOT(ISNUMBER(AM16)),AO16="Completed"),OR(NOT(ISNUMBER(AQ16)),AS16="Completed"),OR(NOT(ISNUMBER(AW16)),AY16="Completed"),OR(NOT(ISNUMBER(AZ16)),BB16="Completed"),OR(NOT(ISNUMBER(BC16)),BE16="Completed"),OR(NOT(ISNUMBER(BG16)),BI16="Completed"),OR(NOT(ISNUMBER(O16)),P16="Completed"),OR(NOT(ISNUMBER(BM16)),BN16="Completed"),OR(NOT(ISNUMBER(BO16)),BP16="Completed"),OR(NOT(ISNUMBER(BQ16)),BR16="Completed"),BS16="Completed"),"Completed",IF(((S16="In Progress")+(V16="In Progress")+(Y16="In Progress")+(AC16="In Progress")+(AI16="In Progress")+(AL16="In Progress")+(AO16="In Progress")+(AS16="In Progress")+(AY16="In Progress")+(BB16="In Progress")+(BE16="In Progress")+(BI16="In Progress")+(P16="In Progress")+(BN16="In Progress")+(BP16="In Progress")+(BR16="In Progress")+(BS16="In Progress"))&gt;0,"In Progress","Yet to start")))))</f>
        <v/>
      </c>
      <c r="E16" s="30">
        <f>IF(A16="","",IF(F16="","All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Review","CAB"},MATCH(F16,BU16:CJ16,0))))</f>
        <v/>
      </c>
      <c r="F16" s="31">
        <f>IF(A16="","",IF(COUNT(BU16:CJ16)=0,"",MIN(BU16:CJ16)))</f>
        <v/>
      </c>
      <c r="G16" s="30">
        <f>IF(A16="","",MAX(0,IF(AND(ISNUMBER(Q16),S16&lt;&gt;"Completed",Q16&lt;TODAY()),TODAY()-Q16,0),IF(AND(ISNUMBER(T16),V16&lt;&gt;"Completed",T16&lt;TODAY()),TODAY()-T16,0),IF(AND(ISNUMBER(W16),Y16&lt;&gt;"Completed",W16&lt;TODAY()),TODAY()-W16,0),IF(AND(ISNUMBER(AA16),AC16&lt;&gt;"Completed",AA16&lt;TODAY()),TODAY()-AA16,0),IF(AND(ISNUMBER(AG16),AI16&lt;&gt;"Completed",AG16&lt;TODAY()),TODAY()-AG16,0),IF(AND(ISNUMBER(AJ16),AL16&lt;&gt;"Completed",AJ16&lt;TODAY()),TODAY()-AJ16,0),IF(AND(ISNUMBER(AM16),AO16&lt;&gt;"Completed",AM16&lt;TODAY()),TODAY()-AM16,0),IF(AND(ISNUMBER(AQ16),AS16&lt;&gt;"Completed",AQ16&lt;TODAY()),TODAY()-AQ16,0),IF(AND(ISNUMBER(AW16),AY16&lt;&gt;"Completed",AW16&lt;TODAY()),TODAY()-AW16,0),IF(AND(ISNUMBER(AZ16),BB16&lt;&gt;"Completed",AZ16&lt;TODAY()),TODAY()-AZ16,0),IF(AND(ISNUMBER(BC16),BE16&lt;&gt;"Completed",BC16&lt;TODAY()),TODAY()-BC16,0),IF(AND(ISNUMBER(BG16),BI16&lt;&gt;"Completed",BG16&lt;TODAY()),TODAY()-BG16,0),IF(AND(ISNUMBER(O16),P16&lt;&gt;"Completed",O16&lt;TODAY()),TODAY()-O16,0),IF(AND(ISNUMBER(BQ16),BR16&lt;&gt;"Completed",BQ16&lt;TODAY()),TODAY()-BQ16,0),IF(AND(ISNUMBER(BO16),BP16&lt;&gt;"Completed",BO16&lt;TODAY()),TODAY()-BO16,0),IF(AND(ISNUMBER(BM16),BN16&lt;&gt;"Completed",BM16&lt;TODAY()),TODAY()-BM16,0)))</f>
        <v/>
      </c>
      <c r="H16" s="32" t="n">
        <v>46246</v>
      </c>
      <c r="I16" s="32" t="n">
        <v>46259</v>
      </c>
      <c r="J16" s="32" t="n"/>
      <c r="K16" s="31">
        <f>IF(ISNUMBER(H16),H16,IF(ISNUMBER(M16),M16-WEEKDAY(M16,2)+1-7,""))</f>
        <v/>
      </c>
      <c r="L16" s="31">
        <f>IF(ISNUMBER(I16),I16,IF(ISNUMBER(H16),WORKDAY(H16,SprintWorkingDays-1),IF(ISNUMBER(K16),WORKDAY(K16,SprintWorkingDays-1),"")))</f>
        <v/>
      </c>
      <c r="M16" s="31">
        <f>IF(ISNUMBER(J16),J16,IF(ISNUMBER(I16),I16-IF(OR(WEEKDAY(I16,2)=2,WEEKDAY(I16,2)=4),0,IF(WEEKDAY(I16,2)=3,1,IF(WEEKDAY(I16,2)=1,4,WEEKDAY(I16,2)-4))),IF(ISNUMBER(H16),WORKDAY(H16,SprintWorkingDays-1)-IF(OR(WEEKDAY(WORKDAY(H16,SprintWorkingDays-1),2)=2,WEEKDAY(WORKDAY(H16,SprintWorkingDays-1),2)=4),0,IF(WEEKDAY(WORKDAY(H16,SprintWorkingDays-1),2)=3,1,IF(WEEKDAY(WORKDAY(H16,SprintWorkingDays-1),2)=1,4,WEEKDAY(WORKDAY(H16,SprintWorkingDays-1),2)-4))),"")))</f>
        <v/>
      </c>
      <c r="N16" s="31">
        <f>IF(NOT(ISNUMBER(K16)),"",WORKDAY(K16,ReadyOffsetWD))</f>
        <v/>
      </c>
      <c r="O16" s="31">
        <f>IF(NOT(ISNUMBER(K16)),"",WORKDAY(K16,SprintReadinessOffsetWD))</f>
        <v/>
      </c>
      <c r="P16" s="29" t="n"/>
      <c r="Q16" s="31">
        <f>IF(NOT(ISNUMBER(T16)),"",WORKDAY(T16,RTSKOffsetFromOUR_WD))</f>
        <v/>
      </c>
      <c r="R16" s="32" t="n"/>
      <c r="S16" s="29" t="n"/>
      <c r="T16" s="31">
        <f>IF(NOT(ISNUMBER(W16)),"",WORKDAY(W16,OUROffsetFromSR_WD))</f>
        <v/>
      </c>
      <c r="U16" s="32" t="n"/>
      <c r="V16" s="29" t="n"/>
      <c r="W16" s="31">
        <f>IF(NOT(ISNUMBER(K16)),"",WORKDAY(K16,SROffsetFromStartWD))</f>
        <v/>
      </c>
      <c r="X16" s="32" t="n"/>
      <c r="Y16" s="29" t="n"/>
      <c r="Z16" s="29" t="n"/>
      <c r="AA16" s="31">
        <f>IF(ISNUMBER(Q16),Q16,"")</f>
        <v/>
      </c>
      <c r="AB16" s="32" t="n"/>
      <c r="AC16" s="29" t="n"/>
      <c r="AD16" s="29" t="n"/>
      <c r="AE16" s="29" t="n"/>
      <c r="AF16" s="29" t="n"/>
      <c r="AG16" s="31">
        <f>IF(NOT(ISNUMBER(Q16)),"",Q16)</f>
        <v/>
      </c>
      <c r="AH16" s="32" t="n"/>
      <c r="AI16" s="29" t="n"/>
      <c r="AJ16" s="31">
        <f>IF(NOT(ISNUMBER(T16)),"",T16)</f>
        <v/>
      </c>
      <c r="AK16" s="32" t="n"/>
      <c r="AL16" s="29" t="n"/>
      <c r="AM16" s="31">
        <f>IF(NOT(ISNUMBER(W16)),"",W16)</f>
        <v/>
      </c>
      <c r="AN16" s="32" t="n"/>
      <c r="AO16" s="29" t="n"/>
      <c r="AP16" s="29" t="n"/>
      <c r="AQ16" s="31">
        <f>IF(ISNUMBER(AG16),AG16,"")</f>
        <v/>
      </c>
      <c r="AR16" s="32" t="n"/>
      <c r="AS16" s="29" t="n"/>
      <c r="AT16" s="29" t="n"/>
      <c r="AU16" s="29" t="n"/>
      <c r="AV16" s="29" t="n"/>
      <c r="AW16" s="31">
        <f>IF(NOT(ISNUMBER(Q16)),"",Q16)</f>
        <v/>
      </c>
      <c r="AX16" s="32" t="n"/>
      <c r="AY16" s="29" t="n"/>
      <c r="AZ16" s="31">
        <f>IF(NOT(ISNUMBER(T16)),"",T16)</f>
        <v/>
      </c>
      <c r="BA16" s="32" t="n"/>
      <c r="BB16" s="29" t="n"/>
      <c r="BC16" s="31">
        <f>IF(NOT(ISNUMBER(W16)),"",W16)</f>
        <v/>
      </c>
      <c r="BD16" s="32" t="n"/>
      <c r="BE16" s="29" t="n"/>
      <c r="BF16" s="29" t="n"/>
      <c r="BG16" s="31">
        <f>IF(ISNUMBER(AW16),AW16,"")</f>
        <v/>
      </c>
      <c r="BH16" s="32" t="n"/>
      <c r="BI16" s="29" t="n"/>
      <c r="BJ16" s="29" t="n"/>
      <c r="BK16" s="29" t="n"/>
      <c r="BL16" s="29" t="n"/>
      <c r="BM16" s="31">
        <f>IF(OR(NOT(ISNUMBER(M16)),AND(WEEKDAY(M16,2)&lt;&gt;2,WEEKDAY(M16,2)&lt;&gt;4)),"",WORKDAY(M16,CABOffsetFromReleaseWD))</f>
        <v/>
      </c>
      <c r="BN16" s="29" t="n"/>
      <c r="BO16" s="31">
        <f>IF(NOT(ISNUMBER(BM16)),"",IF(WEEKDAY(BM16-CodeReviewCalendarDays,2)&gt;5,BM16-CodeReviewCalendarDays-(WEEKDAY(BM16-CodeReviewCalendarDays,2)-5),BM16-CodeReviewCalendarDays))</f>
        <v/>
      </c>
      <c r="BP16" s="29" t="n"/>
      <c r="BQ16" s="31">
        <f>IF(NOT(ISNUMBER(BO16)),"",IF(WEEKDAY(BO16-CodeReviewInviteCalendarDays,2)&gt;5,BO16-CodeReviewInviteCalendarDays-(WEEKDAY(BO16-CodeReviewInviteCalendarDays,2)-5),BO16-CodeReviewInviteCalendarDays))</f>
        <v/>
      </c>
      <c r="BR16" s="29" t="n"/>
      <c r="BS16" s="29" t="n"/>
      <c r="BT16" s="30">
        <f>IF(A16="","",IF(IF(AND(ISNUMBER(J16),WEEKDAY(J16,2)&lt;&gt;2,WEEKDAY(J16,2)&lt;&gt;4)," | Release must be Tuesday or Thursday","")&amp;IF(AND(ISNUMBER(H16),WEEKDAY(H16,2)&lt;&gt;1)," | Sprint Start is not a Monday - dates still calculated from the date entered","")&amp;IF(AND(A16&lt;&gt;"",NOT(ISNUMBER(H16)),NOT(ISNUMBER(J16)))," | Enter Sprint Start or Release Date","")&amp;IF(AND(ISNUMBER(F16),F16&lt;TODAY(),D16&lt;&gt;"Completed")," | One or more raise-by dates are in the past and not completed","")&amp;IF(AND(ISNUMBER(K16),K16-TODAY()&lt;SprintWarningDays,K16&gt;=TODAY(),OR(D16="Yet to start",D16="Blocked"))," | Sprint starts in under 10 days - raise access requests now","")&amp;IF(AND(ISNUMBER(BQ16),BR16&lt;&gt;"Completed",BQ16-TODAY()&lt;CodeReviewInviteCalendarDays)," | Code Review invite should be sent at least 4 days before Code Review","")="","",MID(IF(AND(ISNUMBER(J16),WEEKDAY(J16,2)&lt;&gt;2,WEEKDAY(J16,2)&lt;&gt;4)," | Release must be Tuesday or Thursday","")&amp;IF(AND(ISNUMBER(H16),WEEKDAY(H16,2)&lt;&gt;1)," | Sprint Start is not a Monday - dates still calculated from the date entered","")&amp;IF(AND(A16&lt;&gt;"",NOT(ISNUMBER(H16)),NOT(ISNUMBER(J16)))," | Enter Sprint Start or Release Date","")&amp;IF(AND(ISNUMBER(F16),F16&lt;TODAY(),D16&lt;&gt;"Completed")," | One or more raise-by dates are in the past and not completed","")&amp;IF(AND(ISNUMBER(K16),K16-TODAY()&lt;SprintWarningDays,K16&gt;=TODAY(),OR(D16="Yet to start",D16="Blocked"))," | Sprint starts in under 10 days - raise access requests now","")&amp;IF(AND(ISNUMBER(BQ16),BR16&lt;&gt;"Completed",BQ16-TODAY()&lt;CodeReviewInviteCalendarDays)," | Code Review invite should be sent at least 4 days before Code Review",""),4,500)))</f>
        <v/>
      </c>
      <c r="BU16">
        <f>IF(AND(ISNUMBER(Q16),S16&lt;&gt;"Completed"),Q16,"")</f>
        <v/>
      </c>
      <c r="BV16">
        <f>IF(AND(ISNUMBER(T16),V16&lt;&gt;"Completed"),T16,"")</f>
        <v/>
      </c>
      <c r="BW16">
        <f>IF(AND(ISNUMBER(W16),Y16&lt;&gt;"Completed"),W16,"")</f>
        <v/>
      </c>
      <c r="BX16">
        <f>IF(AND(ISNUMBER(AA16),AC16&lt;&gt;"Completed"),AA16,"")</f>
        <v/>
      </c>
      <c r="BY16">
        <f>IF(AND(ISNUMBER(AG16),AI16&lt;&gt;"Completed"),AG16,"")</f>
        <v/>
      </c>
      <c r="BZ16">
        <f>IF(AND(ISNUMBER(AJ16),AL16&lt;&gt;"Completed"),AJ16,"")</f>
        <v/>
      </c>
      <c r="CA16">
        <f>IF(AND(ISNUMBER(AM16),AO16&lt;&gt;"Completed"),AM16,"")</f>
        <v/>
      </c>
      <c r="CB16">
        <f>IF(AND(ISNUMBER(AQ16),AS16&lt;&gt;"Completed"),AQ16,"")</f>
        <v/>
      </c>
      <c r="CC16">
        <f>IF(AND(ISNUMBER(AW16),AY16&lt;&gt;"Completed"),AW16,"")</f>
        <v/>
      </c>
      <c r="CD16">
        <f>IF(AND(ISNUMBER(AZ16),BB16&lt;&gt;"Completed"),AZ16,"")</f>
        <v/>
      </c>
      <c r="CE16">
        <f>IF(AND(ISNUMBER(BC16),BE16&lt;&gt;"Completed"),BC16,"")</f>
        <v/>
      </c>
      <c r="CF16">
        <f>IF(AND(ISNUMBER(BG16),BI16&lt;&gt;"Completed"),BG16,"")</f>
        <v/>
      </c>
      <c r="CG16">
        <f>IF(AND(ISNUMBER(O16),P16&lt;&gt;"Completed"),O16,"")</f>
        <v/>
      </c>
      <c r="CH16">
        <f>IF(AND(ISNUMBER(BQ16),BR16&lt;&gt;"Completed"),BQ16,"")</f>
        <v/>
      </c>
      <c r="CI16">
        <f>IF(AND(ISNUMBER(BO16),BP16&lt;&gt;"Completed"),BO16,"")</f>
        <v/>
      </c>
      <c r="CJ16">
        <f>IF(AND(ISNUMBER(BM16),BN16&lt;&gt;"Completed"),BM16,"")</f>
        <v/>
      </c>
      <c r="CK16">
        <f>IF(OR(A16="",D16="Completed"),"",IF(N(G16)&gt;0,1/(N(G16)+ROW()/100000),IF(ISNUMBER(F16),1000+F16+ROW()/100000,TODAY()+400+ROW()/100000)))</f>
        <v/>
      </c>
    </row>
    <row r="17" ht="16" customHeight="1" s="39">
      <c r="A17" s="29" t="inlineStr">
        <is>
          <t>FINREC</t>
        </is>
      </c>
      <c r="B17" s="29" t="inlineStr">
        <is>
          <t>Vidhesha &lt;vkumaran@randomtrees.com&gt;</t>
        </is>
      </c>
      <c r="C17" s="29" t="inlineStr">
        <is>
          <t>Sprint 18</t>
        </is>
      </c>
      <c r="D17" s="30">
        <f>IF(A17="","",IF(((S17="Blocked")+(V17="Blocked")+(Y17="Blocked")+(AC17="Blocked")+(AI17="Blocked")+(AL17="Blocked")+(AO17="Blocked")+(AS17="Blocked")+(AY17="Blocked")+(BB17="Blocked")+(BE17="Blocked")+(BI17="Blocked")+(P17="Blocked")+(BN17="Blocked")+(BP17="Blocked")+(BR17="Blocked")+(BS17="Blocked"))&gt;0,"Blocked",IF((ISNUMBER(Q17)+ISNUMBER(T17)+ISNUMBER(W17)+ISNUMBER(AA17)+ISNUMBER(AG17)+ISNUMBER(AJ17)+ISNUMBER(AM17)+ISNUMBER(AQ17)+ISNUMBER(AW17)+ISNUMBER(AZ17)+ISNUMBER(BC17)+ISNUMBER(BG17)+ISNUMBER(O17)+ISNUMBER(BM17)+ISNUMBER(BO17)+ISNUMBER(BQ17))=0,"Yet to start",IF(AND(OR(NOT(ISNUMBER(Q17)),S17="Completed"),OR(NOT(ISNUMBER(T17)),V17="Completed"),OR(NOT(ISNUMBER(W17)),Y17="Completed"),OR(NOT(ISNUMBER(AA17)),AC17="Completed"),OR(NOT(ISNUMBER(AG17)),AI17="Completed"),OR(NOT(ISNUMBER(AJ17)),AL17="Completed"),OR(NOT(ISNUMBER(AM17)),AO17="Completed"),OR(NOT(ISNUMBER(AQ17)),AS17="Completed"),OR(NOT(ISNUMBER(AW17)),AY17="Completed"),OR(NOT(ISNUMBER(AZ17)),BB17="Completed"),OR(NOT(ISNUMBER(BC17)),BE17="Completed"),OR(NOT(ISNUMBER(BG17)),BI17="Completed"),OR(NOT(ISNUMBER(O17)),P17="Completed"),OR(NOT(ISNUMBER(BM17)),BN17="Completed"),OR(NOT(ISNUMBER(BO17)),BP17="Completed"),OR(NOT(ISNUMBER(BQ17)),BR17="Completed"),BS17="Completed"),"Completed",IF(((S17="In Progress")+(V17="In Progress")+(Y17="In Progress")+(AC17="In Progress")+(AI17="In Progress")+(AL17="In Progress")+(AO17="In Progress")+(AS17="In Progress")+(AY17="In Progress")+(BB17="In Progress")+(BE17="In Progress")+(BI17="In Progress")+(P17="In Progress")+(BN17="In Progress")+(BP17="In Progress")+(BR17="In Progress")+(BS17="In Progress"))&gt;0,"In Progress","Yet to start")))))</f>
        <v/>
      </c>
      <c r="E17" s="30">
        <f>IF(A17="","",IF(F17="","All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Review","CAB"},MATCH(F17,BU17:CJ17,0))))</f>
        <v/>
      </c>
      <c r="F17" s="31">
        <f>IF(A17="","",IF(COUNT(BU17:CJ17)=0,"",MIN(BU17:CJ17)))</f>
        <v/>
      </c>
      <c r="G17" s="30">
        <f>IF(A17="","",MAX(0,IF(AND(ISNUMBER(Q17),S17&lt;&gt;"Completed",Q17&lt;TODAY()),TODAY()-Q17,0),IF(AND(ISNUMBER(T17),V17&lt;&gt;"Completed",T17&lt;TODAY()),TODAY()-T17,0),IF(AND(ISNUMBER(W17),Y17&lt;&gt;"Completed",W17&lt;TODAY()),TODAY()-W17,0),IF(AND(ISNUMBER(AA17),AC17&lt;&gt;"Completed",AA17&lt;TODAY()),TODAY()-AA17,0),IF(AND(ISNUMBER(AG17),AI17&lt;&gt;"Completed",AG17&lt;TODAY()),TODAY()-AG17,0),IF(AND(ISNUMBER(AJ17),AL17&lt;&gt;"Completed",AJ17&lt;TODAY()),TODAY()-AJ17,0),IF(AND(ISNUMBER(AM17),AO17&lt;&gt;"Completed",AM17&lt;TODAY()),TODAY()-AM17,0),IF(AND(ISNUMBER(AQ17),AS17&lt;&gt;"Completed",AQ17&lt;TODAY()),TODAY()-AQ17,0),IF(AND(ISNUMBER(AW17),AY17&lt;&gt;"Completed",AW17&lt;TODAY()),TODAY()-AW17,0),IF(AND(ISNUMBER(AZ17),BB17&lt;&gt;"Completed",AZ17&lt;TODAY()),TODAY()-AZ17,0),IF(AND(ISNUMBER(BC17),BE17&lt;&gt;"Completed",BC17&lt;TODAY()),TODAY()-BC17,0),IF(AND(ISNUMBER(BG17),BI17&lt;&gt;"Completed",BG17&lt;TODAY()),TODAY()-BG17,0),IF(AND(ISNUMBER(O17),P17&lt;&gt;"Completed",O17&lt;TODAY()),TODAY()-O17,0),IF(AND(ISNUMBER(BQ17),BR17&lt;&gt;"Completed",BQ17&lt;TODAY()),TODAY()-BQ17,0),IF(AND(ISNUMBER(BO17),BP17&lt;&gt;"Completed",BO17&lt;TODAY()),TODAY()-BO17,0),IF(AND(ISNUMBER(BM17),BN17&lt;&gt;"Completed",BM17&lt;TODAY()),TODAY()-BM17,0)))</f>
        <v/>
      </c>
      <c r="H17" s="32" t="n">
        <v>46246</v>
      </c>
      <c r="I17" s="32" t="n">
        <v>46259</v>
      </c>
      <c r="J17" s="32" t="n"/>
      <c r="K17" s="31">
        <f>IF(ISNUMBER(H17),H17,IF(ISNUMBER(M17),M17-WEEKDAY(M17,2)+1-7,""))</f>
        <v/>
      </c>
      <c r="L17" s="31">
        <f>IF(ISNUMBER(I17),I17,IF(ISNUMBER(H17),WORKDAY(H17,SprintWorkingDays-1),IF(ISNUMBER(K17),WORKDAY(K17,SprintWorkingDays-1),"")))</f>
        <v/>
      </c>
      <c r="M17" s="31">
        <f>IF(ISNUMBER(J17),J17,IF(ISNUMBER(I17),I17-IF(OR(WEEKDAY(I17,2)=2,WEEKDAY(I17,2)=4),0,IF(WEEKDAY(I17,2)=3,1,IF(WEEKDAY(I17,2)=1,4,WEEKDAY(I17,2)-4))),IF(ISNUMBER(H17),WORKDAY(H17,SprintWorkingDays-1)-IF(OR(WEEKDAY(WORKDAY(H17,SprintWorkingDays-1),2)=2,WEEKDAY(WORKDAY(H17,SprintWorkingDays-1),2)=4),0,IF(WEEKDAY(WORKDAY(H17,SprintWorkingDays-1),2)=3,1,IF(WEEKDAY(WORKDAY(H17,SprintWorkingDays-1),2)=1,4,WEEKDAY(WORKDAY(H17,SprintWorkingDays-1),2)-4))),"")))</f>
        <v/>
      </c>
      <c r="N17" s="31">
        <f>IF(NOT(ISNUMBER(K17)),"",WORKDAY(K17,ReadyOffsetWD))</f>
        <v/>
      </c>
      <c r="O17" s="31">
        <f>IF(NOT(ISNUMBER(K17)),"",WORKDAY(K17,SprintReadinessOffsetWD))</f>
        <v/>
      </c>
      <c r="P17" s="29" t="n"/>
      <c r="Q17" s="31">
        <f>IF(NOT(ISNUMBER(T17)),"",WORKDAY(T17,RTSKOffsetFromOUR_WD))</f>
        <v/>
      </c>
      <c r="R17" s="32" t="n"/>
      <c r="S17" s="29" t="n"/>
      <c r="T17" s="31">
        <f>IF(NOT(ISNUMBER(W17)),"",WORKDAY(W17,OUROffsetFromSR_WD))</f>
        <v/>
      </c>
      <c r="U17" s="32" t="n"/>
      <c r="V17" s="29" t="n"/>
      <c r="W17" s="31">
        <f>IF(NOT(ISNUMBER(K17)),"",WORKDAY(K17,SROffsetFromStartWD))</f>
        <v/>
      </c>
      <c r="X17" s="32" t="n"/>
      <c r="Y17" s="29" t="n"/>
      <c r="Z17" s="29" t="n"/>
      <c r="AA17" s="31">
        <f>IF(ISNUMBER(Q17),Q17,"")</f>
        <v/>
      </c>
      <c r="AB17" s="32" t="n"/>
      <c r="AC17" s="29" t="n"/>
      <c r="AD17" s="29" t="n"/>
      <c r="AE17" s="29" t="n"/>
      <c r="AF17" s="29" t="n"/>
      <c r="AG17" s="31">
        <f>IF(NOT(ISNUMBER(Q17)),"",Q17)</f>
        <v/>
      </c>
      <c r="AH17" s="32" t="n"/>
      <c r="AI17" s="29" t="n"/>
      <c r="AJ17" s="31">
        <f>IF(NOT(ISNUMBER(T17)),"",T17)</f>
        <v/>
      </c>
      <c r="AK17" s="32" t="n"/>
      <c r="AL17" s="29" t="n"/>
      <c r="AM17" s="31">
        <f>IF(NOT(ISNUMBER(W17)),"",W17)</f>
        <v/>
      </c>
      <c r="AN17" s="32" t="n"/>
      <c r="AO17" s="29" t="n"/>
      <c r="AP17" s="29" t="n"/>
      <c r="AQ17" s="31">
        <f>IF(ISNUMBER(AG17),AG17,"")</f>
        <v/>
      </c>
      <c r="AR17" s="32" t="n"/>
      <c r="AS17" s="29" t="n"/>
      <c r="AT17" s="29" t="n"/>
      <c r="AU17" s="29" t="n"/>
      <c r="AV17" s="29" t="n"/>
      <c r="AW17" s="31">
        <f>IF(NOT(ISNUMBER(Q17)),"",Q17)</f>
        <v/>
      </c>
      <c r="AX17" s="32" t="n"/>
      <c r="AY17" s="29" t="n"/>
      <c r="AZ17" s="31">
        <f>IF(NOT(ISNUMBER(T17)),"",T17)</f>
        <v/>
      </c>
      <c r="BA17" s="32" t="n"/>
      <c r="BB17" s="29" t="n"/>
      <c r="BC17" s="31">
        <f>IF(NOT(ISNUMBER(W17)),"",W17)</f>
        <v/>
      </c>
      <c r="BD17" s="32" t="n"/>
      <c r="BE17" s="29" t="n"/>
      <c r="BF17" s="29" t="n"/>
      <c r="BG17" s="31">
        <f>IF(ISNUMBER(AW17),AW17,"")</f>
        <v/>
      </c>
      <c r="BH17" s="32" t="n"/>
      <c r="BI17" s="29" t="n"/>
      <c r="BJ17" s="29" t="n"/>
      <c r="BK17" s="29" t="n"/>
      <c r="BL17" s="29" t="n"/>
      <c r="BM17" s="31">
        <f>IF(OR(NOT(ISNUMBER(M17)),AND(WEEKDAY(M17,2)&lt;&gt;2,WEEKDAY(M17,2)&lt;&gt;4)),"",WORKDAY(M17,CABOffsetFromReleaseWD))</f>
        <v/>
      </c>
      <c r="BN17" s="29" t="n"/>
      <c r="BO17" s="31">
        <f>IF(NOT(ISNUMBER(BM17)),"",IF(WEEKDAY(BM17-CodeReviewCalendarDays,2)&gt;5,BM17-CodeReviewCalendarDays-(WEEKDAY(BM17-CodeReviewCalendarDays,2)-5),BM17-CodeReviewCalendarDays))</f>
        <v/>
      </c>
      <c r="BP17" s="29" t="n"/>
      <c r="BQ17" s="31">
        <f>IF(NOT(ISNUMBER(BO17)),"",IF(WEEKDAY(BO17-CodeReviewInviteCalendarDays,2)&gt;5,BO17-CodeReviewInviteCalendarDays-(WEEKDAY(BO17-CodeReviewInviteCalendarDays,2)-5),BO17-CodeReviewInviteCalendarDays))</f>
        <v/>
      </c>
      <c r="BR17" s="29" t="n"/>
      <c r="BS17" s="29" t="n"/>
      <c r="BT17" s="30">
        <f>IF(A17="","",IF(IF(AND(ISNUMBER(J17),WEEKDAY(J17,2)&lt;&gt;2,WEEKDAY(J17,2)&lt;&gt;4)," | Release must be Tuesday or Thursday","")&amp;IF(AND(ISNUMBER(H17),WEEKDAY(H17,2)&lt;&gt;1)," | Sprint Start is not a Monday - dates still calculated from the date entered","")&amp;IF(AND(A17&lt;&gt;"",NOT(ISNUMBER(H17)),NOT(ISNUMBER(J17)))," | Enter Sprint Start or Release Date","")&amp;IF(AND(ISNUMBER(F17),F17&lt;TODAY(),D17&lt;&gt;"Completed")," | One or more raise-by dates are in the past and not completed","")&amp;IF(AND(ISNUMBER(K17),K17-TODAY()&lt;SprintWarningDays,K17&gt;=TODAY(),OR(D17="Yet to start",D17="Blocked"))," | Sprint starts in under 10 days - raise access requests now","")&amp;IF(AND(ISNUMBER(BQ17),BR17&lt;&gt;"Completed",BQ17-TODAY()&lt;CodeReviewInviteCalendarDays)," | Code Review invite should be sent at least 4 days before Code Review","")="","",MID(IF(AND(ISNUMBER(J17),WEEKDAY(J17,2)&lt;&gt;2,WEEKDAY(J17,2)&lt;&gt;4)," | Release must be Tuesday or Thursday","")&amp;IF(AND(ISNUMBER(H17),WEEKDAY(H17,2)&lt;&gt;1)," | Sprint Start is not a Monday - dates still calculated from the date entered","")&amp;IF(AND(A17&lt;&gt;"",NOT(ISNUMBER(H17)),NOT(ISNUMBER(J17)))," | Enter Sprint Start or Release Date","")&amp;IF(AND(ISNUMBER(F17),F17&lt;TODAY(),D17&lt;&gt;"Completed")," | One or more raise-by dates are in the past and not completed","")&amp;IF(AND(ISNUMBER(K17),K17-TODAY()&lt;SprintWarningDays,K17&gt;=TODAY(),OR(D17="Yet to start",D17="Blocked"))," | Sprint starts in under 10 days - raise access requests now","")&amp;IF(AND(ISNUMBER(BQ17),BR17&lt;&gt;"Completed",BQ17-TODAY()&lt;CodeReviewInviteCalendarDays)," | Code Review invite should be sent at least 4 days before Code Review",""),4,500)))</f>
        <v/>
      </c>
      <c r="BU17">
        <f>IF(AND(ISNUMBER(Q17),S17&lt;&gt;"Completed"),Q17,"")</f>
        <v/>
      </c>
      <c r="BV17">
        <f>IF(AND(ISNUMBER(T17),V17&lt;&gt;"Completed"),T17,"")</f>
        <v/>
      </c>
      <c r="BW17">
        <f>IF(AND(ISNUMBER(W17),Y17&lt;&gt;"Completed"),W17,"")</f>
        <v/>
      </c>
      <c r="BX17">
        <f>IF(AND(ISNUMBER(AA17),AC17&lt;&gt;"Completed"),AA17,"")</f>
        <v/>
      </c>
      <c r="BY17">
        <f>IF(AND(ISNUMBER(AG17),AI17&lt;&gt;"Completed"),AG17,"")</f>
        <v/>
      </c>
      <c r="BZ17">
        <f>IF(AND(ISNUMBER(AJ17),AL17&lt;&gt;"Completed"),AJ17,"")</f>
        <v/>
      </c>
      <c r="CA17">
        <f>IF(AND(ISNUMBER(AM17),AO17&lt;&gt;"Completed"),AM17,"")</f>
        <v/>
      </c>
      <c r="CB17">
        <f>IF(AND(ISNUMBER(AQ17),AS17&lt;&gt;"Completed"),AQ17,"")</f>
        <v/>
      </c>
      <c r="CC17">
        <f>IF(AND(ISNUMBER(AW17),AY17&lt;&gt;"Completed"),AW17,"")</f>
        <v/>
      </c>
      <c r="CD17">
        <f>IF(AND(ISNUMBER(AZ17),BB17&lt;&gt;"Completed"),AZ17,"")</f>
        <v/>
      </c>
      <c r="CE17">
        <f>IF(AND(ISNUMBER(BC17),BE17&lt;&gt;"Completed"),BC17,"")</f>
        <v/>
      </c>
      <c r="CF17">
        <f>IF(AND(ISNUMBER(BG17),BI17&lt;&gt;"Completed"),BG17,"")</f>
        <v/>
      </c>
      <c r="CG17">
        <f>IF(AND(ISNUMBER(O17),P17&lt;&gt;"Completed"),O17,"")</f>
        <v/>
      </c>
      <c r="CH17">
        <f>IF(AND(ISNUMBER(BQ17),BR17&lt;&gt;"Completed"),BQ17,"")</f>
        <v/>
      </c>
      <c r="CI17">
        <f>IF(AND(ISNUMBER(BO17),BP17&lt;&gt;"Completed"),BO17,"")</f>
        <v/>
      </c>
      <c r="CJ17">
        <f>IF(AND(ISNUMBER(BM17),BN17&lt;&gt;"Completed"),BM17,"")</f>
        <v/>
      </c>
      <c r="CK17">
        <f>IF(OR(A17="",D17="Completed"),"",IF(N(G17)&gt;0,1/(N(G17)+ROW()/100000),IF(ISNUMBER(F17),1000+F17+ROW()/100000,TODAY()+400+ROW()/100000)))</f>
        <v/>
      </c>
    </row>
    <row r="18" ht="16" customHeight="1" s="39">
      <c r="A18" s="29" t="inlineStr">
        <is>
          <t>FOF_WORKIVA</t>
        </is>
      </c>
      <c r="B18" s="29" t="inlineStr">
        <is>
          <t>Sharath &lt;Skotha1@randomtrees.com&gt;</t>
        </is>
      </c>
      <c r="C18" s="29" t="inlineStr">
        <is>
          <t>Sprint 18</t>
        </is>
      </c>
      <c r="D18" s="30">
        <f>IF(A18="","",IF(((S18="Blocked")+(V18="Blocked")+(Y18="Blocked")+(AC18="Blocked")+(AI18="Blocked")+(AL18="Blocked")+(AO18="Blocked")+(AS18="Blocked")+(AY18="Blocked")+(BB18="Blocked")+(BE18="Blocked")+(BI18="Blocked")+(P18="Blocked")+(BN18="Blocked")+(BP18="Blocked")+(BR18="Blocked")+(BS18="Blocked"))&gt;0,"Blocked",IF((ISNUMBER(Q18)+ISNUMBER(T18)+ISNUMBER(W18)+ISNUMBER(AA18)+ISNUMBER(AG18)+ISNUMBER(AJ18)+ISNUMBER(AM18)+ISNUMBER(AQ18)+ISNUMBER(AW18)+ISNUMBER(AZ18)+ISNUMBER(BC18)+ISNUMBER(BG18)+ISNUMBER(O18)+ISNUMBER(BM18)+ISNUMBER(BO18)+ISNUMBER(BQ18))=0,"Yet to start",IF(AND(OR(NOT(ISNUMBER(Q18)),S18="Completed"),OR(NOT(ISNUMBER(T18)),V18="Completed"),OR(NOT(ISNUMBER(W18)),Y18="Completed"),OR(NOT(ISNUMBER(AA18)),AC18="Completed"),OR(NOT(ISNUMBER(AG18)),AI18="Completed"),OR(NOT(ISNUMBER(AJ18)),AL18="Completed"),OR(NOT(ISNUMBER(AM18)),AO18="Completed"),OR(NOT(ISNUMBER(AQ18)),AS18="Completed"),OR(NOT(ISNUMBER(AW18)),AY18="Completed"),OR(NOT(ISNUMBER(AZ18)),BB18="Completed"),OR(NOT(ISNUMBER(BC18)),BE18="Completed"),OR(NOT(ISNUMBER(BG18)),BI18="Completed"),OR(NOT(ISNUMBER(O18)),P18="Completed"),OR(NOT(ISNUMBER(BM18)),BN18="Completed"),OR(NOT(ISNUMBER(BO18)),BP18="Completed"),OR(NOT(ISNUMBER(BQ18)),BR18="Completed"),BS18="Completed"),"Completed",IF(((S18="In Progress")+(V18="In Progress")+(Y18="In Progress")+(AC18="In Progress")+(AI18="In Progress")+(AL18="In Progress")+(AO18="In Progress")+(AS18="In Progress")+(AY18="In Progress")+(BB18="In Progress")+(BE18="In Progress")+(BI18="In Progress")+(P18="In Progress")+(BN18="In Progress")+(BP18="In Progress")+(BR18="In Progress")+(BS18="In Progress"))&gt;0,"In Progress","Yet to start")))))</f>
        <v/>
      </c>
      <c r="E18" s="30">
        <f>IF(A18="","",IF(F18="","All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Review","CAB"},MATCH(F18,BU18:CJ18,0))))</f>
        <v/>
      </c>
      <c r="F18" s="31">
        <f>IF(A18="","",IF(COUNT(BU18:CJ18)=0,"",MIN(BU18:CJ18)))</f>
        <v/>
      </c>
      <c r="G18" s="30">
        <f>IF(A18="","",MAX(0,IF(AND(ISNUMBER(Q18),S18&lt;&gt;"Completed",Q18&lt;TODAY()),TODAY()-Q18,0),IF(AND(ISNUMBER(T18),V18&lt;&gt;"Completed",T18&lt;TODAY()),TODAY()-T18,0),IF(AND(ISNUMBER(W18),Y18&lt;&gt;"Completed",W18&lt;TODAY()),TODAY()-W18,0),IF(AND(ISNUMBER(AA18),AC18&lt;&gt;"Completed",AA18&lt;TODAY()),TODAY()-AA18,0),IF(AND(ISNUMBER(AG18),AI18&lt;&gt;"Completed",AG18&lt;TODAY()),TODAY()-AG18,0),IF(AND(ISNUMBER(AJ18),AL18&lt;&gt;"Completed",AJ18&lt;TODAY()),TODAY()-AJ18,0),IF(AND(ISNUMBER(AM18),AO18&lt;&gt;"Completed",AM18&lt;TODAY()),TODAY()-AM18,0),IF(AND(ISNUMBER(AQ18),AS18&lt;&gt;"Completed",AQ18&lt;TODAY()),TODAY()-AQ18,0),IF(AND(ISNUMBER(AW18),AY18&lt;&gt;"Completed",AW18&lt;TODAY()),TODAY()-AW18,0),IF(AND(ISNUMBER(AZ18),BB18&lt;&gt;"Completed",AZ18&lt;TODAY()),TODAY()-AZ18,0),IF(AND(ISNUMBER(BC18),BE18&lt;&gt;"Completed",BC18&lt;TODAY()),TODAY()-BC18,0),IF(AND(ISNUMBER(BG18),BI18&lt;&gt;"Completed",BG18&lt;TODAY()),TODAY()-BG18,0),IF(AND(ISNUMBER(O18),P18&lt;&gt;"Completed",O18&lt;TODAY()),TODAY()-O18,0),IF(AND(ISNUMBER(BQ18),BR18&lt;&gt;"Completed",BQ18&lt;TODAY()),TODAY()-BQ18,0),IF(AND(ISNUMBER(BO18),BP18&lt;&gt;"Completed",BO18&lt;TODAY()),TODAY()-BO18,0),IF(AND(ISNUMBER(BM18),BN18&lt;&gt;"Completed",BM18&lt;TODAY()),TODAY()-BM18,0)))</f>
        <v/>
      </c>
      <c r="H18" s="32" t="n">
        <v>46246</v>
      </c>
      <c r="I18" s="32" t="n">
        <v>46259</v>
      </c>
      <c r="J18" s="32" t="n"/>
      <c r="K18" s="31">
        <f>IF(ISNUMBER(H18),H18,IF(ISNUMBER(M18),M18-WEEKDAY(M18,2)+1-7,""))</f>
        <v/>
      </c>
      <c r="L18" s="31">
        <f>IF(ISNUMBER(I18),I18,IF(ISNUMBER(H18),WORKDAY(H18,SprintWorkingDays-1),IF(ISNUMBER(K18),WORKDAY(K18,SprintWorkingDays-1),"")))</f>
        <v/>
      </c>
      <c r="M18" s="31">
        <f>IF(ISNUMBER(J18),J18,IF(ISNUMBER(I18),I18-IF(OR(WEEKDAY(I18,2)=2,WEEKDAY(I18,2)=4),0,IF(WEEKDAY(I18,2)=3,1,IF(WEEKDAY(I18,2)=1,4,WEEKDAY(I18,2)-4))),IF(ISNUMBER(H18),WORKDAY(H18,SprintWorkingDays-1)-IF(OR(WEEKDAY(WORKDAY(H18,SprintWorkingDays-1),2)=2,WEEKDAY(WORKDAY(H18,SprintWorkingDays-1),2)=4),0,IF(WEEKDAY(WORKDAY(H18,SprintWorkingDays-1),2)=3,1,IF(WEEKDAY(WORKDAY(H18,SprintWorkingDays-1),2)=1,4,WEEKDAY(WORKDAY(H18,SprintWorkingDays-1),2)-4))),"")))</f>
        <v/>
      </c>
      <c r="N18" s="31">
        <f>IF(NOT(ISNUMBER(K18)),"",WORKDAY(K18,ReadyOffsetWD))</f>
        <v/>
      </c>
      <c r="O18" s="31">
        <f>IF(NOT(ISNUMBER(K18)),"",WORKDAY(K18,SprintReadinessOffsetWD))</f>
        <v/>
      </c>
      <c r="P18" s="29" t="n"/>
      <c r="Q18" s="31">
        <f>IF(NOT(ISNUMBER(T18)),"",WORKDAY(T18,RTSKOffsetFromOUR_WD))</f>
        <v/>
      </c>
      <c r="R18" s="32" t="n"/>
      <c r="S18" s="29" t="n"/>
      <c r="T18" s="31">
        <f>IF(NOT(ISNUMBER(W18)),"",WORKDAY(W18,OUROffsetFromSR_WD))</f>
        <v/>
      </c>
      <c r="U18" s="32" t="n"/>
      <c r="V18" s="29" t="n"/>
      <c r="W18" s="31">
        <f>IF(NOT(ISNUMBER(K18)),"",WORKDAY(K18,SROffsetFromStartWD))</f>
        <v/>
      </c>
      <c r="X18" s="32" t="n"/>
      <c r="Y18" s="29" t="n"/>
      <c r="Z18" s="29" t="n"/>
      <c r="AA18" s="31">
        <f>IF(ISNUMBER(Q18),Q18,"")</f>
        <v/>
      </c>
      <c r="AB18" s="32" t="n"/>
      <c r="AC18" s="29" t="n"/>
      <c r="AD18" s="29" t="n"/>
      <c r="AE18" s="29" t="n"/>
      <c r="AF18" s="29" t="n"/>
      <c r="AG18" s="31">
        <f>IF(NOT(ISNUMBER(Q18)),"",Q18)</f>
        <v/>
      </c>
      <c r="AH18" s="32" t="n"/>
      <c r="AI18" s="29" t="n"/>
      <c r="AJ18" s="31">
        <f>IF(NOT(ISNUMBER(T18)),"",T18)</f>
        <v/>
      </c>
      <c r="AK18" s="32" t="n"/>
      <c r="AL18" s="29" t="n"/>
      <c r="AM18" s="31">
        <f>IF(NOT(ISNUMBER(W18)),"",W18)</f>
        <v/>
      </c>
      <c r="AN18" s="32" t="n"/>
      <c r="AO18" s="29" t="n"/>
      <c r="AP18" s="29" t="n"/>
      <c r="AQ18" s="31">
        <f>IF(ISNUMBER(AG18),AG18,"")</f>
        <v/>
      </c>
      <c r="AR18" s="32" t="n"/>
      <c r="AS18" s="29" t="n"/>
      <c r="AT18" s="29" t="n"/>
      <c r="AU18" s="29" t="n"/>
      <c r="AV18" s="29" t="n"/>
      <c r="AW18" s="31">
        <f>IF(NOT(ISNUMBER(Q18)),"",Q18)</f>
        <v/>
      </c>
      <c r="AX18" s="32" t="n"/>
      <c r="AY18" s="29" t="n"/>
      <c r="AZ18" s="31">
        <f>IF(NOT(ISNUMBER(T18)),"",T18)</f>
        <v/>
      </c>
      <c r="BA18" s="32" t="n"/>
      <c r="BB18" s="29" t="n"/>
      <c r="BC18" s="31">
        <f>IF(NOT(ISNUMBER(W18)),"",W18)</f>
        <v/>
      </c>
      <c r="BD18" s="32" t="n"/>
      <c r="BE18" s="29" t="n"/>
      <c r="BF18" s="29" t="n"/>
      <c r="BG18" s="31">
        <f>IF(ISNUMBER(AW18),AW18,"")</f>
        <v/>
      </c>
      <c r="BH18" s="32" t="n"/>
      <c r="BI18" s="29" t="n"/>
      <c r="BJ18" s="29" t="n"/>
      <c r="BK18" s="29" t="n"/>
      <c r="BL18" s="29" t="n"/>
      <c r="BM18" s="31">
        <f>IF(OR(NOT(ISNUMBER(M18)),AND(WEEKDAY(M18,2)&lt;&gt;2,WEEKDAY(M18,2)&lt;&gt;4)),"",WORKDAY(M18,CABOffsetFromReleaseWD))</f>
        <v/>
      </c>
      <c r="BN18" s="29" t="n"/>
      <c r="BO18" s="31">
        <f>IF(NOT(ISNUMBER(BM18)),"",IF(WEEKDAY(BM18-CodeReviewCalendarDays,2)&gt;5,BM18-CodeReviewCalendarDays-(WEEKDAY(BM18-CodeReviewCalendarDays,2)-5),BM18-CodeReviewCalendarDays))</f>
        <v/>
      </c>
      <c r="BP18" s="29" t="n"/>
      <c r="BQ18" s="31">
        <f>IF(NOT(ISNUMBER(BO18)),"",IF(WEEKDAY(BO18-CodeReviewInviteCalendarDays,2)&gt;5,BO18-CodeReviewInviteCalendarDays-(WEEKDAY(BO18-CodeReviewInviteCalendarDays,2)-5),BO18-CodeReviewInviteCalendarDays))</f>
        <v/>
      </c>
      <c r="BR18" s="29" t="n"/>
      <c r="BS18" s="29" t="n"/>
      <c r="BT18" s="30">
        <f>IF(A18="","",IF(IF(AND(ISNUMBER(J18),WEEKDAY(J18,2)&lt;&gt;2,WEEKDAY(J18,2)&lt;&gt;4)," | Release must be Tuesday or Thursday","")&amp;IF(AND(ISNUMBER(H18),WEEKDAY(H18,2)&lt;&gt;1)," | Sprint Start is not a Monday - dates still calculated from the date entered","")&amp;IF(AND(A18&lt;&gt;"",NOT(ISNUMBER(H18)),NOT(ISNUMBER(J18)))," | Enter Sprint Start or Release Date","")&amp;IF(AND(ISNUMBER(F18),F18&lt;TODAY(),D18&lt;&gt;"Completed")," | One or more raise-by dates are in the past and not completed","")&amp;IF(AND(ISNUMBER(K18),K18-TODAY()&lt;SprintWarningDays,K18&gt;=TODAY(),OR(D18="Yet to start",D18="Blocked"))," | Sprint starts in under 10 days - raise access requests now","")&amp;IF(AND(ISNUMBER(BQ18),BR18&lt;&gt;"Completed",BQ18-TODAY()&lt;CodeReviewInviteCalendarDays)," | Code Review invite should be sent at least 4 days before Code Review","")="","",MID(IF(AND(ISNUMBER(J18),WEEKDAY(J18,2)&lt;&gt;2,WEEKDAY(J18,2)&lt;&gt;4)," | Release must be Tuesday or Thursday","")&amp;IF(AND(ISNUMBER(H18),WEEKDAY(H18,2)&lt;&gt;1)," | Sprint Start is not a Monday - dates still calculated from the date entered","")&amp;IF(AND(A18&lt;&gt;"",NOT(ISNUMBER(H18)),NOT(ISNUMBER(J18)))," | Enter Sprint Start or Release Date","")&amp;IF(AND(ISNUMBER(F18),F18&lt;TODAY(),D18&lt;&gt;"Completed")," | One or more raise-by dates are in the past and not completed","")&amp;IF(AND(ISNUMBER(K18),K18-TODAY()&lt;SprintWarningDays,K18&gt;=TODAY(),OR(D18="Yet to start",D18="Blocked"))," | Sprint starts in under 10 days - raise access requests now","")&amp;IF(AND(ISNUMBER(BQ18),BR18&lt;&gt;"Completed",BQ18-TODAY()&lt;CodeReviewInviteCalendarDays)," | Code Review invite should be sent at least 4 days before Code Review",""),4,500)))</f>
        <v/>
      </c>
      <c r="BU18">
        <f>IF(AND(ISNUMBER(Q18),S18&lt;&gt;"Completed"),Q18,"")</f>
        <v/>
      </c>
      <c r="BV18">
        <f>IF(AND(ISNUMBER(T18),V18&lt;&gt;"Completed"),T18,"")</f>
        <v/>
      </c>
      <c r="BW18">
        <f>IF(AND(ISNUMBER(W18),Y18&lt;&gt;"Completed"),W18,"")</f>
        <v/>
      </c>
      <c r="BX18">
        <f>IF(AND(ISNUMBER(AA18),AC18&lt;&gt;"Completed"),AA18,"")</f>
        <v/>
      </c>
      <c r="BY18">
        <f>IF(AND(ISNUMBER(AG18),AI18&lt;&gt;"Completed"),AG18,"")</f>
        <v/>
      </c>
      <c r="BZ18">
        <f>IF(AND(ISNUMBER(AJ18),AL18&lt;&gt;"Completed"),AJ18,"")</f>
        <v/>
      </c>
      <c r="CA18">
        <f>IF(AND(ISNUMBER(AM18),AO18&lt;&gt;"Completed"),AM18,"")</f>
        <v/>
      </c>
      <c r="CB18">
        <f>IF(AND(ISNUMBER(AQ18),AS18&lt;&gt;"Completed"),AQ18,"")</f>
        <v/>
      </c>
      <c r="CC18">
        <f>IF(AND(ISNUMBER(AW18),AY18&lt;&gt;"Completed"),AW18,"")</f>
        <v/>
      </c>
      <c r="CD18">
        <f>IF(AND(ISNUMBER(AZ18),BB18&lt;&gt;"Completed"),AZ18,"")</f>
        <v/>
      </c>
      <c r="CE18">
        <f>IF(AND(ISNUMBER(BC18),BE18&lt;&gt;"Completed"),BC18,"")</f>
        <v/>
      </c>
      <c r="CF18">
        <f>IF(AND(ISNUMBER(BG18),BI18&lt;&gt;"Completed"),BG18,"")</f>
        <v/>
      </c>
      <c r="CG18">
        <f>IF(AND(ISNUMBER(O18),P18&lt;&gt;"Completed"),O18,"")</f>
        <v/>
      </c>
      <c r="CH18">
        <f>IF(AND(ISNUMBER(BQ18),BR18&lt;&gt;"Completed"),BQ18,"")</f>
        <v/>
      </c>
      <c r="CI18">
        <f>IF(AND(ISNUMBER(BO18),BP18&lt;&gt;"Completed"),BO18,"")</f>
        <v/>
      </c>
      <c r="CJ18">
        <f>IF(AND(ISNUMBER(BM18),BN18&lt;&gt;"Completed"),BM18,"")</f>
        <v/>
      </c>
      <c r="CK18">
        <f>IF(OR(A18="",D18="Completed"),"",IF(N(G18)&gt;0,1/(N(G18)+ROW()/100000),IF(ISNUMBER(F18),1000+F18+ROW()/100000,TODAY()+400+ROW()/100000)))</f>
        <v/>
      </c>
    </row>
    <row r="19" ht="16" customHeight="1" s="39">
      <c r="A19" s="29" t="inlineStr">
        <is>
          <t>GL80</t>
        </is>
      </c>
      <c r="B19" s="29" t="inlineStr">
        <is>
          <t>Santhosh &lt;skoyalkar@randomtrees.com&gt;</t>
        </is>
      </c>
      <c r="C19" s="29" t="inlineStr">
        <is>
          <t>Sprint 18</t>
        </is>
      </c>
      <c r="D19" s="30">
        <f>IF(A19="","",IF(((S19="Blocked")+(V19="Blocked")+(Y19="Blocked")+(AC19="Blocked")+(AI19="Blocked")+(AL19="Blocked")+(AO19="Blocked")+(AS19="Blocked")+(AY19="Blocked")+(BB19="Blocked")+(BE19="Blocked")+(BI19="Blocked")+(P19="Blocked")+(BN19="Blocked")+(BP19="Blocked")+(BR19="Blocked")+(BS19="Blocked"))&gt;0,"Blocked",IF((ISNUMBER(Q19)+ISNUMBER(T19)+ISNUMBER(W19)+ISNUMBER(AA19)+ISNUMBER(AG19)+ISNUMBER(AJ19)+ISNUMBER(AM19)+ISNUMBER(AQ19)+ISNUMBER(AW19)+ISNUMBER(AZ19)+ISNUMBER(BC19)+ISNUMBER(BG19)+ISNUMBER(O19)+ISNUMBER(BM19)+ISNUMBER(BO19)+ISNUMBER(BQ19))=0,"Yet to start",IF(AND(OR(NOT(ISNUMBER(Q19)),S19="Completed"),OR(NOT(ISNUMBER(T19)),V19="Completed"),OR(NOT(ISNUMBER(W19)),Y19="Completed"),OR(NOT(ISNUMBER(AA19)),AC19="Completed"),OR(NOT(ISNUMBER(AG19)),AI19="Completed"),OR(NOT(ISNUMBER(AJ19)),AL19="Completed"),OR(NOT(ISNUMBER(AM19)),AO19="Completed"),OR(NOT(ISNUMBER(AQ19)),AS19="Completed"),OR(NOT(ISNUMBER(AW19)),AY19="Completed"),OR(NOT(ISNUMBER(AZ19)),BB19="Completed"),OR(NOT(ISNUMBER(BC19)),BE19="Completed"),OR(NOT(ISNUMBER(BG19)),BI19="Completed"),OR(NOT(ISNUMBER(O19)),P19="Completed"),OR(NOT(ISNUMBER(BM19)),BN19="Completed"),OR(NOT(ISNUMBER(BO19)),BP19="Completed"),OR(NOT(ISNUMBER(BQ19)),BR19="Completed"),BS19="Completed"),"Completed",IF(((S19="In Progress")+(V19="In Progress")+(Y19="In Progress")+(AC19="In Progress")+(AI19="In Progress")+(AL19="In Progress")+(AO19="In Progress")+(AS19="In Progress")+(AY19="In Progress")+(BB19="In Progress")+(BE19="In Progress")+(BI19="In Progress")+(P19="In Progress")+(BN19="In Progress")+(BP19="In Progress")+(BR19="In Progress")+(BS19="In Progress"))&gt;0,"In Progress","Yet to start")))))</f>
        <v/>
      </c>
      <c r="E19" s="30">
        <f>IF(A19="","",IF(F19="","All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Review","CAB"},MATCH(F19,BU19:CJ19,0))))</f>
        <v/>
      </c>
      <c r="F19" s="31">
        <f>IF(A19="","",IF(COUNT(BU19:CJ19)=0,"",MIN(BU19:CJ19)))</f>
        <v/>
      </c>
      <c r="G19" s="30">
        <f>IF(A19="","",MAX(0,IF(AND(ISNUMBER(Q19),S19&lt;&gt;"Completed",Q19&lt;TODAY()),TODAY()-Q19,0),IF(AND(ISNUMBER(T19),V19&lt;&gt;"Completed",T19&lt;TODAY()),TODAY()-T19,0),IF(AND(ISNUMBER(W19),Y19&lt;&gt;"Completed",W19&lt;TODAY()),TODAY()-W19,0),IF(AND(ISNUMBER(AA19),AC19&lt;&gt;"Completed",AA19&lt;TODAY()),TODAY()-AA19,0),IF(AND(ISNUMBER(AG19),AI19&lt;&gt;"Completed",AG19&lt;TODAY()),TODAY()-AG19,0),IF(AND(ISNUMBER(AJ19),AL19&lt;&gt;"Completed",AJ19&lt;TODAY()),TODAY()-AJ19,0),IF(AND(ISNUMBER(AM19),AO19&lt;&gt;"Completed",AM19&lt;TODAY()),TODAY()-AM19,0),IF(AND(ISNUMBER(AQ19),AS19&lt;&gt;"Completed",AQ19&lt;TODAY()),TODAY()-AQ19,0),IF(AND(ISNUMBER(AW19),AY19&lt;&gt;"Completed",AW19&lt;TODAY()),TODAY()-AW19,0),IF(AND(ISNUMBER(AZ19),BB19&lt;&gt;"Completed",AZ19&lt;TODAY()),TODAY()-AZ19,0),IF(AND(ISNUMBER(BC19),BE19&lt;&gt;"Completed",BC19&lt;TODAY()),TODAY()-BC19,0),IF(AND(ISNUMBER(BG19),BI19&lt;&gt;"Completed",BG19&lt;TODAY()),TODAY()-BG19,0),IF(AND(ISNUMBER(O19),P19&lt;&gt;"Completed",O19&lt;TODAY()),TODAY()-O19,0),IF(AND(ISNUMBER(BQ19),BR19&lt;&gt;"Completed",BQ19&lt;TODAY()),TODAY()-BQ19,0),IF(AND(ISNUMBER(BO19),BP19&lt;&gt;"Completed",BO19&lt;TODAY()),TODAY()-BO19,0),IF(AND(ISNUMBER(BM19),BN19&lt;&gt;"Completed",BM19&lt;TODAY()),TODAY()-BM19,0)))</f>
        <v/>
      </c>
      <c r="H19" s="32" t="n">
        <v>46246</v>
      </c>
      <c r="I19" s="32" t="n">
        <v>46259</v>
      </c>
      <c r="J19" s="32" t="n"/>
      <c r="K19" s="31">
        <f>IF(ISNUMBER(H19),H19,IF(ISNUMBER(M19),M19-WEEKDAY(M19,2)+1-7,""))</f>
        <v/>
      </c>
      <c r="L19" s="31">
        <f>IF(ISNUMBER(I19),I19,IF(ISNUMBER(H19),WORKDAY(H19,SprintWorkingDays-1),IF(ISNUMBER(K19),WORKDAY(K19,SprintWorkingDays-1),"")))</f>
        <v/>
      </c>
      <c r="M19" s="31">
        <f>IF(ISNUMBER(J19),J19,IF(ISNUMBER(I19),I19-IF(OR(WEEKDAY(I19,2)=2,WEEKDAY(I19,2)=4),0,IF(WEEKDAY(I19,2)=3,1,IF(WEEKDAY(I19,2)=1,4,WEEKDAY(I19,2)-4))),IF(ISNUMBER(H19),WORKDAY(H19,SprintWorkingDays-1)-IF(OR(WEEKDAY(WORKDAY(H19,SprintWorkingDays-1),2)=2,WEEKDAY(WORKDAY(H19,SprintWorkingDays-1),2)=4),0,IF(WEEKDAY(WORKDAY(H19,SprintWorkingDays-1),2)=3,1,IF(WEEKDAY(WORKDAY(H19,SprintWorkingDays-1),2)=1,4,WEEKDAY(WORKDAY(H19,SprintWorkingDays-1),2)-4))),"")))</f>
        <v/>
      </c>
      <c r="N19" s="31">
        <f>IF(NOT(ISNUMBER(K19)),"",WORKDAY(K19,ReadyOffsetWD))</f>
        <v/>
      </c>
      <c r="O19" s="31">
        <f>IF(NOT(ISNUMBER(K19)),"",WORKDAY(K19,SprintReadinessOffsetWD))</f>
        <v/>
      </c>
      <c r="P19" s="29" t="n"/>
      <c r="Q19" s="31">
        <f>IF(NOT(ISNUMBER(T19)),"",WORKDAY(T19,RTSKOffsetFromOUR_WD))</f>
        <v/>
      </c>
      <c r="R19" s="32" t="n"/>
      <c r="S19" s="29" t="n"/>
      <c r="T19" s="31">
        <f>IF(NOT(ISNUMBER(W19)),"",WORKDAY(W19,OUROffsetFromSR_WD))</f>
        <v/>
      </c>
      <c r="U19" s="32" t="n"/>
      <c r="V19" s="29" t="n"/>
      <c r="W19" s="31">
        <f>IF(NOT(ISNUMBER(K19)),"",WORKDAY(K19,SROffsetFromStartWD))</f>
        <v/>
      </c>
      <c r="X19" s="32" t="n"/>
      <c r="Y19" s="29" t="n"/>
      <c r="Z19" s="29" t="n"/>
      <c r="AA19" s="31">
        <f>IF(ISNUMBER(Q19),Q19,"")</f>
        <v/>
      </c>
      <c r="AB19" s="32" t="n"/>
      <c r="AC19" s="29" t="n"/>
      <c r="AD19" s="29" t="n"/>
      <c r="AE19" s="29" t="n"/>
      <c r="AF19" s="29" t="n"/>
      <c r="AG19" s="31">
        <f>IF(NOT(ISNUMBER(Q19)),"",Q19)</f>
        <v/>
      </c>
      <c r="AH19" s="32" t="n"/>
      <c r="AI19" s="29" t="n"/>
      <c r="AJ19" s="31">
        <f>IF(NOT(ISNUMBER(T19)),"",T19)</f>
        <v/>
      </c>
      <c r="AK19" s="32" t="n"/>
      <c r="AL19" s="29" t="n"/>
      <c r="AM19" s="31">
        <f>IF(NOT(ISNUMBER(W19)),"",W19)</f>
        <v/>
      </c>
      <c r="AN19" s="32" t="n"/>
      <c r="AO19" s="29" t="n"/>
      <c r="AP19" s="29" t="n"/>
      <c r="AQ19" s="31">
        <f>IF(ISNUMBER(AG19),AG19,"")</f>
        <v/>
      </c>
      <c r="AR19" s="32" t="n"/>
      <c r="AS19" s="29" t="n"/>
      <c r="AT19" s="29" t="n"/>
      <c r="AU19" s="29" t="n"/>
      <c r="AV19" s="29" t="n"/>
      <c r="AW19" s="31">
        <f>IF(NOT(ISNUMBER(Q19)),"",Q19)</f>
        <v/>
      </c>
      <c r="AX19" s="32" t="n"/>
      <c r="AY19" s="29" t="n"/>
      <c r="AZ19" s="31">
        <f>IF(NOT(ISNUMBER(T19)),"",T19)</f>
        <v/>
      </c>
      <c r="BA19" s="32" t="n"/>
      <c r="BB19" s="29" t="n"/>
      <c r="BC19" s="31">
        <f>IF(NOT(ISNUMBER(W19)),"",W19)</f>
        <v/>
      </c>
      <c r="BD19" s="32" t="n"/>
      <c r="BE19" s="29" t="n"/>
      <c r="BF19" s="29" t="n"/>
      <c r="BG19" s="31">
        <f>IF(ISNUMBER(AW19),AW19,"")</f>
        <v/>
      </c>
      <c r="BH19" s="32" t="n"/>
      <c r="BI19" s="29" t="n"/>
      <c r="BJ19" s="29" t="n"/>
      <c r="BK19" s="29" t="n"/>
      <c r="BL19" s="29" t="n"/>
      <c r="BM19" s="31">
        <f>IF(OR(NOT(ISNUMBER(M19)),AND(WEEKDAY(M19,2)&lt;&gt;2,WEEKDAY(M19,2)&lt;&gt;4)),"",WORKDAY(M19,CABOffsetFromReleaseWD))</f>
        <v/>
      </c>
      <c r="BN19" s="29" t="n"/>
      <c r="BO19" s="31">
        <f>IF(NOT(ISNUMBER(BM19)),"",IF(WEEKDAY(BM19-CodeReviewCalendarDays,2)&gt;5,BM19-CodeReviewCalendarDays-(WEEKDAY(BM19-CodeReviewCalendarDays,2)-5),BM19-CodeReviewCalendarDays))</f>
        <v/>
      </c>
      <c r="BP19" s="29" t="n"/>
      <c r="BQ19" s="31">
        <f>IF(NOT(ISNUMBER(BO19)),"",IF(WEEKDAY(BO19-CodeReviewInviteCalendarDays,2)&gt;5,BO19-CodeReviewInviteCalendarDays-(WEEKDAY(BO19-CodeReviewInviteCalendarDays,2)-5),BO19-CodeReviewInviteCalendarDays))</f>
        <v/>
      </c>
      <c r="BR19" s="29" t="n"/>
      <c r="BS19" s="29" t="n"/>
      <c r="BT19" s="30">
        <f>IF(A19="","",IF(IF(AND(ISNUMBER(J19),WEEKDAY(J19,2)&lt;&gt;2,WEEKDAY(J19,2)&lt;&gt;4)," | Release must be Tuesday or Thursday","")&amp;IF(AND(ISNUMBER(H19),WEEKDAY(H19,2)&lt;&gt;1)," | Sprint Start is not a Monday - dates still calculated from the date entered","")&amp;IF(AND(A19&lt;&gt;"",NOT(ISNUMBER(H19)),NOT(ISNUMBER(J19)))," | Enter Sprint Start or Release Date","")&amp;IF(AND(ISNUMBER(F19),F19&lt;TODAY(),D19&lt;&gt;"Completed")," | One or more raise-by dates are in the past and not completed","")&amp;IF(AND(ISNUMBER(K19),K19-TODAY()&lt;SprintWarningDays,K19&gt;=TODAY(),OR(D19="Yet to start",D19="Blocked"))," | Sprint starts in under 10 days - raise access requests now","")&amp;IF(AND(ISNUMBER(BQ19),BR19&lt;&gt;"Completed",BQ19-TODAY()&lt;CodeReviewInviteCalendarDays)," | Code Review invite should be sent at least 4 days before Code Review","")="","",MID(IF(AND(ISNUMBER(J19),WEEKDAY(J19,2)&lt;&gt;2,WEEKDAY(J19,2)&lt;&gt;4)," | Release must be Tuesday or Thursday","")&amp;IF(AND(ISNUMBER(H19),WEEKDAY(H19,2)&lt;&gt;1)," | Sprint Start is not a Monday - dates still calculated from the date entered","")&amp;IF(AND(A19&lt;&gt;"",NOT(ISNUMBER(H19)),NOT(ISNUMBER(J19)))," | Enter Sprint Start or Release Date","")&amp;IF(AND(ISNUMBER(F19),F19&lt;TODAY(),D19&lt;&gt;"Completed")," | One or more raise-by dates are in the past and not completed","")&amp;IF(AND(ISNUMBER(K19),K19-TODAY()&lt;SprintWarningDays,K19&gt;=TODAY(),OR(D19="Yet to start",D19="Blocked"))," | Sprint starts in under 10 days - raise access requests now","")&amp;IF(AND(ISNUMBER(BQ19),BR19&lt;&gt;"Completed",BQ19-TODAY()&lt;CodeReviewInviteCalendarDays)," | Code Review invite should be sent at least 4 days before Code Review",""),4,500)))</f>
        <v/>
      </c>
      <c r="BU19">
        <f>IF(AND(ISNUMBER(Q19),S19&lt;&gt;"Completed"),Q19,"")</f>
        <v/>
      </c>
      <c r="BV19">
        <f>IF(AND(ISNUMBER(T19),V19&lt;&gt;"Completed"),T19,"")</f>
        <v/>
      </c>
      <c r="BW19">
        <f>IF(AND(ISNUMBER(W19),Y19&lt;&gt;"Completed"),W19,"")</f>
        <v/>
      </c>
      <c r="BX19">
        <f>IF(AND(ISNUMBER(AA19),AC19&lt;&gt;"Completed"),AA19,"")</f>
        <v/>
      </c>
      <c r="BY19">
        <f>IF(AND(ISNUMBER(AG19),AI19&lt;&gt;"Completed"),AG19,"")</f>
        <v/>
      </c>
      <c r="BZ19">
        <f>IF(AND(ISNUMBER(AJ19),AL19&lt;&gt;"Completed"),AJ19,"")</f>
        <v/>
      </c>
      <c r="CA19">
        <f>IF(AND(ISNUMBER(AM19),AO19&lt;&gt;"Completed"),AM19,"")</f>
        <v/>
      </c>
      <c r="CB19">
        <f>IF(AND(ISNUMBER(AQ19),AS19&lt;&gt;"Completed"),AQ19,"")</f>
        <v/>
      </c>
      <c r="CC19">
        <f>IF(AND(ISNUMBER(AW19),AY19&lt;&gt;"Completed"),AW19,"")</f>
        <v/>
      </c>
      <c r="CD19">
        <f>IF(AND(ISNUMBER(AZ19),BB19&lt;&gt;"Completed"),AZ19,"")</f>
        <v/>
      </c>
      <c r="CE19">
        <f>IF(AND(ISNUMBER(BC19),BE19&lt;&gt;"Completed"),BC19,"")</f>
        <v/>
      </c>
      <c r="CF19">
        <f>IF(AND(ISNUMBER(BG19),BI19&lt;&gt;"Completed"),BG19,"")</f>
        <v/>
      </c>
      <c r="CG19">
        <f>IF(AND(ISNUMBER(O19),P19&lt;&gt;"Completed"),O19,"")</f>
        <v/>
      </c>
      <c r="CH19">
        <f>IF(AND(ISNUMBER(BQ19),BR19&lt;&gt;"Completed"),BQ19,"")</f>
        <v/>
      </c>
      <c r="CI19">
        <f>IF(AND(ISNUMBER(BO19),BP19&lt;&gt;"Completed"),BO19,"")</f>
        <v/>
      </c>
      <c r="CJ19">
        <f>IF(AND(ISNUMBER(BM19),BN19&lt;&gt;"Completed"),BM19,"")</f>
        <v/>
      </c>
      <c r="CK19">
        <f>IF(OR(A19="",D19="Completed"),"",IF(N(G19)&gt;0,1/(N(G19)+ROW()/100000),IF(ISNUMBER(F19),1000+F19+ROW()/100000,TODAY()+400+ROW()/100000)))</f>
        <v/>
      </c>
    </row>
    <row r="20" ht="16" customHeight="1" s="39">
      <c r="A20" s="29" t="inlineStr">
        <is>
          <t>IKW</t>
        </is>
      </c>
      <c r="B20" s="29" t="inlineStr">
        <is>
          <t>Sandeep &lt;sgodi@randomtrees.com&gt;</t>
        </is>
      </c>
      <c r="C20" s="29" t="inlineStr">
        <is>
          <t>Sprint 18</t>
        </is>
      </c>
      <c r="D20" s="30">
        <f>IF(A20="","",IF(((S20="Blocked")+(V20="Blocked")+(Y20="Blocked")+(AC20="Blocked")+(AI20="Blocked")+(AL20="Blocked")+(AO20="Blocked")+(AS20="Blocked")+(AY20="Blocked")+(BB20="Blocked")+(BE20="Blocked")+(BI20="Blocked")+(P20="Blocked")+(BN20="Blocked")+(BP20="Blocked")+(BR20="Blocked")+(BS20="Blocked"))&gt;0,"Blocked",IF((ISNUMBER(Q20)+ISNUMBER(T20)+ISNUMBER(W20)+ISNUMBER(AA20)+ISNUMBER(AG20)+ISNUMBER(AJ20)+ISNUMBER(AM20)+ISNUMBER(AQ20)+ISNUMBER(AW20)+ISNUMBER(AZ20)+ISNUMBER(BC20)+ISNUMBER(BG20)+ISNUMBER(O20)+ISNUMBER(BM20)+ISNUMBER(BO20)+ISNUMBER(BQ20))=0,"Yet to start",IF(AND(OR(NOT(ISNUMBER(Q20)),S20="Completed"),OR(NOT(ISNUMBER(T20)),V20="Completed"),OR(NOT(ISNUMBER(W20)),Y20="Completed"),OR(NOT(ISNUMBER(AA20)),AC20="Completed"),OR(NOT(ISNUMBER(AG20)),AI20="Completed"),OR(NOT(ISNUMBER(AJ20)),AL20="Completed"),OR(NOT(ISNUMBER(AM20)),AO20="Completed"),OR(NOT(ISNUMBER(AQ20)),AS20="Completed"),OR(NOT(ISNUMBER(AW20)),AY20="Completed"),OR(NOT(ISNUMBER(AZ20)),BB20="Completed"),OR(NOT(ISNUMBER(BC20)),BE20="Completed"),OR(NOT(ISNUMBER(BG20)),BI20="Completed"),OR(NOT(ISNUMBER(O20)),P20="Completed"),OR(NOT(ISNUMBER(BM20)),BN20="Completed"),OR(NOT(ISNUMBER(BO20)),BP20="Completed"),OR(NOT(ISNUMBER(BQ20)),BR20="Completed"),BS20="Completed"),"Completed",IF(((S20="In Progress")+(V20="In Progress")+(Y20="In Progress")+(AC20="In Progress")+(AI20="In Progress")+(AL20="In Progress")+(AO20="In Progress")+(AS20="In Progress")+(AY20="In Progress")+(BB20="In Progress")+(BE20="In Progress")+(BI20="In Progress")+(P20="In Progress")+(BN20="In Progress")+(BP20="In Progress")+(BR20="In Progress")+(BS20="In Progress"))&gt;0,"In Progress","Yet to start")))))</f>
        <v/>
      </c>
      <c r="E20" s="30">
        <f>IF(A20="","",IF(F20="","All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Review","CAB"},MATCH(F20,BU20:CJ20,0))))</f>
        <v/>
      </c>
      <c r="F20" s="31">
        <f>IF(A20="","",IF(COUNT(BU20:CJ20)=0,"",MIN(BU20:CJ20)))</f>
        <v/>
      </c>
      <c r="G20" s="30">
        <f>IF(A20="","",MAX(0,IF(AND(ISNUMBER(Q20),S20&lt;&gt;"Completed",Q20&lt;TODAY()),TODAY()-Q20,0),IF(AND(ISNUMBER(T20),V20&lt;&gt;"Completed",T20&lt;TODAY()),TODAY()-T20,0),IF(AND(ISNUMBER(W20),Y20&lt;&gt;"Completed",W20&lt;TODAY()),TODAY()-W20,0),IF(AND(ISNUMBER(AA20),AC20&lt;&gt;"Completed",AA20&lt;TODAY()),TODAY()-AA20,0),IF(AND(ISNUMBER(AG20),AI20&lt;&gt;"Completed",AG20&lt;TODAY()),TODAY()-AG20,0),IF(AND(ISNUMBER(AJ20),AL20&lt;&gt;"Completed",AJ20&lt;TODAY()),TODAY()-AJ20,0),IF(AND(ISNUMBER(AM20),AO20&lt;&gt;"Completed",AM20&lt;TODAY()),TODAY()-AM20,0),IF(AND(ISNUMBER(AQ20),AS20&lt;&gt;"Completed",AQ20&lt;TODAY()),TODAY()-AQ20,0),IF(AND(ISNUMBER(AW20),AY20&lt;&gt;"Completed",AW20&lt;TODAY()),TODAY()-AW20,0),IF(AND(ISNUMBER(AZ20),BB20&lt;&gt;"Completed",AZ20&lt;TODAY()),TODAY()-AZ20,0),IF(AND(ISNUMBER(BC20),BE20&lt;&gt;"Completed",BC20&lt;TODAY()),TODAY()-BC20,0),IF(AND(ISNUMBER(BG20),BI20&lt;&gt;"Completed",BG20&lt;TODAY()),TODAY()-BG20,0),IF(AND(ISNUMBER(O20),P20&lt;&gt;"Completed",O20&lt;TODAY()),TODAY()-O20,0),IF(AND(ISNUMBER(BQ20),BR20&lt;&gt;"Completed",BQ20&lt;TODAY()),TODAY()-BQ20,0),IF(AND(ISNUMBER(BO20),BP20&lt;&gt;"Completed",BO20&lt;TODAY()),TODAY()-BO20,0),IF(AND(ISNUMBER(BM20),BN20&lt;&gt;"Completed",BM20&lt;TODAY()),TODAY()-BM20,0)))</f>
        <v/>
      </c>
      <c r="H20" s="32" t="n">
        <v>46246</v>
      </c>
      <c r="I20" s="32" t="n">
        <v>46259</v>
      </c>
      <c r="J20" s="32" t="n"/>
      <c r="K20" s="31">
        <f>IF(ISNUMBER(H20),H20,IF(ISNUMBER(M20),M20-WEEKDAY(M20,2)+1-7,""))</f>
        <v/>
      </c>
      <c r="L20" s="31">
        <f>IF(ISNUMBER(I20),I20,IF(ISNUMBER(H20),WORKDAY(H20,SprintWorkingDays-1),IF(ISNUMBER(K20),WORKDAY(K20,SprintWorkingDays-1),"")))</f>
        <v/>
      </c>
      <c r="M20" s="31">
        <f>IF(ISNUMBER(J20),J20,IF(ISNUMBER(I20),I20-IF(OR(WEEKDAY(I20,2)=2,WEEKDAY(I20,2)=4),0,IF(WEEKDAY(I20,2)=3,1,IF(WEEKDAY(I20,2)=1,4,WEEKDAY(I20,2)-4))),IF(ISNUMBER(H20),WORKDAY(H20,SprintWorkingDays-1)-IF(OR(WEEKDAY(WORKDAY(H20,SprintWorkingDays-1),2)=2,WEEKDAY(WORKDAY(H20,SprintWorkingDays-1),2)=4),0,IF(WEEKDAY(WORKDAY(H20,SprintWorkingDays-1),2)=3,1,IF(WEEKDAY(WORKDAY(H20,SprintWorkingDays-1),2)=1,4,WEEKDAY(WORKDAY(H20,SprintWorkingDays-1),2)-4))),"")))</f>
        <v/>
      </c>
      <c r="N20" s="31">
        <f>IF(NOT(ISNUMBER(K20)),"",WORKDAY(K20,ReadyOffsetWD))</f>
        <v/>
      </c>
      <c r="O20" s="31">
        <f>IF(NOT(ISNUMBER(K20)),"",WORKDAY(K20,SprintReadinessOffsetWD))</f>
        <v/>
      </c>
      <c r="P20" s="29" t="n"/>
      <c r="Q20" s="31">
        <f>IF(NOT(ISNUMBER(T20)),"",WORKDAY(T20,RTSKOffsetFromOUR_WD))</f>
        <v/>
      </c>
      <c r="R20" s="32" t="n"/>
      <c r="S20" s="29" t="n"/>
      <c r="T20" s="31">
        <f>IF(NOT(ISNUMBER(W20)),"",WORKDAY(W20,OUROffsetFromSR_WD))</f>
        <v/>
      </c>
      <c r="U20" s="32" t="n"/>
      <c r="V20" s="29" t="n"/>
      <c r="W20" s="31">
        <f>IF(NOT(ISNUMBER(K20)),"",WORKDAY(K20,SROffsetFromStartWD))</f>
        <v/>
      </c>
      <c r="X20" s="32" t="n"/>
      <c r="Y20" s="29" t="n"/>
      <c r="Z20" s="29" t="n"/>
      <c r="AA20" s="31">
        <f>IF(ISNUMBER(Q20),Q20,"")</f>
        <v/>
      </c>
      <c r="AB20" s="32" t="n"/>
      <c r="AC20" s="29" t="n"/>
      <c r="AD20" s="29" t="n"/>
      <c r="AE20" s="29" t="n"/>
      <c r="AF20" s="29" t="n"/>
      <c r="AG20" s="31">
        <f>IF(NOT(ISNUMBER(Q20)),"",Q20)</f>
        <v/>
      </c>
      <c r="AH20" s="32" t="n"/>
      <c r="AI20" s="29" t="n"/>
      <c r="AJ20" s="31">
        <f>IF(NOT(ISNUMBER(T20)),"",T20)</f>
        <v/>
      </c>
      <c r="AK20" s="32" t="n"/>
      <c r="AL20" s="29" t="n"/>
      <c r="AM20" s="31">
        <f>IF(NOT(ISNUMBER(W20)),"",W20)</f>
        <v/>
      </c>
      <c r="AN20" s="32" t="n"/>
      <c r="AO20" s="29" t="n"/>
      <c r="AP20" s="29" t="n"/>
      <c r="AQ20" s="31">
        <f>IF(ISNUMBER(AG20),AG20,"")</f>
        <v/>
      </c>
      <c r="AR20" s="32" t="n"/>
      <c r="AS20" s="29" t="n"/>
      <c r="AT20" s="29" t="n"/>
      <c r="AU20" s="29" t="n"/>
      <c r="AV20" s="29" t="n"/>
      <c r="AW20" s="31">
        <f>IF(NOT(ISNUMBER(Q20)),"",Q20)</f>
        <v/>
      </c>
      <c r="AX20" s="32" t="n"/>
      <c r="AY20" s="29" t="n"/>
      <c r="AZ20" s="31">
        <f>IF(NOT(ISNUMBER(T20)),"",T20)</f>
        <v/>
      </c>
      <c r="BA20" s="32" t="n"/>
      <c r="BB20" s="29" t="n"/>
      <c r="BC20" s="31">
        <f>IF(NOT(ISNUMBER(W20)),"",W20)</f>
        <v/>
      </c>
      <c r="BD20" s="32" t="n"/>
      <c r="BE20" s="29" t="n"/>
      <c r="BF20" s="29" t="n"/>
      <c r="BG20" s="31">
        <f>IF(ISNUMBER(AW20),AW20,"")</f>
        <v/>
      </c>
      <c r="BH20" s="32" t="n"/>
      <c r="BI20" s="29" t="n"/>
      <c r="BJ20" s="29" t="n"/>
      <c r="BK20" s="29" t="n"/>
      <c r="BL20" s="29" t="n"/>
      <c r="BM20" s="31">
        <f>IF(OR(NOT(ISNUMBER(M20)),AND(WEEKDAY(M20,2)&lt;&gt;2,WEEKDAY(M20,2)&lt;&gt;4)),"",WORKDAY(M20,CABOffsetFromReleaseWD))</f>
        <v/>
      </c>
      <c r="BN20" s="29" t="n"/>
      <c r="BO20" s="31">
        <f>IF(NOT(ISNUMBER(BM20)),"",IF(WEEKDAY(BM20-CodeReviewCalendarDays,2)&gt;5,BM20-CodeReviewCalendarDays-(WEEKDAY(BM20-CodeReviewCalendarDays,2)-5),BM20-CodeReviewCalendarDays))</f>
        <v/>
      </c>
      <c r="BP20" s="29" t="n"/>
      <c r="BQ20" s="31">
        <f>IF(NOT(ISNUMBER(BO20)),"",IF(WEEKDAY(BO20-CodeReviewInviteCalendarDays,2)&gt;5,BO20-CodeReviewInviteCalendarDays-(WEEKDAY(BO20-CodeReviewInviteCalendarDays,2)-5),BO20-CodeReviewInviteCalendarDays))</f>
        <v/>
      </c>
      <c r="BR20" s="29" t="n"/>
      <c r="BS20" s="29" t="n"/>
      <c r="BT20" s="30">
        <f>IF(A20="","",IF(IF(AND(ISNUMBER(J20),WEEKDAY(J20,2)&lt;&gt;2,WEEKDAY(J20,2)&lt;&gt;4)," | Release must be Tuesday or Thursday","")&amp;IF(AND(ISNUMBER(H20),WEEKDAY(H20,2)&lt;&gt;1)," | Sprint Start is not a Monday - dates still calculated from the date entered","")&amp;IF(AND(A20&lt;&gt;"",NOT(ISNUMBER(H20)),NOT(ISNUMBER(J20)))," | Enter Sprint Start or Release Date","")&amp;IF(AND(ISNUMBER(F20),F20&lt;TODAY(),D20&lt;&gt;"Completed")," | One or more raise-by dates are in the past and not completed","")&amp;IF(AND(ISNUMBER(K20),K20-TODAY()&lt;SprintWarningDays,K20&gt;=TODAY(),OR(D20="Yet to start",D20="Blocked"))," | Sprint starts in under 10 days - raise access requests now","")&amp;IF(AND(ISNUMBER(BQ20),BR20&lt;&gt;"Completed",BQ20-TODAY()&lt;CodeReviewInviteCalendarDays)," | Code Review invite should be sent at least 4 days before Code Review","")="","",MID(IF(AND(ISNUMBER(J20),WEEKDAY(J20,2)&lt;&gt;2,WEEKDAY(J20,2)&lt;&gt;4)," | Release must be Tuesday or Thursday","")&amp;IF(AND(ISNUMBER(H20),WEEKDAY(H20,2)&lt;&gt;1)," | Sprint Start is not a Monday - dates still calculated from the date entered","")&amp;IF(AND(A20&lt;&gt;"",NOT(ISNUMBER(H20)),NOT(ISNUMBER(J20)))," | Enter Sprint Start or Release Date","")&amp;IF(AND(ISNUMBER(F20),F20&lt;TODAY(),D20&lt;&gt;"Completed")," | One or more raise-by dates are in the past and not completed","")&amp;IF(AND(ISNUMBER(K20),K20-TODAY()&lt;SprintWarningDays,K20&gt;=TODAY(),OR(D20="Yet to start",D20="Blocked"))," | Sprint starts in under 10 days - raise access requests now","")&amp;IF(AND(ISNUMBER(BQ20),BR20&lt;&gt;"Completed",BQ20-TODAY()&lt;CodeReviewInviteCalendarDays)," | Code Review invite should be sent at least 4 days before Code Review",""),4,500)))</f>
        <v/>
      </c>
      <c r="BU20">
        <f>IF(AND(ISNUMBER(Q20),S20&lt;&gt;"Completed"),Q20,"")</f>
        <v/>
      </c>
      <c r="BV20">
        <f>IF(AND(ISNUMBER(T20),V20&lt;&gt;"Completed"),T20,"")</f>
        <v/>
      </c>
      <c r="BW20">
        <f>IF(AND(ISNUMBER(W20),Y20&lt;&gt;"Completed"),W20,"")</f>
        <v/>
      </c>
      <c r="BX20">
        <f>IF(AND(ISNUMBER(AA20),AC20&lt;&gt;"Completed"),AA20,"")</f>
        <v/>
      </c>
      <c r="BY20">
        <f>IF(AND(ISNUMBER(AG20),AI20&lt;&gt;"Completed"),AG20,"")</f>
        <v/>
      </c>
      <c r="BZ20">
        <f>IF(AND(ISNUMBER(AJ20),AL20&lt;&gt;"Completed"),AJ20,"")</f>
        <v/>
      </c>
      <c r="CA20">
        <f>IF(AND(ISNUMBER(AM20),AO20&lt;&gt;"Completed"),AM20,"")</f>
        <v/>
      </c>
      <c r="CB20">
        <f>IF(AND(ISNUMBER(AQ20),AS20&lt;&gt;"Completed"),AQ20,"")</f>
        <v/>
      </c>
      <c r="CC20">
        <f>IF(AND(ISNUMBER(AW20),AY20&lt;&gt;"Completed"),AW20,"")</f>
        <v/>
      </c>
      <c r="CD20">
        <f>IF(AND(ISNUMBER(AZ20),BB20&lt;&gt;"Completed"),AZ20,"")</f>
        <v/>
      </c>
      <c r="CE20">
        <f>IF(AND(ISNUMBER(BC20),BE20&lt;&gt;"Completed"),BC20,"")</f>
        <v/>
      </c>
      <c r="CF20">
        <f>IF(AND(ISNUMBER(BG20),BI20&lt;&gt;"Completed"),BG20,"")</f>
        <v/>
      </c>
      <c r="CG20">
        <f>IF(AND(ISNUMBER(O20),P20&lt;&gt;"Completed"),O20,"")</f>
        <v/>
      </c>
      <c r="CH20">
        <f>IF(AND(ISNUMBER(BQ20),BR20&lt;&gt;"Completed"),BQ20,"")</f>
        <v/>
      </c>
      <c r="CI20">
        <f>IF(AND(ISNUMBER(BO20),BP20&lt;&gt;"Completed"),BO20,"")</f>
        <v/>
      </c>
      <c r="CJ20">
        <f>IF(AND(ISNUMBER(BM20),BN20&lt;&gt;"Completed"),BM20,"")</f>
        <v/>
      </c>
      <c r="CK20">
        <f>IF(OR(A20="",D20="Completed"),"",IF(N(G20)&gt;0,1/(N(G20)+ROW()/100000),IF(ISNUMBER(F20),1000+F20+ROW()/100000,TODAY()+400+ROW()/100000)))</f>
        <v/>
      </c>
    </row>
    <row r="21" ht="16" customHeight="1" s="39">
      <c r="A21" s="29" t="inlineStr">
        <is>
          <t>P2P</t>
        </is>
      </c>
      <c r="B21" s="29" t="inlineStr">
        <is>
          <t>Ragavendhar &lt;aragavendhar@randomtrees.com&gt;</t>
        </is>
      </c>
      <c r="C21" s="29" t="inlineStr">
        <is>
          <t>Sprint 18</t>
        </is>
      </c>
      <c r="D21" s="30">
        <f>IF(A21="","",IF(((S21="Blocked")+(V21="Blocked")+(Y21="Blocked")+(AC21="Blocked")+(AI21="Blocked")+(AL21="Blocked")+(AO21="Blocked")+(AS21="Blocked")+(AY21="Blocked")+(BB21="Blocked")+(BE21="Blocked")+(BI21="Blocked")+(P21="Blocked")+(BN21="Blocked")+(BP21="Blocked")+(BR21="Blocked")+(BS21="Blocked"))&gt;0,"Blocked",IF((ISNUMBER(Q21)+ISNUMBER(T21)+ISNUMBER(W21)+ISNUMBER(AA21)+ISNUMBER(AG21)+ISNUMBER(AJ21)+ISNUMBER(AM21)+ISNUMBER(AQ21)+ISNUMBER(AW21)+ISNUMBER(AZ21)+ISNUMBER(BC21)+ISNUMBER(BG21)+ISNUMBER(O21)+ISNUMBER(BM21)+ISNUMBER(BO21)+ISNUMBER(BQ21))=0,"Yet to start",IF(AND(OR(NOT(ISNUMBER(Q21)),S21="Completed"),OR(NOT(ISNUMBER(T21)),V21="Completed"),OR(NOT(ISNUMBER(W21)),Y21="Completed"),OR(NOT(ISNUMBER(AA21)),AC21="Completed"),OR(NOT(ISNUMBER(AG21)),AI21="Completed"),OR(NOT(ISNUMBER(AJ21)),AL21="Completed"),OR(NOT(ISNUMBER(AM21)),AO21="Completed"),OR(NOT(ISNUMBER(AQ21)),AS21="Completed"),OR(NOT(ISNUMBER(AW21)),AY21="Completed"),OR(NOT(ISNUMBER(AZ21)),BB21="Completed"),OR(NOT(ISNUMBER(BC21)),BE21="Completed"),OR(NOT(ISNUMBER(BG21)),BI21="Completed"),OR(NOT(ISNUMBER(O21)),P21="Completed"),OR(NOT(ISNUMBER(BM21)),BN21="Completed"),OR(NOT(ISNUMBER(BO21)),BP21="Completed"),OR(NOT(ISNUMBER(BQ21)),BR21="Completed"),BS21="Completed"),"Completed",IF(((S21="In Progress")+(V21="In Progress")+(Y21="In Progress")+(AC21="In Progress")+(AI21="In Progress")+(AL21="In Progress")+(AO21="In Progress")+(AS21="In Progress")+(AY21="In Progress")+(BB21="In Progress")+(BE21="In Progress")+(BI21="In Progress")+(P21="In Progress")+(BN21="In Progress")+(BP21="In Progress")+(BR21="In Progress")+(BS21="In Progress"))&gt;0,"In Progress","Yet to start")))))</f>
        <v/>
      </c>
      <c r="E21" s="30">
        <f>IF(A21="","",IF(F21="","All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Review","CAB"},MATCH(F21,BU21:CJ21,0))))</f>
        <v/>
      </c>
      <c r="F21" s="31">
        <f>IF(A21="","",IF(COUNT(BU21:CJ21)=0,"",MIN(BU21:CJ21)))</f>
        <v/>
      </c>
      <c r="G21" s="30">
        <f>IF(A21="","",MAX(0,IF(AND(ISNUMBER(Q21),S21&lt;&gt;"Completed",Q21&lt;TODAY()),TODAY()-Q21,0),IF(AND(ISNUMBER(T21),V21&lt;&gt;"Completed",T21&lt;TODAY()),TODAY()-T21,0),IF(AND(ISNUMBER(W21),Y21&lt;&gt;"Completed",W21&lt;TODAY()),TODAY()-W21,0),IF(AND(ISNUMBER(AA21),AC21&lt;&gt;"Completed",AA21&lt;TODAY()),TODAY()-AA21,0),IF(AND(ISNUMBER(AG21),AI21&lt;&gt;"Completed",AG21&lt;TODAY()),TODAY()-AG21,0),IF(AND(ISNUMBER(AJ21),AL21&lt;&gt;"Completed",AJ21&lt;TODAY()),TODAY()-AJ21,0),IF(AND(ISNUMBER(AM21),AO21&lt;&gt;"Completed",AM21&lt;TODAY()),TODAY()-AM21,0),IF(AND(ISNUMBER(AQ21),AS21&lt;&gt;"Completed",AQ21&lt;TODAY()),TODAY()-AQ21,0),IF(AND(ISNUMBER(AW21),AY21&lt;&gt;"Completed",AW21&lt;TODAY()),TODAY()-AW21,0),IF(AND(ISNUMBER(AZ21),BB21&lt;&gt;"Completed",AZ21&lt;TODAY()),TODAY()-AZ21,0),IF(AND(ISNUMBER(BC21),BE21&lt;&gt;"Completed",BC21&lt;TODAY()),TODAY()-BC21,0),IF(AND(ISNUMBER(BG21),BI21&lt;&gt;"Completed",BG21&lt;TODAY()),TODAY()-BG21,0),IF(AND(ISNUMBER(O21),P21&lt;&gt;"Completed",O21&lt;TODAY()),TODAY()-O21,0),IF(AND(ISNUMBER(BQ21),BR21&lt;&gt;"Completed",BQ21&lt;TODAY()),TODAY()-BQ21,0),IF(AND(ISNUMBER(BO21),BP21&lt;&gt;"Completed",BO21&lt;TODAY()),TODAY()-BO21,0),IF(AND(ISNUMBER(BM21),BN21&lt;&gt;"Completed",BM21&lt;TODAY()),TODAY()-BM21,0)))</f>
        <v/>
      </c>
      <c r="H21" s="32" t="n">
        <v>46246</v>
      </c>
      <c r="I21" s="32" t="n">
        <v>46259</v>
      </c>
      <c r="J21" s="32" t="n"/>
      <c r="K21" s="31">
        <f>IF(ISNUMBER(H21),H21,IF(ISNUMBER(M21),M21-WEEKDAY(M21,2)+1-7,""))</f>
        <v/>
      </c>
      <c r="L21" s="31">
        <f>IF(ISNUMBER(I21),I21,IF(ISNUMBER(H21),WORKDAY(H21,SprintWorkingDays-1),IF(ISNUMBER(K21),WORKDAY(K21,SprintWorkingDays-1),"")))</f>
        <v/>
      </c>
      <c r="M21" s="31">
        <f>IF(ISNUMBER(J21),J21,IF(ISNUMBER(I21),I21-IF(OR(WEEKDAY(I21,2)=2,WEEKDAY(I21,2)=4),0,IF(WEEKDAY(I21,2)=3,1,IF(WEEKDAY(I21,2)=1,4,WEEKDAY(I21,2)-4))),IF(ISNUMBER(H21),WORKDAY(H21,SprintWorkingDays-1)-IF(OR(WEEKDAY(WORKDAY(H21,SprintWorkingDays-1),2)=2,WEEKDAY(WORKDAY(H21,SprintWorkingDays-1),2)=4),0,IF(WEEKDAY(WORKDAY(H21,SprintWorkingDays-1),2)=3,1,IF(WEEKDAY(WORKDAY(H21,SprintWorkingDays-1),2)=1,4,WEEKDAY(WORKDAY(H21,SprintWorkingDays-1),2)-4))),"")))</f>
        <v/>
      </c>
      <c r="N21" s="31">
        <f>IF(NOT(ISNUMBER(K21)),"",WORKDAY(K21,ReadyOffsetWD))</f>
        <v/>
      </c>
      <c r="O21" s="31">
        <f>IF(NOT(ISNUMBER(K21)),"",WORKDAY(K21,SprintReadinessOffsetWD))</f>
        <v/>
      </c>
      <c r="P21" s="29" t="n"/>
      <c r="Q21" s="31">
        <f>IF(NOT(ISNUMBER(T21)),"",WORKDAY(T21,RTSKOffsetFromOUR_WD))</f>
        <v/>
      </c>
      <c r="R21" s="32" t="n"/>
      <c r="S21" s="29" t="n"/>
      <c r="T21" s="31">
        <f>IF(NOT(ISNUMBER(W21)),"",WORKDAY(W21,OUROffsetFromSR_WD))</f>
        <v/>
      </c>
      <c r="U21" s="32" t="n"/>
      <c r="V21" s="29" t="n"/>
      <c r="W21" s="31">
        <f>IF(NOT(ISNUMBER(K21)),"",WORKDAY(K21,SROffsetFromStartWD))</f>
        <v/>
      </c>
      <c r="X21" s="32" t="n"/>
      <c r="Y21" s="29" t="n"/>
      <c r="Z21" s="29" t="n"/>
      <c r="AA21" s="31">
        <f>IF(ISNUMBER(Q21),Q21,"")</f>
        <v/>
      </c>
      <c r="AB21" s="32" t="n"/>
      <c r="AC21" s="29" t="n"/>
      <c r="AD21" s="29" t="n"/>
      <c r="AE21" s="29" t="n"/>
      <c r="AF21" s="29" t="n"/>
      <c r="AG21" s="31">
        <f>IF(NOT(ISNUMBER(Q21)),"",Q21)</f>
        <v/>
      </c>
      <c r="AH21" s="32" t="n"/>
      <c r="AI21" s="29" t="n"/>
      <c r="AJ21" s="31">
        <f>IF(NOT(ISNUMBER(T21)),"",T21)</f>
        <v/>
      </c>
      <c r="AK21" s="32" t="n"/>
      <c r="AL21" s="29" t="n"/>
      <c r="AM21" s="31">
        <f>IF(NOT(ISNUMBER(W21)),"",W21)</f>
        <v/>
      </c>
      <c r="AN21" s="32" t="n"/>
      <c r="AO21" s="29" t="n"/>
      <c r="AP21" s="29" t="n"/>
      <c r="AQ21" s="31">
        <f>IF(ISNUMBER(AG21),AG21,"")</f>
        <v/>
      </c>
      <c r="AR21" s="32" t="n"/>
      <c r="AS21" s="29" t="n"/>
      <c r="AT21" s="29" t="n"/>
      <c r="AU21" s="29" t="n"/>
      <c r="AV21" s="29" t="n"/>
      <c r="AW21" s="31">
        <f>IF(NOT(ISNUMBER(Q21)),"",Q21)</f>
        <v/>
      </c>
      <c r="AX21" s="32" t="n"/>
      <c r="AY21" s="29" t="n"/>
      <c r="AZ21" s="31">
        <f>IF(NOT(ISNUMBER(T21)),"",T21)</f>
        <v/>
      </c>
      <c r="BA21" s="32" t="n"/>
      <c r="BB21" s="29" t="n"/>
      <c r="BC21" s="31">
        <f>IF(NOT(ISNUMBER(W21)),"",W21)</f>
        <v/>
      </c>
      <c r="BD21" s="32" t="n"/>
      <c r="BE21" s="29" t="n"/>
      <c r="BF21" s="29" t="n"/>
      <c r="BG21" s="31">
        <f>IF(ISNUMBER(AW21),AW21,"")</f>
        <v/>
      </c>
      <c r="BH21" s="32" t="n"/>
      <c r="BI21" s="29" t="n"/>
      <c r="BJ21" s="29" t="n"/>
      <c r="BK21" s="29" t="n"/>
      <c r="BL21" s="29" t="n"/>
      <c r="BM21" s="31">
        <f>IF(OR(NOT(ISNUMBER(M21)),AND(WEEKDAY(M21,2)&lt;&gt;2,WEEKDAY(M21,2)&lt;&gt;4)),"",WORKDAY(M21,CABOffsetFromReleaseWD))</f>
        <v/>
      </c>
      <c r="BN21" s="29" t="n"/>
      <c r="BO21" s="31">
        <f>IF(NOT(ISNUMBER(BM21)),"",IF(WEEKDAY(BM21-CodeReviewCalendarDays,2)&gt;5,BM21-CodeReviewCalendarDays-(WEEKDAY(BM21-CodeReviewCalendarDays,2)-5),BM21-CodeReviewCalendarDays))</f>
        <v/>
      </c>
      <c r="BP21" s="29" t="n"/>
      <c r="BQ21" s="31">
        <f>IF(NOT(ISNUMBER(BO21)),"",IF(WEEKDAY(BO21-CodeReviewInviteCalendarDays,2)&gt;5,BO21-CodeReviewInviteCalendarDays-(WEEKDAY(BO21-CodeReviewInviteCalendarDays,2)-5),BO21-CodeReviewInviteCalendarDays))</f>
        <v/>
      </c>
      <c r="BR21" s="29" t="n"/>
      <c r="BS21" s="29" t="n"/>
      <c r="BT21" s="30">
        <f>IF(A21="","",IF(IF(AND(ISNUMBER(J21),WEEKDAY(J21,2)&lt;&gt;2,WEEKDAY(J21,2)&lt;&gt;4)," | Release must be Tuesday or Thursday","")&amp;IF(AND(ISNUMBER(H21),WEEKDAY(H21,2)&lt;&gt;1)," | Sprint Start is not a Monday - dates still calculated from the date entered","")&amp;IF(AND(A21&lt;&gt;"",NOT(ISNUMBER(H21)),NOT(ISNUMBER(J21)))," | Enter Sprint Start or Release Date","")&amp;IF(AND(ISNUMBER(F21),F21&lt;TODAY(),D21&lt;&gt;"Completed")," | One or more raise-by dates are in the past and not completed","")&amp;IF(AND(ISNUMBER(K21),K21-TODAY()&lt;SprintWarningDays,K21&gt;=TODAY(),OR(D21="Yet to start",D21="Blocked"))," | Sprint starts in under 10 days - raise access requests now","")&amp;IF(AND(ISNUMBER(BQ21),BR21&lt;&gt;"Completed",BQ21-TODAY()&lt;CodeReviewInviteCalendarDays)," | Code Review invite should be sent at least 4 days before Code Review","")="","",MID(IF(AND(ISNUMBER(J21),WEEKDAY(J21,2)&lt;&gt;2,WEEKDAY(J21,2)&lt;&gt;4)," | Release must be Tuesday or Thursday","")&amp;IF(AND(ISNUMBER(H21),WEEKDAY(H21,2)&lt;&gt;1)," | Sprint Start is not a Monday - dates still calculated from the date entered","")&amp;IF(AND(A21&lt;&gt;"",NOT(ISNUMBER(H21)),NOT(ISNUMBER(J21)))," | Enter Sprint Start or Release Date","")&amp;IF(AND(ISNUMBER(F21),F21&lt;TODAY(),D21&lt;&gt;"Completed")," | One or more raise-by dates are in the past and not completed","")&amp;IF(AND(ISNUMBER(K21),K21-TODAY()&lt;SprintWarningDays,K21&gt;=TODAY(),OR(D21="Yet to start",D21="Blocked"))," | Sprint starts in under 10 days - raise access requests now","")&amp;IF(AND(ISNUMBER(BQ21),BR21&lt;&gt;"Completed",BQ21-TODAY()&lt;CodeReviewInviteCalendarDays)," | Code Review invite should be sent at least 4 days before Code Review",""),4,500)))</f>
        <v/>
      </c>
      <c r="BU21">
        <f>IF(AND(ISNUMBER(Q21),S21&lt;&gt;"Completed"),Q21,"")</f>
        <v/>
      </c>
      <c r="BV21">
        <f>IF(AND(ISNUMBER(T21),V21&lt;&gt;"Completed"),T21,"")</f>
        <v/>
      </c>
      <c r="BW21">
        <f>IF(AND(ISNUMBER(W21),Y21&lt;&gt;"Completed"),W21,"")</f>
        <v/>
      </c>
      <c r="BX21">
        <f>IF(AND(ISNUMBER(AA21),AC21&lt;&gt;"Completed"),AA21,"")</f>
        <v/>
      </c>
      <c r="BY21">
        <f>IF(AND(ISNUMBER(AG21),AI21&lt;&gt;"Completed"),AG21,"")</f>
        <v/>
      </c>
      <c r="BZ21">
        <f>IF(AND(ISNUMBER(AJ21),AL21&lt;&gt;"Completed"),AJ21,"")</f>
        <v/>
      </c>
      <c r="CA21">
        <f>IF(AND(ISNUMBER(AM21),AO21&lt;&gt;"Completed"),AM21,"")</f>
        <v/>
      </c>
      <c r="CB21">
        <f>IF(AND(ISNUMBER(AQ21),AS21&lt;&gt;"Completed"),AQ21,"")</f>
        <v/>
      </c>
      <c r="CC21">
        <f>IF(AND(ISNUMBER(AW21),AY21&lt;&gt;"Completed"),AW21,"")</f>
        <v/>
      </c>
      <c r="CD21">
        <f>IF(AND(ISNUMBER(AZ21),BB21&lt;&gt;"Completed"),AZ21,"")</f>
        <v/>
      </c>
      <c r="CE21">
        <f>IF(AND(ISNUMBER(BC21),BE21&lt;&gt;"Completed"),BC21,"")</f>
        <v/>
      </c>
      <c r="CF21">
        <f>IF(AND(ISNUMBER(BG21),BI21&lt;&gt;"Completed"),BG21,"")</f>
        <v/>
      </c>
      <c r="CG21">
        <f>IF(AND(ISNUMBER(O21),P21&lt;&gt;"Completed"),O21,"")</f>
        <v/>
      </c>
      <c r="CH21">
        <f>IF(AND(ISNUMBER(BQ21),BR21&lt;&gt;"Completed"),BQ21,"")</f>
        <v/>
      </c>
      <c r="CI21">
        <f>IF(AND(ISNUMBER(BO21),BP21&lt;&gt;"Completed"),BO21,"")</f>
        <v/>
      </c>
      <c r="CJ21">
        <f>IF(AND(ISNUMBER(BM21),BN21&lt;&gt;"Completed"),BM21,"")</f>
        <v/>
      </c>
      <c r="CK21">
        <f>IF(OR(A21="",D21="Completed"),"",IF(N(G21)&gt;0,1/(N(G21)+ROW()/100000),IF(ISNUMBER(F21),1000+F21+ROW()/100000,TODAY()+400+ROW()/100000)))</f>
        <v/>
      </c>
    </row>
    <row r="22" ht="16" customHeight="1" s="39">
      <c r="A22" s="29" t="inlineStr">
        <is>
          <t>PC80</t>
        </is>
      </c>
      <c r="B22" s="29" t="inlineStr">
        <is>
          <t>Vidhesha &lt;vkumaran@randomtrees.com&gt;</t>
        </is>
      </c>
      <c r="C22" s="29" t="inlineStr">
        <is>
          <t>Sprint 18</t>
        </is>
      </c>
      <c r="D22" s="30">
        <f>IF(A22="","",IF(((S22="Blocked")+(V22="Blocked")+(Y22="Blocked")+(AC22="Blocked")+(AI22="Blocked")+(AL22="Blocked")+(AO22="Blocked")+(AS22="Blocked")+(AY22="Blocked")+(BB22="Blocked")+(BE22="Blocked")+(BI22="Blocked")+(P22="Blocked")+(BN22="Blocked")+(BP22="Blocked")+(BR22="Blocked")+(BS22="Blocked"))&gt;0,"Blocked",IF((ISNUMBER(Q22)+ISNUMBER(T22)+ISNUMBER(W22)+ISNUMBER(AA22)+ISNUMBER(AG22)+ISNUMBER(AJ22)+ISNUMBER(AM22)+ISNUMBER(AQ22)+ISNUMBER(AW22)+ISNUMBER(AZ22)+ISNUMBER(BC22)+ISNUMBER(BG22)+ISNUMBER(O22)+ISNUMBER(BM22)+ISNUMBER(BO22)+ISNUMBER(BQ22))=0,"Yet to start",IF(AND(OR(NOT(ISNUMBER(Q22)),S22="Completed"),OR(NOT(ISNUMBER(T22)),V22="Completed"),OR(NOT(ISNUMBER(W22)),Y22="Completed"),OR(NOT(ISNUMBER(AA22)),AC22="Completed"),OR(NOT(ISNUMBER(AG22)),AI22="Completed"),OR(NOT(ISNUMBER(AJ22)),AL22="Completed"),OR(NOT(ISNUMBER(AM22)),AO22="Completed"),OR(NOT(ISNUMBER(AQ22)),AS22="Completed"),OR(NOT(ISNUMBER(AW22)),AY22="Completed"),OR(NOT(ISNUMBER(AZ22)),BB22="Completed"),OR(NOT(ISNUMBER(BC22)),BE22="Completed"),OR(NOT(ISNUMBER(BG22)),BI22="Completed"),OR(NOT(ISNUMBER(O22)),P22="Completed"),OR(NOT(ISNUMBER(BM22)),BN22="Completed"),OR(NOT(ISNUMBER(BO22)),BP22="Completed"),OR(NOT(ISNUMBER(BQ22)),BR22="Completed"),BS22="Completed"),"Completed",IF(((S22="In Progress")+(V22="In Progress")+(Y22="In Progress")+(AC22="In Progress")+(AI22="In Progress")+(AL22="In Progress")+(AO22="In Progress")+(AS22="In Progress")+(AY22="In Progress")+(BB22="In Progress")+(BE22="In Progress")+(BI22="In Progress")+(P22="In Progress")+(BN22="In Progress")+(BP22="In Progress")+(BR22="In Progress")+(BS22="In Progress"))&gt;0,"In Progress","Yet to start")))))</f>
        <v/>
      </c>
      <c r="E22" s="30">
        <f>IF(A22="","",IF(F22="","All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Review","CAB"},MATCH(F22,BU22:CJ22,0))))</f>
        <v/>
      </c>
      <c r="F22" s="31">
        <f>IF(A22="","",IF(COUNT(BU22:CJ22)=0,"",MIN(BU22:CJ22)))</f>
        <v/>
      </c>
      <c r="G22" s="30">
        <f>IF(A22="","",MAX(0,IF(AND(ISNUMBER(Q22),S22&lt;&gt;"Completed",Q22&lt;TODAY()),TODAY()-Q22,0),IF(AND(ISNUMBER(T22),V22&lt;&gt;"Completed",T22&lt;TODAY()),TODAY()-T22,0),IF(AND(ISNUMBER(W22),Y22&lt;&gt;"Completed",W22&lt;TODAY()),TODAY()-W22,0),IF(AND(ISNUMBER(AA22),AC22&lt;&gt;"Completed",AA22&lt;TODAY()),TODAY()-AA22,0),IF(AND(ISNUMBER(AG22),AI22&lt;&gt;"Completed",AG22&lt;TODAY()),TODAY()-AG22,0),IF(AND(ISNUMBER(AJ22),AL22&lt;&gt;"Completed",AJ22&lt;TODAY()),TODAY()-AJ22,0),IF(AND(ISNUMBER(AM22),AO22&lt;&gt;"Completed",AM22&lt;TODAY()),TODAY()-AM22,0),IF(AND(ISNUMBER(AQ22),AS22&lt;&gt;"Completed",AQ22&lt;TODAY()),TODAY()-AQ22,0),IF(AND(ISNUMBER(AW22),AY22&lt;&gt;"Completed",AW22&lt;TODAY()),TODAY()-AW22,0),IF(AND(ISNUMBER(AZ22),BB22&lt;&gt;"Completed",AZ22&lt;TODAY()),TODAY()-AZ22,0),IF(AND(ISNUMBER(BC22),BE22&lt;&gt;"Completed",BC22&lt;TODAY()),TODAY()-BC22,0),IF(AND(ISNUMBER(BG22),BI22&lt;&gt;"Completed",BG22&lt;TODAY()),TODAY()-BG22,0),IF(AND(ISNUMBER(O22),P22&lt;&gt;"Completed",O22&lt;TODAY()),TODAY()-O22,0),IF(AND(ISNUMBER(BQ22),BR22&lt;&gt;"Completed",BQ22&lt;TODAY()),TODAY()-BQ22,0),IF(AND(ISNUMBER(BO22),BP22&lt;&gt;"Completed",BO22&lt;TODAY()),TODAY()-BO22,0),IF(AND(ISNUMBER(BM22),BN22&lt;&gt;"Completed",BM22&lt;TODAY()),TODAY()-BM22,0)))</f>
        <v/>
      </c>
      <c r="H22" s="32" t="n">
        <v>46246</v>
      </c>
      <c r="I22" s="32" t="n">
        <v>46259</v>
      </c>
      <c r="J22" s="32" t="n"/>
      <c r="K22" s="31">
        <f>IF(ISNUMBER(H22),H22,IF(ISNUMBER(M22),M22-WEEKDAY(M22,2)+1-7,""))</f>
        <v/>
      </c>
      <c r="L22" s="31">
        <f>IF(ISNUMBER(I22),I22,IF(ISNUMBER(H22),WORKDAY(H22,SprintWorkingDays-1),IF(ISNUMBER(K22),WORKDAY(K22,SprintWorkingDays-1),"")))</f>
        <v/>
      </c>
      <c r="M22" s="31">
        <f>IF(ISNUMBER(J22),J22,IF(ISNUMBER(I22),I22-IF(OR(WEEKDAY(I22,2)=2,WEEKDAY(I22,2)=4),0,IF(WEEKDAY(I22,2)=3,1,IF(WEEKDAY(I22,2)=1,4,WEEKDAY(I22,2)-4))),IF(ISNUMBER(H22),WORKDAY(H22,SprintWorkingDays-1)-IF(OR(WEEKDAY(WORKDAY(H22,SprintWorkingDays-1),2)=2,WEEKDAY(WORKDAY(H22,SprintWorkingDays-1),2)=4),0,IF(WEEKDAY(WORKDAY(H22,SprintWorkingDays-1),2)=3,1,IF(WEEKDAY(WORKDAY(H22,SprintWorkingDays-1),2)=1,4,WEEKDAY(WORKDAY(H22,SprintWorkingDays-1),2)-4))),"")))</f>
        <v/>
      </c>
      <c r="N22" s="31">
        <f>IF(NOT(ISNUMBER(K22)),"",WORKDAY(K22,ReadyOffsetWD))</f>
        <v/>
      </c>
      <c r="O22" s="31">
        <f>IF(NOT(ISNUMBER(K22)),"",WORKDAY(K22,SprintReadinessOffsetWD))</f>
        <v/>
      </c>
      <c r="P22" s="29" t="n"/>
      <c r="Q22" s="31">
        <f>IF(NOT(ISNUMBER(T22)),"",WORKDAY(T22,RTSKOffsetFromOUR_WD))</f>
        <v/>
      </c>
      <c r="R22" s="32" t="n"/>
      <c r="S22" s="29" t="n"/>
      <c r="T22" s="31">
        <f>IF(NOT(ISNUMBER(W22)),"",WORKDAY(W22,OUROffsetFromSR_WD))</f>
        <v/>
      </c>
      <c r="U22" s="32" t="n"/>
      <c r="V22" s="29" t="n"/>
      <c r="W22" s="31">
        <f>IF(NOT(ISNUMBER(K22)),"",WORKDAY(K22,SROffsetFromStartWD))</f>
        <v/>
      </c>
      <c r="X22" s="32" t="n"/>
      <c r="Y22" s="29" t="n"/>
      <c r="Z22" s="29" t="n"/>
      <c r="AA22" s="31">
        <f>IF(ISNUMBER(Q22),Q22,"")</f>
        <v/>
      </c>
      <c r="AB22" s="32" t="n"/>
      <c r="AC22" s="29" t="n"/>
      <c r="AD22" s="29" t="n"/>
      <c r="AE22" s="29" t="n"/>
      <c r="AF22" s="29" t="n"/>
      <c r="AG22" s="31">
        <f>IF(NOT(ISNUMBER(Q22)),"",Q22)</f>
        <v/>
      </c>
      <c r="AH22" s="32" t="n"/>
      <c r="AI22" s="29" t="n"/>
      <c r="AJ22" s="31">
        <f>IF(NOT(ISNUMBER(T22)),"",T22)</f>
        <v/>
      </c>
      <c r="AK22" s="32" t="n"/>
      <c r="AL22" s="29" t="n"/>
      <c r="AM22" s="31">
        <f>IF(NOT(ISNUMBER(W22)),"",W22)</f>
        <v/>
      </c>
      <c r="AN22" s="32" t="n"/>
      <c r="AO22" s="29" t="n"/>
      <c r="AP22" s="29" t="n"/>
      <c r="AQ22" s="31">
        <f>IF(ISNUMBER(AG22),AG22,"")</f>
        <v/>
      </c>
      <c r="AR22" s="32" t="n"/>
      <c r="AS22" s="29" t="n"/>
      <c r="AT22" s="29" t="n"/>
      <c r="AU22" s="29" t="n"/>
      <c r="AV22" s="29" t="n"/>
      <c r="AW22" s="31">
        <f>IF(NOT(ISNUMBER(Q22)),"",Q22)</f>
        <v/>
      </c>
      <c r="AX22" s="32" t="n"/>
      <c r="AY22" s="29" t="n"/>
      <c r="AZ22" s="31">
        <f>IF(NOT(ISNUMBER(T22)),"",T22)</f>
        <v/>
      </c>
      <c r="BA22" s="32" t="n"/>
      <c r="BB22" s="29" t="n"/>
      <c r="BC22" s="31">
        <f>IF(NOT(ISNUMBER(W22)),"",W22)</f>
        <v/>
      </c>
      <c r="BD22" s="32" t="n"/>
      <c r="BE22" s="29" t="n"/>
      <c r="BF22" s="29" t="n"/>
      <c r="BG22" s="31">
        <f>IF(ISNUMBER(AW22),AW22,"")</f>
        <v/>
      </c>
      <c r="BH22" s="32" t="n"/>
      <c r="BI22" s="29" t="n"/>
      <c r="BJ22" s="29" t="n"/>
      <c r="BK22" s="29" t="n"/>
      <c r="BL22" s="29" t="n"/>
      <c r="BM22" s="31">
        <f>IF(OR(NOT(ISNUMBER(M22)),AND(WEEKDAY(M22,2)&lt;&gt;2,WEEKDAY(M22,2)&lt;&gt;4)),"",WORKDAY(M22,CABOffsetFromReleaseWD))</f>
        <v/>
      </c>
      <c r="BN22" s="29" t="n"/>
      <c r="BO22" s="31">
        <f>IF(NOT(ISNUMBER(BM22)),"",IF(WEEKDAY(BM22-CodeReviewCalendarDays,2)&gt;5,BM22-CodeReviewCalendarDays-(WEEKDAY(BM22-CodeReviewCalendarDays,2)-5),BM22-CodeReviewCalendarDays))</f>
        <v/>
      </c>
      <c r="BP22" s="29" t="n"/>
      <c r="BQ22" s="31">
        <f>IF(NOT(ISNUMBER(BO22)),"",IF(WEEKDAY(BO22-CodeReviewInviteCalendarDays,2)&gt;5,BO22-CodeReviewInviteCalendarDays-(WEEKDAY(BO22-CodeReviewInviteCalendarDays,2)-5),BO22-CodeReviewInviteCalendarDays))</f>
        <v/>
      </c>
      <c r="BR22" s="29" t="n"/>
      <c r="BS22" s="29" t="n"/>
      <c r="BT22" s="30">
        <f>IF(A22="","",IF(IF(AND(ISNUMBER(J22),WEEKDAY(J22,2)&lt;&gt;2,WEEKDAY(J22,2)&lt;&gt;4)," | Release must be Tuesday or Thursday","")&amp;IF(AND(ISNUMBER(H22),WEEKDAY(H22,2)&lt;&gt;1)," | Sprint Start is not a Monday - dates still calculated from the date entered","")&amp;IF(AND(A22&lt;&gt;"",NOT(ISNUMBER(H22)),NOT(ISNUMBER(J22)))," | Enter Sprint Start or Release Date","")&amp;IF(AND(ISNUMBER(F22),F22&lt;TODAY(),D22&lt;&gt;"Completed")," | One or more raise-by dates are in the past and not completed","")&amp;IF(AND(ISNUMBER(K22),K22-TODAY()&lt;SprintWarningDays,K22&gt;=TODAY(),OR(D22="Yet to start",D22="Blocked"))," | Sprint starts in under 10 days - raise access requests now","")&amp;IF(AND(ISNUMBER(BQ22),BR22&lt;&gt;"Completed",BQ22-TODAY()&lt;CodeReviewInviteCalendarDays)," | Code Review invite should be sent at least 4 days before Code Review","")="","",MID(IF(AND(ISNUMBER(J22),WEEKDAY(J22,2)&lt;&gt;2,WEEKDAY(J22,2)&lt;&gt;4)," | Release must be Tuesday or Thursday","")&amp;IF(AND(ISNUMBER(H22),WEEKDAY(H22,2)&lt;&gt;1)," | Sprint Start is not a Monday - dates still calculated from the date entered","")&amp;IF(AND(A22&lt;&gt;"",NOT(ISNUMBER(H22)),NOT(ISNUMBER(J22)))," | Enter Sprint Start or Release Date","")&amp;IF(AND(ISNUMBER(F22),F22&lt;TODAY(),D22&lt;&gt;"Completed")," | One or more raise-by dates are in the past and not completed","")&amp;IF(AND(ISNUMBER(K22),K22-TODAY()&lt;SprintWarningDays,K22&gt;=TODAY(),OR(D22="Yet to start",D22="Blocked"))," | Sprint starts in under 10 days - raise access requests now","")&amp;IF(AND(ISNUMBER(BQ22),BR22&lt;&gt;"Completed",BQ22-TODAY()&lt;CodeReviewInviteCalendarDays)," | Code Review invite should be sent at least 4 days before Code Review",""),4,500)))</f>
        <v/>
      </c>
      <c r="BU22">
        <f>IF(AND(ISNUMBER(Q22),S22&lt;&gt;"Completed"),Q22,"")</f>
        <v/>
      </c>
      <c r="BV22">
        <f>IF(AND(ISNUMBER(T22),V22&lt;&gt;"Completed"),T22,"")</f>
        <v/>
      </c>
      <c r="BW22">
        <f>IF(AND(ISNUMBER(W22),Y22&lt;&gt;"Completed"),W22,"")</f>
        <v/>
      </c>
      <c r="BX22">
        <f>IF(AND(ISNUMBER(AA22),AC22&lt;&gt;"Completed"),AA22,"")</f>
        <v/>
      </c>
      <c r="BY22">
        <f>IF(AND(ISNUMBER(AG22),AI22&lt;&gt;"Completed"),AG22,"")</f>
        <v/>
      </c>
      <c r="BZ22">
        <f>IF(AND(ISNUMBER(AJ22),AL22&lt;&gt;"Completed"),AJ22,"")</f>
        <v/>
      </c>
      <c r="CA22">
        <f>IF(AND(ISNUMBER(AM22),AO22&lt;&gt;"Completed"),AM22,"")</f>
        <v/>
      </c>
      <c r="CB22">
        <f>IF(AND(ISNUMBER(AQ22),AS22&lt;&gt;"Completed"),AQ22,"")</f>
        <v/>
      </c>
      <c r="CC22">
        <f>IF(AND(ISNUMBER(AW22),AY22&lt;&gt;"Completed"),AW22,"")</f>
        <v/>
      </c>
      <c r="CD22">
        <f>IF(AND(ISNUMBER(AZ22),BB22&lt;&gt;"Completed"),AZ22,"")</f>
        <v/>
      </c>
      <c r="CE22">
        <f>IF(AND(ISNUMBER(BC22),BE22&lt;&gt;"Completed"),BC22,"")</f>
        <v/>
      </c>
      <c r="CF22">
        <f>IF(AND(ISNUMBER(BG22),BI22&lt;&gt;"Completed"),BG22,"")</f>
        <v/>
      </c>
      <c r="CG22">
        <f>IF(AND(ISNUMBER(O22),P22&lt;&gt;"Completed"),O22,"")</f>
        <v/>
      </c>
      <c r="CH22">
        <f>IF(AND(ISNUMBER(BQ22),BR22&lt;&gt;"Completed"),BQ22,"")</f>
        <v/>
      </c>
      <c r="CI22">
        <f>IF(AND(ISNUMBER(BO22),BP22&lt;&gt;"Completed"),BO22,"")</f>
        <v/>
      </c>
      <c r="CJ22">
        <f>IF(AND(ISNUMBER(BM22),BN22&lt;&gt;"Completed"),BM22,"")</f>
        <v/>
      </c>
      <c r="CK22">
        <f>IF(OR(A22="",D22="Completed"),"",IF(N(G22)&gt;0,1/(N(G22)+ROW()/100000),IF(ISNUMBER(F22),1000+F22+ROW()/100000,TODAY()+400+ROW()/100000)))</f>
        <v/>
      </c>
    </row>
    <row r="23" ht="16" customHeight="1" s="39">
      <c r="A23" s="29" t="inlineStr">
        <is>
          <t>PO80</t>
        </is>
      </c>
      <c r="B23" s="29" t="inlineStr">
        <is>
          <t>Sharath &lt;Skotha1@randomtrees.com&gt;</t>
        </is>
      </c>
      <c r="C23" s="29" t="inlineStr">
        <is>
          <t>Sprint 18</t>
        </is>
      </c>
      <c r="D23" s="30">
        <f>IF(A23="","",IF(((S23="Blocked")+(V23="Blocked")+(Y23="Blocked")+(AC23="Blocked")+(AI23="Blocked")+(AL23="Blocked")+(AO23="Blocked")+(AS23="Blocked")+(AY23="Blocked")+(BB23="Blocked")+(BE23="Blocked")+(BI23="Blocked")+(P23="Blocked")+(BN23="Blocked")+(BP23="Blocked")+(BR23="Blocked")+(BS23="Blocked"))&gt;0,"Blocked",IF((ISNUMBER(Q23)+ISNUMBER(T23)+ISNUMBER(W23)+ISNUMBER(AA23)+ISNUMBER(AG23)+ISNUMBER(AJ23)+ISNUMBER(AM23)+ISNUMBER(AQ23)+ISNUMBER(AW23)+ISNUMBER(AZ23)+ISNUMBER(BC23)+ISNUMBER(BG23)+ISNUMBER(O23)+ISNUMBER(BM23)+ISNUMBER(BO23)+ISNUMBER(BQ23))=0,"Yet to start",IF(AND(OR(NOT(ISNUMBER(Q23)),S23="Completed"),OR(NOT(ISNUMBER(T23)),V23="Completed"),OR(NOT(ISNUMBER(W23)),Y23="Completed"),OR(NOT(ISNUMBER(AA23)),AC23="Completed"),OR(NOT(ISNUMBER(AG23)),AI23="Completed"),OR(NOT(ISNUMBER(AJ23)),AL23="Completed"),OR(NOT(ISNUMBER(AM23)),AO23="Completed"),OR(NOT(ISNUMBER(AQ23)),AS23="Completed"),OR(NOT(ISNUMBER(AW23)),AY23="Completed"),OR(NOT(ISNUMBER(AZ23)),BB23="Completed"),OR(NOT(ISNUMBER(BC23)),BE23="Completed"),OR(NOT(ISNUMBER(BG23)),BI23="Completed"),OR(NOT(ISNUMBER(O23)),P23="Completed"),OR(NOT(ISNUMBER(BM23)),BN23="Completed"),OR(NOT(ISNUMBER(BO23)),BP23="Completed"),OR(NOT(ISNUMBER(BQ23)),BR23="Completed"),BS23="Completed"),"Completed",IF(((S23="In Progress")+(V23="In Progress")+(Y23="In Progress")+(AC23="In Progress")+(AI23="In Progress")+(AL23="In Progress")+(AO23="In Progress")+(AS23="In Progress")+(AY23="In Progress")+(BB23="In Progress")+(BE23="In Progress")+(BI23="In Progress")+(P23="In Progress")+(BN23="In Progress")+(BP23="In Progress")+(BR23="In Progress")+(BS23="In Progress"))&gt;0,"In Progress","Yet to start")))))</f>
        <v/>
      </c>
      <c r="E23" s="30">
        <f>IF(A23="","",IF(F23="","All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Review","CAB"},MATCH(F23,BU23:CJ23,0))))</f>
        <v/>
      </c>
      <c r="F23" s="31">
        <f>IF(A23="","",IF(COUNT(BU23:CJ23)=0,"",MIN(BU23:CJ23)))</f>
        <v/>
      </c>
      <c r="G23" s="30">
        <f>IF(A23="","",MAX(0,IF(AND(ISNUMBER(Q23),S23&lt;&gt;"Completed",Q23&lt;TODAY()),TODAY()-Q23,0),IF(AND(ISNUMBER(T23),V23&lt;&gt;"Completed",T23&lt;TODAY()),TODAY()-T23,0),IF(AND(ISNUMBER(W23),Y23&lt;&gt;"Completed",W23&lt;TODAY()),TODAY()-W23,0),IF(AND(ISNUMBER(AA23),AC23&lt;&gt;"Completed",AA23&lt;TODAY()),TODAY()-AA23,0),IF(AND(ISNUMBER(AG23),AI23&lt;&gt;"Completed",AG23&lt;TODAY()),TODAY()-AG23,0),IF(AND(ISNUMBER(AJ23),AL23&lt;&gt;"Completed",AJ23&lt;TODAY()),TODAY()-AJ23,0),IF(AND(ISNUMBER(AM23),AO23&lt;&gt;"Completed",AM23&lt;TODAY()),TODAY()-AM23,0),IF(AND(ISNUMBER(AQ23),AS23&lt;&gt;"Completed",AQ23&lt;TODAY()),TODAY()-AQ23,0),IF(AND(ISNUMBER(AW23),AY23&lt;&gt;"Completed",AW23&lt;TODAY()),TODAY()-AW23,0),IF(AND(ISNUMBER(AZ23),BB23&lt;&gt;"Completed",AZ23&lt;TODAY()),TODAY()-AZ23,0),IF(AND(ISNUMBER(BC23),BE23&lt;&gt;"Completed",BC23&lt;TODAY()),TODAY()-BC23,0),IF(AND(ISNUMBER(BG23),BI23&lt;&gt;"Completed",BG23&lt;TODAY()),TODAY()-BG23,0),IF(AND(ISNUMBER(O23),P23&lt;&gt;"Completed",O23&lt;TODAY()),TODAY()-O23,0),IF(AND(ISNUMBER(BQ23),BR23&lt;&gt;"Completed",BQ23&lt;TODAY()),TODAY()-BQ23,0),IF(AND(ISNUMBER(BO23),BP23&lt;&gt;"Completed",BO23&lt;TODAY()),TODAY()-BO23,0),IF(AND(ISNUMBER(BM23),BN23&lt;&gt;"Completed",BM23&lt;TODAY()),TODAY()-BM23,0)))</f>
        <v/>
      </c>
      <c r="H23" s="32" t="n">
        <v>46246</v>
      </c>
      <c r="I23" s="32" t="n">
        <v>46259</v>
      </c>
      <c r="J23" s="32" t="n"/>
      <c r="K23" s="31">
        <f>IF(ISNUMBER(H23),H23,IF(ISNUMBER(M23),M23-WEEKDAY(M23,2)+1-7,""))</f>
        <v/>
      </c>
      <c r="L23" s="31">
        <f>IF(ISNUMBER(I23),I23,IF(ISNUMBER(H23),WORKDAY(H23,SprintWorkingDays-1),IF(ISNUMBER(K23),WORKDAY(K23,SprintWorkingDays-1),"")))</f>
        <v/>
      </c>
      <c r="M23" s="31">
        <f>IF(ISNUMBER(J23),J23,IF(ISNUMBER(I23),I23-IF(OR(WEEKDAY(I23,2)=2,WEEKDAY(I23,2)=4),0,IF(WEEKDAY(I23,2)=3,1,IF(WEEKDAY(I23,2)=1,4,WEEKDAY(I23,2)-4))),IF(ISNUMBER(H23),WORKDAY(H23,SprintWorkingDays-1)-IF(OR(WEEKDAY(WORKDAY(H23,SprintWorkingDays-1),2)=2,WEEKDAY(WORKDAY(H23,SprintWorkingDays-1),2)=4),0,IF(WEEKDAY(WORKDAY(H23,SprintWorkingDays-1),2)=3,1,IF(WEEKDAY(WORKDAY(H23,SprintWorkingDays-1),2)=1,4,WEEKDAY(WORKDAY(H23,SprintWorkingDays-1),2)-4))),"")))</f>
        <v/>
      </c>
      <c r="N23" s="31">
        <f>IF(NOT(ISNUMBER(K23)),"",WORKDAY(K23,ReadyOffsetWD))</f>
        <v/>
      </c>
      <c r="O23" s="31">
        <f>IF(NOT(ISNUMBER(K23)),"",WORKDAY(K23,SprintReadinessOffsetWD))</f>
        <v/>
      </c>
      <c r="P23" s="29" t="n"/>
      <c r="Q23" s="31">
        <f>IF(NOT(ISNUMBER(T23)),"",WORKDAY(T23,RTSKOffsetFromOUR_WD))</f>
        <v/>
      </c>
      <c r="R23" s="32" t="n"/>
      <c r="S23" s="29" t="n"/>
      <c r="T23" s="31">
        <f>IF(NOT(ISNUMBER(W23)),"",WORKDAY(W23,OUROffsetFromSR_WD))</f>
        <v/>
      </c>
      <c r="U23" s="32" t="n"/>
      <c r="V23" s="29" t="n"/>
      <c r="W23" s="31">
        <f>IF(NOT(ISNUMBER(K23)),"",WORKDAY(K23,SROffsetFromStartWD))</f>
        <v/>
      </c>
      <c r="X23" s="32" t="n"/>
      <c r="Y23" s="29" t="n"/>
      <c r="Z23" s="29" t="n"/>
      <c r="AA23" s="31">
        <f>IF(ISNUMBER(Q23),Q23,"")</f>
        <v/>
      </c>
      <c r="AB23" s="32" t="n"/>
      <c r="AC23" s="29" t="n"/>
      <c r="AD23" s="29" t="n"/>
      <c r="AE23" s="29" t="n"/>
      <c r="AF23" s="29" t="n"/>
      <c r="AG23" s="31">
        <f>IF(NOT(ISNUMBER(Q23)),"",Q23)</f>
        <v/>
      </c>
      <c r="AH23" s="32" t="n"/>
      <c r="AI23" s="29" t="n"/>
      <c r="AJ23" s="31">
        <f>IF(NOT(ISNUMBER(T23)),"",T23)</f>
        <v/>
      </c>
      <c r="AK23" s="32" t="n"/>
      <c r="AL23" s="29" t="n"/>
      <c r="AM23" s="31">
        <f>IF(NOT(ISNUMBER(W23)),"",W23)</f>
        <v/>
      </c>
      <c r="AN23" s="32" t="n"/>
      <c r="AO23" s="29" t="n"/>
      <c r="AP23" s="29" t="n"/>
      <c r="AQ23" s="31">
        <f>IF(ISNUMBER(AG23),AG23,"")</f>
        <v/>
      </c>
      <c r="AR23" s="32" t="n"/>
      <c r="AS23" s="29" t="n"/>
      <c r="AT23" s="29" t="n"/>
      <c r="AU23" s="29" t="n"/>
      <c r="AV23" s="29" t="n"/>
      <c r="AW23" s="31">
        <f>IF(NOT(ISNUMBER(Q23)),"",Q23)</f>
        <v/>
      </c>
      <c r="AX23" s="32" t="n"/>
      <c r="AY23" s="29" t="n"/>
      <c r="AZ23" s="31">
        <f>IF(NOT(ISNUMBER(T23)),"",T23)</f>
        <v/>
      </c>
      <c r="BA23" s="32" t="n"/>
      <c r="BB23" s="29" t="n"/>
      <c r="BC23" s="31">
        <f>IF(NOT(ISNUMBER(W23)),"",W23)</f>
        <v/>
      </c>
      <c r="BD23" s="32" t="n"/>
      <c r="BE23" s="29" t="n"/>
      <c r="BF23" s="29" t="n"/>
      <c r="BG23" s="31">
        <f>IF(ISNUMBER(AW23),AW23,"")</f>
        <v/>
      </c>
      <c r="BH23" s="32" t="n"/>
      <c r="BI23" s="29" t="n"/>
      <c r="BJ23" s="29" t="n"/>
      <c r="BK23" s="29" t="n"/>
      <c r="BL23" s="29" t="n"/>
      <c r="BM23" s="31">
        <f>IF(OR(NOT(ISNUMBER(M23)),AND(WEEKDAY(M23,2)&lt;&gt;2,WEEKDAY(M23,2)&lt;&gt;4)),"",WORKDAY(M23,CABOffsetFromReleaseWD))</f>
        <v/>
      </c>
      <c r="BN23" s="29" t="n"/>
      <c r="BO23" s="31">
        <f>IF(NOT(ISNUMBER(BM23)),"",IF(WEEKDAY(BM23-CodeReviewCalendarDays,2)&gt;5,BM23-CodeReviewCalendarDays-(WEEKDAY(BM23-CodeReviewCalendarDays,2)-5),BM23-CodeReviewCalendarDays))</f>
        <v/>
      </c>
      <c r="BP23" s="29" t="n"/>
      <c r="BQ23" s="31">
        <f>IF(NOT(ISNUMBER(BO23)),"",IF(WEEKDAY(BO23-CodeReviewInviteCalendarDays,2)&gt;5,BO23-CodeReviewInviteCalendarDays-(WEEKDAY(BO23-CodeReviewInviteCalendarDays,2)-5),BO23-CodeReviewInviteCalendarDays))</f>
        <v/>
      </c>
      <c r="BR23" s="29" t="n"/>
      <c r="BS23" s="29" t="n"/>
      <c r="BT23" s="30">
        <f>IF(A23="","",IF(IF(AND(ISNUMBER(J23),WEEKDAY(J23,2)&lt;&gt;2,WEEKDAY(J23,2)&lt;&gt;4)," | Release must be Tuesday or Thursday","")&amp;IF(AND(ISNUMBER(H23),WEEKDAY(H23,2)&lt;&gt;1)," | Sprint Start is not a Monday - dates still calculated from the date entered","")&amp;IF(AND(A23&lt;&gt;"",NOT(ISNUMBER(H23)),NOT(ISNUMBER(J23)))," | Enter Sprint Start or Release Date","")&amp;IF(AND(ISNUMBER(F23),F23&lt;TODAY(),D23&lt;&gt;"Completed")," | One or more raise-by dates are in the past and not completed","")&amp;IF(AND(ISNUMBER(K23),K23-TODAY()&lt;SprintWarningDays,K23&gt;=TODAY(),OR(D23="Yet to start",D23="Blocked"))," | Sprint starts in under 10 days - raise access requests now","")&amp;IF(AND(ISNUMBER(BQ23),BR23&lt;&gt;"Completed",BQ23-TODAY()&lt;CodeReviewInviteCalendarDays)," | Code Review invite should be sent at least 4 days before Code Review","")="","",MID(IF(AND(ISNUMBER(J23),WEEKDAY(J23,2)&lt;&gt;2,WEEKDAY(J23,2)&lt;&gt;4)," | Release must be Tuesday or Thursday","")&amp;IF(AND(ISNUMBER(H23),WEEKDAY(H23,2)&lt;&gt;1)," | Sprint Start is not a Monday - dates still calculated from the date entered","")&amp;IF(AND(A23&lt;&gt;"",NOT(ISNUMBER(H23)),NOT(ISNUMBER(J23)))," | Enter Sprint Start or Release Date","")&amp;IF(AND(ISNUMBER(F23),F23&lt;TODAY(),D23&lt;&gt;"Completed")," | One or more raise-by dates are in the past and not completed","")&amp;IF(AND(ISNUMBER(K23),K23-TODAY()&lt;SprintWarningDays,K23&gt;=TODAY(),OR(D23="Yet to start",D23="Blocked"))," | Sprint starts in under 10 days - raise access requests now","")&amp;IF(AND(ISNUMBER(BQ23),BR23&lt;&gt;"Completed",BQ23-TODAY()&lt;CodeReviewInviteCalendarDays)," | Code Review invite should be sent at least 4 days before Code Review",""),4,500)))</f>
        <v/>
      </c>
      <c r="BU23">
        <f>IF(AND(ISNUMBER(Q23),S23&lt;&gt;"Completed"),Q23,"")</f>
        <v/>
      </c>
      <c r="BV23">
        <f>IF(AND(ISNUMBER(T23),V23&lt;&gt;"Completed"),T23,"")</f>
        <v/>
      </c>
      <c r="BW23">
        <f>IF(AND(ISNUMBER(W23),Y23&lt;&gt;"Completed"),W23,"")</f>
        <v/>
      </c>
      <c r="BX23">
        <f>IF(AND(ISNUMBER(AA23),AC23&lt;&gt;"Completed"),AA23,"")</f>
        <v/>
      </c>
      <c r="BY23">
        <f>IF(AND(ISNUMBER(AG23),AI23&lt;&gt;"Completed"),AG23,"")</f>
        <v/>
      </c>
      <c r="BZ23">
        <f>IF(AND(ISNUMBER(AJ23),AL23&lt;&gt;"Completed"),AJ23,"")</f>
        <v/>
      </c>
      <c r="CA23">
        <f>IF(AND(ISNUMBER(AM23),AO23&lt;&gt;"Completed"),AM23,"")</f>
        <v/>
      </c>
      <c r="CB23">
        <f>IF(AND(ISNUMBER(AQ23),AS23&lt;&gt;"Completed"),AQ23,"")</f>
        <v/>
      </c>
      <c r="CC23">
        <f>IF(AND(ISNUMBER(AW23),AY23&lt;&gt;"Completed"),AW23,"")</f>
        <v/>
      </c>
      <c r="CD23">
        <f>IF(AND(ISNUMBER(AZ23),BB23&lt;&gt;"Completed"),AZ23,"")</f>
        <v/>
      </c>
      <c r="CE23">
        <f>IF(AND(ISNUMBER(BC23),BE23&lt;&gt;"Completed"),BC23,"")</f>
        <v/>
      </c>
      <c r="CF23">
        <f>IF(AND(ISNUMBER(BG23),BI23&lt;&gt;"Completed"),BG23,"")</f>
        <v/>
      </c>
      <c r="CG23">
        <f>IF(AND(ISNUMBER(O23),P23&lt;&gt;"Completed"),O23,"")</f>
        <v/>
      </c>
      <c r="CH23">
        <f>IF(AND(ISNUMBER(BQ23),BR23&lt;&gt;"Completed"),BQ23,"")</f>
        <v/>
      </c>
      <c r="CI23">
        <f>IF(AND(ISNUMBER(BO23),BP23&lt;&gt;"Completed"),BO23,"")</f>
        <v/>
      </c>
      <c r="CJ23">
        <f>IF(AND(ISNUMBER(BM23),BN23&lt;&gt;"Completed"),BM23,"")</f>
        <v/>
      </c>
      <c r="CK23">
        <f>IF(OR(A23="",D23="Completed"),"",IF(N(G23)&gt;0,1/(N(G23)+ROW()/100000),IF(ISNUMBER(F23),1000+F23+ROW()/100000,TODAY()+400+ROW()/100000)))</f>
        <v/>
      </c>
    </row>
    <row r="24" ht="16" customHeight="1" s="39">
      <c r="A24" s="29" t="inlineStr">
        <is>
          <t>PSTREE_EPM</t>
        </is>
      </c>
      <c r="B24" s="29" t="inlineStr">
        <is>
          <t>Santhosh &lt;skoyalkar@randomtrees.com&gt;</t>
        </is>
      </c>
      <c r="C24" s="29" t="inlineStr">
        <is>
          <t>Sprint 18</t>
        </is>
      </c>
      <c r="D24" s="30">
        <f>IF(A24="","",IF(((S24="Blocked")+(V24="Blocked")+(Y24="Blocked")+(AC24="Blocked")+(AI24="Blocked")+(AL24="Blocked")+(AO24="Blocked")+(AS24="Blocked")+(AY24="Blocked")+(BB24="Blocked")+(BE24="Blocked")+(BI24="Blocked")+(P24="Blocked")+(BN24="Blocked")+(BP24="Blocked")+(BR24="Blocked")+(BS24="Blocked"))&gt;0,"Blocked",IF((ISNUMBER(Q24)+ISNUMBER(T24)+ISNUMBER(W24)+ISNUMBER(AA24)+ISNUMBER(AG24)+ISNUMBER(AJ24)+ISNUMBER(AM24)+ISNUMBER(AQ24)+ISNUMBER(AW24)+ISNUMBER(AZ24)+ISNUMBER(BC24)+ISNUMBER(BG24)+ISNUMBER(O24)+ISNUMBER(BM24)+ISNUMBER(BO24)+ISNUMBER(BQ24))=0,"Yet to start",IF(AND(OR(NOT(ISNUMBER(Q24)),S24="Completed"),OR(NOT(ISNUMBER(T24)),V24="Completed"),OR(NOT(ISNUMBER(W24)),Y24="Completed"),OR(NOT(ISNUMBER(AA24)),AC24="Completed"),OR(NOT(ISNUMBER(AG24)),AI24="Completed"),OR(NOT(ISNUMBER(AJ24)),AL24="Completed"),OR(NOT(ISNUMBER(AM24)),AO24="Completed"),OR(NOT(ISNUMBER(AQ24)),AS24="Completed"),OR(NOT(ISNUMBER(AW24)),AY24="Completed"),OR(NOT(ISNUMBER(AZ24)),BB24="Completed"),OR(NOT(ISNUMBER(BC24)),BE24="Completed"),OR(NOT(ISNUMBER(BG24)),BI24="Completed"),OR(NOT(ISNUMBER(O24)),P24="Completed"),OR(NOT(ISNUMBER(BM24)),BN24="Completed"),OR(NOT(ISNUMBER(BO24)),BP24="Completed"),OR(NOT(ISNUMBER(BQ24)),BR24="Completed"),BS24="Completed"),"Completed",IF(((S24="In Progress")+(V24="In Progress")+(Y24="In Progress")+(AC24="In Progress")+(AI24="In Progress")+(AL24="In Progress")+(AO24="In Progress")+(AS24="In Progress")+(AY24="In Progress")+(BB24="In Progress")+(BE24="In Progress")+(BI24="In Progress")+(P24="In Progress")+(BN24="In Progress")+(BP24="In Progress")+(BR24="In Progress")+(BS24="In Progress"))&gt;0,"In Progress","Yet to start")))))</f>
        <v/>
      </c>
      <c r="E24" s="30">
        <f>IF(A24="","",IF(F24="","All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Review","CAB"},MATCH(F24,BU24:CJ24,0))))</f>
        <v/>
      </c>
      <c r="F24" s="31">
        <f>IF(A24="","",IF(COUNT(BU24:CJ24)=0,"",MIN(BU24:CJ24)))</f>
        <v/>
      </c>
      <c r="G24" s="30">
        <f>IF(A24="","",MAX(0,IF(AND(ISNUMBER(Q24),S24&lt;&gt;"Completed",Q24&lt;TODAY()),TODAY()-Q24,0),IF(AND(ISNUMBER(T24),V24&lt;&gt;"Completed",T24&lt;TODAY()),TODAY()-T24,0),IF(AND(ISNUMBER(W24),Y24&lt;&gt;"Completed",W24&lt;TODAY()),TODAY()-W24,0),IF(AND(ISNUMBER(AA24),AC24&lt;&gt;"Completed",AA24&lt;TODAY()),TODAY()-AA24,0),IF(AND(ISNUMBER(AG24),AI24&lt;&gt;"Completed",AG24&lt;TODAY()),TODAY()-AG24,0),IF(AND(ISNUMBER(AJ24),AL24&lt;&gt;"Completed",AJ24&lt;TODAY()),TODAY()-AJ24,0),IF(AND(ISNUMBER(AM24),AO24&lt;&gt;"Completed",AM24&lt;TODAY()),TODAY()-AM24,0),IF(AND(ISNUMBER(AQ24),AS24&lt;&gt;"Completed",AQ24&lt;TODAY()),TODAY()-AQ24,0),IF(AND(ISNUMBER(AW24),AY24&lt;&gt;"Completed",AW24&lt;TODAY()),TODAY()-AW24,0),IF(AND(ISNUMBER(AZ24),BB24&lt;&gt;"Completed",AZ24&lt;TODAY()),TODAY()-AZ24,0),IF(AND(ISNUMBER(BC24),BE24&lt;&gt;"Completed",BC24&lt;TODAY()),TODAY()-BC24,0),IF(AND(ISNUMBER(BG24),BI24&lt;&gt;"Completed",BG24&lt;TODAY()),TODAY()-BG24,0),IF(AND(ISNUMBER(O24),P24&lt;&gt;"Completed",O24&lt;TODAY()),TODAY()-O24,0),IF(AND(ISNUMBER(BQ24),BR24&lt;&gt;"Completed",BQ24&lt;TODAY()),TODAY()-BQ24,0),IF(AND(ISNUMBER(BO24),BP24&lt;&gt;"Completed",BO24&lt;TODAY()),TODAY()-BO24,0),IF(AND(ISNUMBER(BM24),BN24&lt;&gt;"Completed",BM24&lt;TODAY()),TODAY()-BM24,0)))</f>
        <v/>
      </c>
      <c r="H24" s="32" t="n">
        <v>46246</v>
      </c>
      <c r="I24" s="32" t="n">
        <v>46259</v>
      </c>
      <c r="J24" s="32" t="n"/>
      <c r="K24" s="31">
        <f>IF(ISNUMBER(H24),H24,IF(ISNUMBER(M24),M24-WEEKDAY(M24,2)+1-7,""))</f>
        <v/>
      </c>
      <c r="L24" s="31">
        <f>IF(ISNUMBER(I24),I24,IF(ISNUMBER(H24),WORKDAY(H24,SprintWorkingDays-1),IF(ISNUMBER(K24),WORKDAY(K24,SprintWorkingDays-1),"")))</f>
        <v/>
      </c>
      <c r="M24" s="31">
        <f>IF(ISNUMBER(J24),J24,IF(ISNUMBER(I24),I24-IF(OR(WEEKDAY(I24,2)=2,WEEKDAY(I24,2)=4),0,IF(WEEKDAY(I24,2)=3,1,IF(WEEKDAY(I24,2)=1,4,WEEKDAY(I24,2)-4))),IF(ISNUMBER(H24),WORKDAY(H24,SprintWorkingDays-1)-IF(OR(WEEKDAY(WORKDAY(H24,SprintWorkingDays-1),2)=2,WEEKDAY(WORKDAY(H24,SprintWorkingDays-1),2)=4),0,IF(WEEKDAY(WORKDAY(H24,SprintWorkingDays-1),2)=3,1,IF(WEEKDAY(WORKDAY(H24,SprintWorkingDays-1),2)=1,4,WEEKDAY(WORKDAY(H24,SprintWorkingDays-1),2)-4))),"")))</f>
        <v/>
      </c>
      <c r="N24" s="31">
        <f>IF(NOT(ISNUMBER(K24)),"",WORKDAY(K24,ReadyOffsetWD))</f>
        <v/>
      </c>
      <c r="O24" s="31">
        <f>IF(NOT(ISNUMBER(K24)),"",WORKDAY(K24,SprintReadinessOffsetWD))</f>
        <v/>
      </c>
      <c r="P24" s="29" t="n"/>
      <c r="Q24" s="31">
        <f>IF(NOT(ISNUMBER(T24)),"",WORKDAY(T24,RTSKOffsetFromOUR_WD))</f>
        <v/>
      </c>
      <c r="R24" s="32" t="n"/>
      <c r="S24" s="29" t="n"/>
      <c r="T24" s="31">
        <f>IF(NOT(ISNUMBER(W24)),"",WORKDAY(W24,OUROffsetFromSR_WD))</f>
        <v/>
      </c>
      <c r="U24" s="32" t="n"/>
      <c r="V24" s="29" t="n"/>
      <c r="W24" s="31">
        <f>IF(NOT(ISNUMBER(K24)),"",WORKDAY(K24,SROffsetFromStartWD))</f>
        <v/>
      </c>
      <c r="X24" s="32" t="n"/>
      <c r="Y24" s="29" t="n"/>
      <c r="Z24" s="29" t="n"/>
      <c r="AA24" s="31">
        <f>IF(ISNUMBER(Q24),Q24,"")</f>
        <v/>
      </c>
      <c r="AB24" s="32" t="n"/>
      <c r="AC24" s="29" t="n"/>
      <c r="AD24" s="29" t="n"/>
      <c r="AE24" s="29" t="n"/>
      <c r="AF24" s="29" t="n"/>
      <c r="AG24" s="31">
        <f>IF(NOT(ISNUMBER(Q24)),"",Q24)</f>
        <v/>
      </c>
      <c r="AH24" s="32" t="n"/>
      <c r="AI24" s="29" t="n"/>
      <c r="AJ24" s="31">
        <f>IF(NOT(ISNUMBER(T24)),"",T24)</f>
        <v/>
      </c>
      <c r="AK24" s="32" t="n"/>
      <c r="AL24" s="29" t="n"/>
      <c r="AM24" s="31">
        <f>IF(NOT(ISNUMBER(W24)),"",W24)</f>
        <v/>
      </c>
      <c r="AN24" s="32" t="n"/>
      <c r="AO24" s="29" t="n"/>
      <c r="AP24" s="29" t="n"/>
      <c r="AQ24" s="31">
        <f>IF(ISNUMBER(AG24),AG24,"")</f>
        <v/>
      </c>
      <c r="AR24" s="32" t="n"/>
      <c r="AS24" s="29" t="n"/>
      <c r="AT24" s="29" t="n"/>
      <c r="AU24" s="29" t="n"/>
      <c r="AV24" s="29" t="n"/>
      <c r="AW24" s="31">
        <f>IF(NOT(ISNUMBER(Q24)),"",Q24)</f>
        <v/>
      </c>
      <c r="AX24" s="32" t="n"/>
      <c r="AY24" s="29" t="n"/>
      <c r="AZ24" s="31">
        <f>IF(NOT(ISNUMBER(T24)),"",T24)</f>
        <v/>
      </c>
      <c r="BA24" s="32" t="n"/>
      <c r="BB24" s="29" t="n"/>
      <c r="BC24" s="31">
        <f>IF(NOT(ISNUMBER(W24)),"",W24)</f>
        <v/>
      </c>
      <c r="BD24" s="32" t="n"/>
      <c r="BE24" s="29" t="n"/>
      <c r="BF24" s="29" t="n"/>
      <c r="BG24" s="31">
        <f>IF(ISNUMBER(AW24),AW24,"")</f>
        <v/>
      </c>
      <c r="BH24" s="32" t="n"/>
      <c r="BI24" s="29" t="n"/>
      <c r="BJ24" s="29" t="n"/>
      <c r="BK24" s="29" t="n"/>
      <c r="BL24" s="29" t="n"/>
      <c r="BM24" s="31">
        <f>IF(OR(NOT(ISNUMBER(M24)),AND(WEEKDAY(M24,2)&lt;&gt;2,WEEKDAY(M24,2)&lt;&gt;4)),"",WORKDAY(M24,CABOffsetFromReleaseWD))</f>
        <v/>
      </c>
      <c r="BN24" s="29" t="n"/>
      <c r="BO24" s="31">
        <f>IF(NOT(ISNUMBER(BM24)),"",IF(WEEKDAY(BM24-CodeReviewCalendarDays,2)&gt;5,BM24-CodeReviewCalendarDays-(WEEKDAY(BM24-CodeReviewCalendarDays,2)-5),BM24-CodeReviewCalendarDays))</f>
        <v/>
      </c>
      <c r="BP24" s="29" t="n"/>
      <c r="BQ24" s="31">
        <f>IF(NOT(ISNUMBER(BO24)),"",IF(WEEKDAY(BO24-CodeReviewInviteCalendarDays,2)&gt;5,BO24-CodeReviewInviteCalendarDays-(WEEKDAY(BO24-CodeReviewInviteCalendarDays,2)-5),BO24-CodeReviewInviteCalendarDays))</f>
        <v/>
      </c>
      <c r="BR24" s="29" t="n"/>
      <c r="BS24" s="29" t="n"/>
      <c r="BT24" s="30">
        <f>IF(A24="","",IF(IF(AND(ISNUMBER(J24),WEEKDAY(J24,2)&lt;&gt;2,WEEKDAY(J24,2)&lt;&gt;4)," | Release must be Tuesday or Thursday","")&amp;IF(AND(ISNUMBER(H24),WEEKDAY(H24,2)&lt;&gt;1)," | Sprint Start is not a Monday - dates still calculated from the date entered","")&amp;IF(AND(A24&lt;&gt;"",NOT(ISNUMBER(H24)),NOT(ISNUMBER(J24)))," | Enter Sprint Start or Release Date","")&amp;IF(AND(ISNUMBER(F24),F24&lt;TODAY(),D24&lt;&gt;"Completed")," | One or more raise-by dates are in the past and not completed","")&amp;IF(AND(ISNUMBER(K24),K24-TODAY()&lt;SprintWarningDays,K24&gt;=TODAY(),OR(D24="Yet to start",D24="Blocked"))," | Sprint starts in under 10 days - raise access requests now","")&amp;IF(AND(ISNUMBER(BQ24),BR24&lt;&gt;"Completed",BQ24-TODAY()&lt;CodeReviewInviteCalendarDays)," | Code Review invite should be sent at least 4 days before Code Review","")="","",MID(IF(AND(ISNUMBER(J24),WEEKDAY(J24,2)&lt;&gt;2,WEEKDAY(J24,2)&lt;&gt;4)," | Release must be Tuesday or Thursday","")&amp;IF(AND(ISNUMBER(H24),WEEKDAY(H24,2)&lt;&gt;1)," | Sprint Start is not a Monday - dates still calculated from the date entered","")&amp;IF(AND(A24&lt;&gt;"",NOT(ISNUMBER(H24)),NOT(ISNUMBER(J24)))," | Enter Sprint Start or Release Date","")&amp;IF(AND(ISNUMBER(F24),F24&lt;TODAY(),D24&lt;&gt;"Completed")," | One or more raise-by dates are in the past and not completed","")&amp;IF(AND(ISNUMBER(K24),K24-TODAY()&lt;SprintWarningDays,K24&gt;=TODAY(),OR(D24="Yet to start",D24="Blocked"))," | Sprint starts in under 10 days - raise access requests now","")&amp;IF(AND(ISNUMBER(BQ24),BR24&lt;&gt;"Completed",BQ24-TODAY()&lt;CodeReviewInviteCalendarDays)," | Code Review invite should be sent at least 4 days before Code Review",""),4,500)))</f>
        <v/>
      </c>
      <c r="BU24">
        <f>IF(AND(ISNUMBER(Q24),S24&lt;&gt;"Completed"),Q24,"")</f>
        <v/>
      </c>
      <c r="BV24">
        <f>IF(AND(ISNUMBER(T24),V24&lt;&gt;"Completed"),T24,"")</f>
        <v/>
      </c>
      <c r="BW24">
        <f>IF(AND(ISNUMBER(W24),Y24&lt;&gt;"Completed"),W24,"")</f>
        <v/>
      </c>
      <c r="BX24">
        <f>IF(AND(ISNUMBER(AA24),AC24&lt;&gt;"Completed"),AA24,"")</f>
        <v/>
      </c>
      <c r="BY24">
        <f>IF(AND(ISNUMBER(AG24),AI24&lt;&gt;"Completed"),AG24,"")</f>
        <v/>
      </c>
      <c r="BZ24">
        <f>IF(AND(ISNUMBER(AJ24),AL24&lt;&gt;"Completed"),AJ24,"")</f>
        <v/>
      </c>
      <c r="CA24">
        <f>IF(AND(ISNUMBER(AM24),AO24&lt;&gt;"Completed"),AM24,"")</f>
        <v/>
      </c>
      <c r="CB24">
        <f>IF(AND(ISNUMBER(AQ24),AS24&lt;&gt;"Completed"),AQ24,"")</f>
        <v/>
      </c>
      <c r="CC24">
        <f>IF(AND(ISNUMBER(AW24),AY24&lt;&gt;"Completed"),AW24,"")</f>
        <v/>
      </c>
      <c r="CD24">
        <f>IF(AND(ISNUMBER(AZ24),BB24&lt;&gt;"Completed"),AZ24,"")</f>
        <v/>
      </c>
      <c r="CE24">
        <f>IF(AND(ISNUMBER(BC24),BE24&lt;&gt;"Completed"),BC24,"")</f>
        <v/>
      </c>
      <c r="CF24">
        <f>IF(AND(ISNUMBER(BG24),BI24&lt;&gt;"Completed"),BG24,"")</f>
        <v/>
      </c>
      <c r="CG24">
        <f>IF(AND(ISNUMBER(O24),P24&lt;&gt;"Completed"),O24,"")</f>
        <v/>
      </c>
      <c r="CH24">
        <f>IF(AND(ISNUMBER(BQ24),BR24&lt;&gt;"Completed"),BQ24,"")</f>
        <v/>
      </c>
      <c r="CI24">
        <f>IF(AND(ISNUMBER(BO24),BP24&lt;&gt;"Completed"),BO24,"")</f>
        <v/>
      </c>
      <c r="CJ24">
        <f>IF(AND(ISNUMBER(BM24),BN24&lt;&gt;"Completed"),BM24,"")</f>
        <v/>
      </c>
      <c r="CK24">
        <f>IF(OR(A24="",D24="Completed"),"",IF(N(G24)&gt;0,1/(N(G24)+ROW()/100000),IF(ISNUMBER(F24),1000+F24+ROW()/100000,TODAY()+400+ROW()/100000)))</f>
        <v/>
      </c>
    </row>
    <row r="25" ht="16" customHeight="1" s="39">
      <c r="A25" s="29" t="inlineStr">
        <is>
          <t>RAS</t>
        </is>
      </c>
      <c r="B25" s="29" t="inlineStr">
        <is>
          <t>Sandeep &lt;sgodi@randomtrees.com&gt;</t>
        </is>
      </c>
      <c r="C25" s="29" t="inlineStr">
        <is>
          <t>Sprint 18</t>
        </is>
      </c>
      <c r="D25" s="30">
        <f>IF(A25="","",IF(((S25="Blocked")+(V25="Blocked")+(Y25="Blocked")+(AC25="Blocked")+(AI25="Blocked")+(AL25="Blocked")+(AO25="Blocked")+(AS25="Blocked")+(AY25="Blocked")+(BB25="Blocked")+(BE25="Blocked")+(BI25="Blocked")+(P25="Blocked")+(BN25="Blocked")+(BP25="Blocked")+(BR25="Blocked")+(BS25="Blocked"))&gt;0,"Blocked",IF((ISNUMBER(Q25)+ISNUMBER(T25)+ISNUMBER(W25)+ISNUMBER(AA25)+ISNUMBER(AG25)+ISNUMBER(AJ25)+ISNUMBER(AM25)+ISNUMBER(AQ25)+ISNUMBER(AW25)+ISNUMBER(AZ25)+ISNUMBER(BC25)+ISNUMBER(BG25)+ISNUMBER(O25)+ISNUMBER(BM25)+ISNUMBER(BO25)+ISNUMBER(BQ25))=0,"Yet to start",IF(AND(OR(NOT(ISNUMBER(Q25)),S25="Completed"),OR(NOT(ISNUMBER(T25)),V25="Completed"),OR(NOT(ISNUMBER(W25)),Y25="Completed"),OR(NOT(ISNUMBER(AA25)),AC25="Completed"),OR(NOT(ISNUMBER(AG25)),AI25="Completed"),OR(NOT(ISNUMBER(AJ25)),AL25="Completed"),OR(NOT(ISNUMBER(AM25)),AO25="Completed"),OR(NOT(ISNUMBER(AQ25)),AS25="Completed"),OR(NOT(ISNUMBER(AW25)),AY25="Completed"),OR(NOT(ISNUMBER(AZ25)),BB25="Completed"),OR(NOT(ISNUMBER(BC25)),BE25="Completed"),OR(NOT(ISNUMBER(BG25)),BI25="Completed"),OR(NOT(ISNUMBER(O25)),P25="Completed"),OR(NOT(ISNUMBER(BM25)),BN25="Completed"),OR(NOT(ISNUMBER(BO25)),BP25="Completed"),OR(NOT(ISNUMBER(BQ25)),BR25="Completed"),BS25="Completed"),"Completed",IF(((S25="In Progress")+(V25="In Progress")+(Y25="In Progress")+(AC25="In Progress")+(AI25="In Progress")+(AL25="In Progress")+(AO25="In Progress")+(AS25="In Progress")+(AY25="In Progress")+(BB25="In Progress")+(BE25="In Progress")+(BI25="In Progress")+(P25="In Progress")+(BN25="In Progress")+(BP25="In Progress")+(BR25="In Progress")+(BS25="In Progress"))&gt;0,"In Progress","Yet to start")))))</f>
        <v/>
      </c>
      <c r="E25" s="30">
        <f>IF(A25="","",IF(F25="","All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Review","CAB"},MATCH(F25,BU25:CJ25,0))))</f>
        <v/>
      </c>
      <c r="F25" s="31">
        <f>IF(A25="","",IF(COUNT(BU25:CJ25)=0,"",MIN(BU25:CJ25)))</f>
        <v/>
      </c>
      <c r="G25" s="30">
        <f>IF(A25="","",MAX(0,IF(AND(ISNUMBER(Q25),S25&lt;&gt;"Completed",Q25&lt;TODAY()),TODAY()-Q25,0),IF(AND(ISNUMBER(T25),V25&lt;&gt;"Completed",T25&lt;TODAY()),TODAY()-T25,0),IF(AND(ISNUMBER(W25),Y25&lt;&gt;"Completed",W25&lt;TODAY()),TODAY()-W25,0),IF(AND(ISNUMBER(AA25),AC25&lt;&gt;"Completed",AA25&lt;TODAY()),TODAY()-AA25,0),IF(AND(ISNUMBER(AG25),AI25&lt;&gt;"Completed",AG25&lt;TODAY()),TODAY()-AG25,0),IF(AND(ISNUMBER(AJ25),AL25&lt;&gt;"Completed",AJ25&lt;TODAY()),TODAY()-AJ25,0),IF(AND(ISNUMBER(AM25),AO25&lt;&gt;"Completed",AM25&lt;TODAY()),TODAY()-AM25,0),IF(AND(ISNUMBER(AQ25),AS25&lt;&gt;"Completed",AQ25&lt;TODAY()),TODAY()-AQ25,0),IF(AND(ISNUMBER(AW25),AY25&lt;&gt;"Completed",AW25&lt;TODAY()),TODAY()-AW25,0),IF(AND(ISNUMBER(AZ25),BB25&lt;&gt;"Completed",AZ25&lt;TODAY()),TODAY()-AZ25,0),IF(AND(ISNUMBER(BC25),BE25&lt;&gt;"Completed",BC25&lt;TODAY()),TODAY()-BC25,0),IF(AND(ISNUMBER(BG25),BI25&lt;&gt;"Completed",BG25&lt;TODAY()),TODAY()-BG25,0),IF(AND(ISNUMBER(O25),P25&lt;&gt;"Completed",O25&lt;TODAY()),TODAY()-O25,0),IF(AND(ISNUMBER(BQ25),BR25&lt;&gt;"Completed",BQ25&lt;TODAY()),TODAY()-BQ25,0),IF(AND(ISNUMBER(BO25),BP25&lt;&gt;"Completed",BO25&lt;TODAY()),TODAY()-BO25,0),IF(AND(ISNUMBER(BM25),BN25&lt;&gt;"Completed",BM25&lt;TODAY()),TODAY()-BM25,0)))</f>
        <v/>
      </c>
      <c r="H25" s="32" t="n">
        <v>46246</v>
      </c>
      <c r="I25" s="32" t="n">
        <v>46259</v>
      </c>
      <c r="J25" s="32" t="n"/>
      <c r="K25" s="31">
        <f>IF(ISNUMBER(H25),H25,IF(ISNUMBER(M25),M25-WEEKDAY(M25,2)+1-7,""))</f>
        <v/>
      </c>
      <c r="L25" s="31">
        <f>IF(ISNUMBER(I25),I25,IF(ISNUMBER(H25),WORKDAY(H25,SprintWorkingDays-1),IF(ISNUMBER(K25),WORKDAY(K25,SprintWorkingDays-1),"")))</f>
        <v/>
      </c>
      <c r="M25" s="31">
        <f>IF(ISNUMBER(J25),J25,IF(ISNUMBER(I25),I25-IF(OR(WEEKDAY(I25,2)=2,WEEKDAY(I25,2)=4),0,IF(WEEKDAY(I25,2)=3,1,IF(WEEKDAY(I25,2)=1,4,WEEKDAY(I25,2)-4))),IF(ISNUMBER(H25),WORKDAY(H25,SprintWorkingDays-1)-IF(OR(WEEKDAY(WORKDAY(H25,SprintWorkingDays-1),2)=2,WEEKDAY(WORKDAY(H25,SprintWorkingDays-1),2)=4),0,IF(WEEKDAY(WORKDAY(H25,SprintWorkingDays-1),2)=3,1,IF(WEEKDAY(WORKDAY(H25,SprintWorkingDays-1),2)=1,4,WEEKDAY(WORKDAY(H25,SprintWorkingDays-1),2)-4))),"")))</f>
        <v/>
      </c>
      <c r="N25" s="31">
        <f>IF(NOT(ISNUMBER(K25)),"",WORKDAY(K25,ReadyOffsetWD))</f>
        <v/>
      </c>
      <c r="O25" s="31">
        <f>IF(NOT(ISNUMBER(K25)),"",WORKDAY(K25,SprintReadinessOffsetWD))</f>
        <v/>
      </c>
      <c r="P25" s="29" t="n"/>
      <c r="Q25" s="31">
        <f>IF(NOT(ISNUMBER(T25)),"",WORKDAY(T25,RTSKOffsetFromOUR_WD))</f>
        <v/>
      </c>
      <c r="R25" s="32" t="n"/>
      <c r="S25" s="29" t="n"/>
      <c r="T25" s="31">
        <f>IF(NOT(ISNUMBER(W25)),"",WORKDAY(W25,OUROffsetFromSR_WD))</f>
        <v/>
      </c>
      <c r="U25" s="32" t="n"/>
      <c r="V25" s="29" t="n"/>
      <c r="W25" s="31">
        <f>IF(NOT(ISNUMBER(K25)),"",WORKDAY(K25,SROffsetFromStartWD))</f>
        <v/>
      </c>
      <c r="X25" s="32" t="n"/>
      <c r="Y25" s="29" t="n"/>
      <c r="Z25" s="29" t="n"/>
      <c r="AA25" s="31">
        <f>IF(ISNUMBER(Q25),Q25,"")</f>
        <v/>
      </c>
      <c r="AB25" s="32" t="n"/>
      <c r="AC25" s="29" t="n"/>
      <c r="AD25" s="29" t="n"/>
      <c r="AE25" s="29" t="n"/>
      <c r="AF25" s="29" t="n"/>
      <c r="AG25" s="31">
        <f>IF(NOT(ISNUMBER(Q25)),"",Q25)</f>
        <v/>
      </c>
      <c r="AH25" s="32" t="n"/>
      <c r="AI25" s="29" t="n"/>
      <c r="AJ25" s="31">
        <f>IF(NOT(ISNUMBER(T25)),"",T25)</f>
        <v/>
      </c>
      <c r="AK25" s="32" t="n"/>
      <c r="AL25" s="29" t="n"/>
      <c r="AM25" s="31">
        <f>IF(NOT(ISNUMBER(W25)),"",W25)</f>
        <v/>
      </c>
      <c r="AN25" s="32" t="n"/>
      <c r="AO25" s="29" t="n"/>
      <c r="AP25" s="29" t="n"/>
      <c r="AQ25" s="31">
        <f>IF(ISNUMBER(AG25),AG25,"")</f>
        <v/>
      </c>
      <c r="AR25" s="32" t="n"/>
      <c r="AS25" s="29" t="n"/>
      <c r="AT25" s="29" t="n"/>
      <c r="AU25" s="29" t="n"/>
      <c r="AV25" s="29" t="n"/>
      <c r="AW25" s="31">
        <f>IF(NOT(ISNUMBER(Q25)),"",Q25)</f>
        <v/>
      </c>
      <c r="AX25" s="32" t="n"/>
      <c r="AY25" s="29" t="n"/>
      <c r="AZ25" s="31">
        <f>IF(NOT(ISNUMBER(T25)),"",T25)</f>
        <v/>
      </c>
      <c r="BA25" s="32" t="n"/>
      <c r="BB25" s="29" t="n"/>
      <c r="BC25" s="31">
        <f>IF(NOT(ISNUMBER(W25)),"",W25)</f>
        <v/>
      </c>
      <c r="BD25" s="32" t="n"/>
      <c r="BE25" s="29" t="n"/>
      <c r="BF25" s="29" t="n"/>
      <c r="BG25" s="31">
        <f>IF(ISNUMBER(AW25),AW25,"")</f>
        <v/>
      </c>
      <c r="BH25" s="32" t="n"/>
      <c r="BI25" s="29" t="n"/>
      <c r="BJ25" s="29" t="n"/>
      <c r="BK25" s="29" t="n"/>
      <c r="BL25" s="29" t="n"/>
      <c r="BM25" s="31">
        <f>IF(OR(NOT(ISNUMBER(M25)),AND(WEEKDAY(M25,2)&lt;&gt;2,WEEKDAY(M25,2)&lt;&gt;4)),"",WORKDAY(M25,CABOffsetFromReleaseWD))</f>
        <v/>
      </c>
      <c r="BN25" s="29" t="n"/>
      <c r="BO25" s="31">
        <f>IF(NOT(ISNUMBER(BM25)),"",IF(WEEKDAY(BM25-CodeReviewCalendarDays,2)&gt;5,BM25-CodeReviewCalendarDays-(WEEKDAY(BM25-CodeReviewCalendarDays,2)-5),BM25-CodeReviewCalendarDays))</f>
        <v/>
      </c>
      <c r="BP25" s="29" t="n"/>
      <c r="BQ25" s="31">
        <f>IF(NOT(ISNUMBER(BO25)),"",IF(WEEKDAY(BO25-CodeReviewInviteCalendarDays,2)&gt;5,BO25-CodeReviewInviteCalendarDays-(WEEKDAY(BO25-CodeReviewInviteCalendarDays,2)-5),BO25-CodeReviewInviteCalendarDays))</f>
        <v/>
      </c>
      <c r="BR25" s="29" t="n"/>
      <c r="BS25" s="29" t="n"/>
      <c r="BT25" s="30">
        <f>IF(A25="","",IF(IF(AND(ISNUMBER(J25),WEEKDAY(J25,2)&lt;&gt;2,WEEKDAY(J25,2)&lt;&gt;4)," | Release must be Tuesday or Thursday","")&amp;IF(AND(ISNUMBER(H25),WEEKDAY(H25,2)&lt;&gt;1)," | Sprint Start is not a Monday - dates still calculated from the date entered","")&amp;IF(AND(A25&lt;&gt;"",NOT(ISNUMBER(H25)),NOT(ISNUMBER(J25)))," | Enter Sprint Start or Release Date","")&amp;IF(AND(ISNUMBER(F25),F25&lt;TODAY(),D25&lt;&gt;"Completed")," | One or more raise-by dates are in the past and not completed","")&amp;IF(AND(ISNUMBER(K25),K25-TODAY()&lt;SprintWarningDays,K25&gt;=TODAY(),OR(D25="Yet to start",D25="Blocked"))," | Sprint starts in under 10 days - raise access requests now","")&amp;IF(AND(ISNUMBER(BQ25),BR25&lt;&gt;"Completed",BQ25-TODAY()&lt;CodeReviewInviteCalendarDays)," | Code Review invite should be sent at least 4 days before Code Review","")="","",MID(IF(AND(ISNUMBER(J25),WEEKDAY(J25,2)&lt;&gt;2,WEEKDAY(J25,2)&lt;&gt;4)," | Release must be Tuesday or Thursday","")&amp;IF(AND(ISNUMBER(H25),WEEKDAY(H25,2)&lt;&gt;1)," | Sprint Start is not a Monday - dates still calculated from the date entered","")&amp;IF(AND(A25&lt;&gt;"",NOT(ISNUMBER(H25)),NOT(ISNUMBER(J25)))," | Enter Sprint Start or Release Date","")&amp;IF(AND(ISNUMBER(F25),F25&lt;TODAY(),D25&lt;&gt;"Completed")," | One or more raise-by dates are in the past and not completed","")&amp;IF(AND(ISNUMBER(K25),K25-TODAY()&lt;SprintWarningDays,K25&gt;=TODAY(),OR(D25="Yet to start",D25="Blocked"))," | Sprint starts in under 10 days - raise access requests now","")&amp;IF(AND(ISNUMBER(BQ25),BR25&lt;&gt;"Completed",BQ25-TODAY()&lt;CodeReviewInviteCalendarDays)," | Code Review invite should be sent at least 4 days before Code Review",""),4,500)))</f>
        <v/>
      </c>
      <c r="BU25">
        <f>IF(AND(ISNUMBER(Q25),S25&lt;&gt;"Completed"),Q25,"")</f>
        <v/>
      </c>
      <c r="BV25">
        <f>IF(AND(ISNUMBER(T25),V25&lt;&gt;"Completed"),T25,"")</f>
        <v/>
      </c>
      <c r="BW25">
        <f>IF(AND(ISNUMBER(W25),Y25&lt;&gt;"Completed"),W25,"")</f>
        <v/>
      </c>
      <c r="BX25">
        <f>IF(AND(ISNUMBER(AA25),AC25&lt;&gt;"Completed"),AA25,"")</f>
        <v/>
      </c>
      <c r="BY25">
        <f>IF(AND(ISNUMBER(AG25),AI25&lt;&gt;"Completed"),AG25,"")</f>
        <v/>
      </c>
      <c r="BZ25">
        <f>IF(AND(ISNUMBER(AJ25),AL25&lt;&gt;"Completed"),AJ25,"")</f>
        <v/>
      </c>
      <c r="CA25">
        <f>IF(AND(ISNUMBER(AM25),AO25&lt;&gt;"Completed"),AM25,"")</f>
        <v/>
      </c>
      <c r="CB25">
        <f>IF(AND(ISNUMBER(AQ25),AS25&lt;&gt;"Completed"),AQ25,"")</f>
        <v/>
      </c>
      <c r="CC25">
        <f>IF(AND(ISNUMBER(AW25),AY25&lt;&gt;"Completed"),AW25,"")</f>
        <v/>
      </c>
      <c r="CD25">
        <f>IF(AND(ISNUMBER(AZ25),BB25&lt;&gt;"Completed"),AZ25,"")</f>
        <v/>
      </c>
      <c r="CE25">
        <f>IF(AND(ISNUMBER(BC25),BE25&lt;&gt;"Completed"),BC25,"")</f>
        <v/>
      </c>
      <c r="CF25">
        <f>IF(AND(ISNUMBER(BG25),BI25&lt;&gt;"Completed"),BG25,"")</f>
        <v/>
      </c>
      <c r="CG25">
        <f>IF(AND(ISNUMBER(O25),P25&lt;&gt;"Completed"),O25,"")</f>
        <v/>
      </c>
      <c r="CH25">
        <f>IF(AND(ISNUMBER(BQ25),BR25&lt;&gt;"Completed"),BQ25,"")</f>
        <v/>
      </c>
      <c r="CI25">
        <f>IF(AND(ISNUMBER(BO25),BP25&lt;&gt;"Completed"),BO25,"")</f>
        <v/>
      </c>
      <c r="CJ25">
        <f>IF(AND(ISNUMBER(BM25),BN25&lt;&gt;"Completed"),BM25,"")</f>
        <v/>
      </c>
      <c r="CK25">
        <f>IF(OR(A25="",D25="Completed"),"",IF(N(G25)&gt;0,1/(N(G25)+ROW()/100000),IF(ISNUMBER(F25),1000+F25+ROW()/100000,TODAY()+400+ROW()/100000)))</f>
        <v/>
      </c>
    </row>
    <row r="26" ht="16" customHeight="1" s="39">
      <c r="A26" s="29" t="inlineStr">
        <is>
          <t>Real_Estate</t>
        </is>
      </c>
      <c r="B26" s="29" t="inlineStr">
        <is>
          <t>Ragavendhar &lt;aragavendhar@randomtrees.com&gt;</t>
        </is>
      </c>
      <c r="C26" s="29" t="inlineStr">
        <is>
          <t>Sprint 18</t>
        </is>
      </c>
      <c r="D26" s="30">
        <f>IF(A26="","",IF(((S26="Blocked")+(V26="Blocked")+(Y26="Blocked")+(AC26="Blocked")+(AI26="Blocked")+(AL26="Blocked")+(AO26="Blocked")+(AS26="Blocked")+(AY26="Blocked")+(BB26="Blocked")+(BE26="Blocked")+(BI26="Blocked")+(P26="Blocked")+(BN26="Blocked")+(BP26="Blocked")+(BR26="Blocked")+(BS26="Blocked"))&gt;0,"Blocked",IF((ISNUMBER(Q26)+ISNUMBER(T26)+ISNUMBER(W26)+ISNUMBER(AA26)+ISNUMBER(AG26)+ISNUMBER(AJ26)+ISNUMBER(AM26)+ISNUMBER(AQ26)+ISNUMBER(AW26)+ISNUMBER(AZ26)+ISNUMBER(BC26)+ISNUMBER(BG26)+ISNUMBER(O26)+ISNUMBER(BM26)+ISNUMBER(BO26)+ISNUMBER(BQ26))=0,"Yet to start",IF(AND(OR(NOT(ISNUMBER(Q26)),S26="Completed"),OR(NOT(ISNUMBER(T26)),V26="Completed"),OR(NOT(ISNUMBER(W26)),Y26="Completed"),OR(NOT(ISNUMBER(AA26)),AC26="Completed"),OR(NOT(ISNUMBER(AG26)),AI26="Completed"),OR(NOT(ISNUMBER(AJ26)),AL26="Completed"),OR(NOT(ISNUMBER(AM26)),AO26="Completed"),OR(NOT(ISNUMBER(AQ26)),AS26="Completed"),OR(NOT(ISNUMBER(AW26)),AY26="Completed"),OR(NOT(ISNUMBER(AZ26)),BB26="Completed"),OR(NOT(ISNUMBER(BC26)),BE26="Completed"),OR(NOT(ISNUMBER(BG26)),BI26="Completed"),OR(NOT(ISNUMBER(O26)),P26="Completed"),OR(NOT(ISNUMBER(BM26)),BN26="Completed"),OR(NOT(ISNUMBER(BO26)),BP26="Completed"),OR(NOT(ISNUMBER(BQ26)),BR26="Completed"),BS26="Completed"),"Completed",IF(((S26="In Progress")+(V26="In Progress")+(Y26="In Progress")+(AC26="In Progress")+(AI26="In Progress")+(AL26="In Progress")+(AO26="In Progress")+(AS26="In Progress")+(AY26="In Progress")+(BB26="In Progress")+(BE26="In Progress")+(BI26="In Progress")+(P26="In Progress")+(BN26="In Progress")+(BP26="In Progress")+(BR26="In Progress")+(BS26="In Progress"))&gt;0,"In Progress","Yet to start")))))</f>
        <v/>
      </c>
      <c r="E26" s="30">
        <f>IF(A26="","",IF(F26="","All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Review","CAB"},MATCH(F26,BU26:CJ26,0))))</f>
        <v/>
      </c>
      <c r="F26" s="31">
        <f>IF(A26="","",IF(COUNT(BU26:CJ26)=0,"",MIN(BU26:CJ26)))</f>
        <v/>
      </c>
      <c r="G26" s="30">
        <f>IF(A26="","",MAX(0,IF(AND(ISNUMBER(Q26),S26&lt;&gt;"Completed",Q26&lt;TODAY()),TODAY()-Q26,0),IF(AND(ISNUMBER(T26),V26&lt;&gt;"Completed",T26&lt;TODAY()),TODAY()-T26,0),IF(AND(ISNUMBER(W26),Y26&lt;&gt;"Completed",W26&lt;TODAY()),TODAY()-W26,0),IF(AND(ISNUMBER(AA26),AC26&lt;&gt;"Completed",AA26&lt;TODAY()),TODAY()-AA26,0),IF(AND(ISNUMBER(AG26),AI26&lt;&gt;"Completed",AG26&lt;TODAY()),TODAY()-AG26,0),IF(AND(ISNUMBER(AJ26),AL26&lt;&gt;"Completed",AJ26&lt;TODAY()),TODAY()-AJ26,0),IF(AND(ISNUMBER(AM26),AO26&lt;&gt;"Completed",AM26&lt;TODAY()),TODAY()-AM26,0),IF(AND(ISNUMBER(AQ26),AS26&lt;&gt;"Completed",AQ26&lt;TODAY()),TODAY()-AQ26,0),IF(AND(ISNUMBER(AW26),AY26&lt;&gt;"Completed",AW26&lt;TODAY()),TODAY()-AW26,0),IF(AND(ISNUMBER(AZ26),BB26&lt;&gt;"Completed",AZ26&lt;TODAY()),TODAY()-AZ26,0),IF(AND(ISNUMBER(BC26),BE26&lt;&gt;"Completed",BC26&lt;TODAY()),TODAY()-BC26,0),IF(AND(ISNUMBER(BG26),BI26&lt;&gt;"Completed",BG26&lt;TODAY()),TODAY()-BG26,0),IF(AND(ISNUMBER(O26),P26&lt;&gt;"Completed",O26&lt;TODAY()),TODAY()-O26,0),IF(AND(ISNUMBER(BQ26),BR26&lt;&gt;"Completed",BQ26&lt;TODAY()),TODAY()-BQ26,0),IF(AND(ISNUMBER(BO26),BP26&lt;&gt;"Completed",BO26&lt;TODAY()),TODAY()-BO26,0),IF(AND(ISNUMBER(BM26),BN26&lt;&gt;"Completed",BM26&lt;TODAY()),TODAY()-BM26,0)))</f>
        <v/>
      </c>
      <c r="H26" s="32" t="n">
        <v>46246</v>
      </c>
      <c r="I26" s="32" t="n">
        <v>46259</v>
      </c>
      <c r="J26" s="32" t="n"/>
      <c r="K26" s="31">
        <f>IF(ISNUMBER(H26),H26,IF(ISNUMBER(M26),M26-WEEKDAY(M26,2)+1-7,""))</f>
        <v/>
      </c>
      <c r="L26" s="31">
        <f>IF(ISNUMBER(I26),I26,IF(ISNUMBER(H26),WORKDAY(H26,SprintWorkingDays-1),IF(ISNUMBER(K26),WORKDAY(K26,SprintWorkingDays-1),"")))</f>
        <v/>
      </c>
      <c r="M26" s="31">
        <f>IF(ISNUMBER(J26),J26,IF(ISNUMBER(I26),I26-IF(OR(WEEKDAY(I26,2)=2,WEEKDAY(I26,2)=4),0,IF(WEEKDAY(I26,2)=3,1,IF(WEEKDAY(I26,2)=1,4,WEEKDAY(I26,2)-4))),IF(ISNUMBER(H26),WORKDAY(H26,SprintWorkingDays-1)-IF(OR(WEEKDAY(WORKDAY(H26,SprintWorkingDays-1),2)=2,WEEKDAY(WORKDAY(H26,SprintWorkingDays-1),2)=4),0,IF(WEEKDAY(WORKDAY(H26,SprintWorkingDays-1),2)=3,1,IF(WEEKDAY(WORKDAY(H26,SprintWorkingDays-1),2)=1,4,WEEKDAY(WORKDAY(H26,SprintWorkingDays-1),2)-4))),"")))</f>
        <v/>
      </c>
      <c r="N26" s="31">
        <f>IF(NOT(ISNUMBER(K26)),"",WORKDAY(K26,ReadyOffsetWD))</f>
        <v/>
      </c>
      <c r="O26" s="31">
        <f>IF(NOT(ISNUMBER(K26)),"",WORKDAY(K26,SprintReadinessOffsetWD))</f>
        <v/>
      </c>
      <c r="P26" s="29" t="n"/>
      <c r="Q26" s="31">
        <f>IF(NOT(ISNUMBER(T26)),"",WORKDAY(T26,RTSKOffsetFromOUR_WD))</f>
        <v/>
      </c>
      <c r="R26" s="32" t="n"/>
      <c r="S26" s="29" t="n"/>
      <c r="T26" s="31">
        <f>IF(NOT(ISNUMBER(W26)),"",WORKDAY(W26,OUROffsetFromSR_WD))</f>
        <v/>
      </c>
      <c r="U26" s="32" t="n"/>
      <c r="V26" s="29" t="n"/>
      <c r="W26" s="31">
        <f>IF(NOT(ISNUMBER(K26)),"",WORKDAY(K26,SROffsetFromStartWD))</f>
        <v/>
      </c>
      <c r="X26" s="32" t="n"/>
      <c r="Y26" s="29" t="n"/>
      <c r="Z26" s="29" t="n"/>
      <c r="AA26" s="31">
        <f>IF(ISNUMBER(Q26),Q26,"")</f>
        <v/>
      </c>
      <c r="AB26" s="32" t="n"/>
      <c r="AC26" s="29" t="n"/>
      <c r="AD26" s="29" t="n"/>
      <c r="AE26" s="29" t="n"/>
      <c r="AF26" s="29" t="n"/>
      <c r="AG26" s="31">
        <f>IF(NOT(ISNUMBER(Q26)),"",Q26)</f>
        <v/>
      </c>
      <c r="AH26" s="32" t="n"/>
      <c r="AI26" s="29" t="n"/>
      <c r="AJ26" s="31">
        <f>IF(NOT(ISNUMBER(T26)),"",T26)</f>
        <v/>
      </c>
      <c r="AK26" s="32" t="n"/>
      <c r="AL26" s="29" t="n"/>
      <c r="AM26" s="31">
        <f>IF(NOT(ISNUMBER(W26)),"",W26)</f>
        <v/>
      </c>
      <c r="AN26" s="32" t="n"/>
      <c r="AO26" s="29" t="n"/>
      <c r="AP26" s="29" t="n"/>
      <c r="AQ26" s="31">
        <f>IF(ISNUMBER(AG26),AG26,"")</f>
        <v/>
      </c>
      <c r="AR26" s="32" t="n"/>
      <c r="AS26" s="29" t="n"/>
      <c r="AT26" s="29" t="n"/>
      <c r="AU26" s="29" t="n"/>
      <c r="AV26" s="29" t="n"/>
      <c r="AW26" s="31">
        <f>IF(NOT(ISNUMBER(Q26)),"",Q26)</f>
        <v/>
      </c>
      <c r="AX26" s="32" t="n"/>
      <c r="AY26" s="29" t="n"/>
      <c r="AZ26" s="31">
        <f>IF(NOT(ISNUMBER(T26)),"",T26)</f>
        <v/>
      </c>
      <c r="BA26" s="32" t="n"/>
      <c r="BB26" s="29" t="n"/>
      <c r="BC26" s="31">
        <f>IF(NOT(ISNUMBER(W26)),"",W26)</f>
        <v/>
      </c>
      <c r="BD26" s="32" t="n"/>
      <c r="BE26" s="29" t="n"/>
      <c r="BF26" s="29" t="n"/>
      <c r="BG26" s="31">
        <f>IF(ISNUMBER(AW26),AW26,"")</f>
        <v/>
      </c>
      <c r="BH26" s="32" t="n"/>
      <c r="BI26" s="29" t="n"/>
      <c r="BJ26" s="29" t="n"/>
      <c r="BK26" s="29" t="n"/>
      <c r="BL26" s="29" t="n"/>
      <c r="BM26" s="31">
        <f>IF(OR(NOT(ISNUMBER(M26)),AND(WEEKDAY(M26,2)&lt;&gt;2,WEEKDAY(M26,2)&lt;&gt;4)),"",WORKDAY(M26,CABOffsetFromReleaseWD))</f>
        <v/>
      </c>
      <c r="BN26" s="29" t="n"/>
      <c r="BO26" s="31">
        <f>IF(NOT(ISNUMBER(BM26)),"",IF(WEEKDAY(BM26-CodeReviewCalendarDays,2)&gt;5,BM26-CodeReviewCalendarDays-(WEEKDAY(BM26-CodeReviewCalendarDays,2)-5),BM26-CodeReviewCalendarDays))</f>
        <v/>
      </c>
      <c r="BP26" s="29" t="n"/>
      <c r="BQ26" s="31">
        <f>IF(NOT(ISNUMBER(BO26)),"",IF(WEEKDAY(BO26-CodeReviewInviteCalendarDays,2)&gt;5,BO26-CodeReviewInviteCalendarDays-(WEEKDAY(BO26-CodeReviewInviteCalendarDays,2)-5),BO26-CodeReviewInviteCalendarDays))</f>
        <v/>
      </c>
      <c r="BR26" s="29" t="n"/>
      <c r="BS26" s="29" t="n"/>
      <c r="BT26" s="30">
        <f>IF(A26="","",IF(IF(AND(ISNUMBER(J26),WEEKDAY(J26,2)&lt;&gt;2,WEEKDAY(J26,2)&lt;&gt;4)," | Release must be Tuesday or Thursday","")&amp;IF(AND(ISNUMBER(H26),WEEKDAY(H26,2)&lt;&gt;1)," | Sprint Start is not a Monday - dates still calculated from the date entered","")&amp;IF(AND(A26&lt;&gt;"",NOT(ISNUMBER(H26)),NOT(ISNUMBER(J26)))," | Enter Sprint Start or Release Date","")&amp;IF(AND(ISNUMBER(F26),F26&lt;TODAY(),D26&lt;&gt;"Completed")," | One or more raise-by dates are in the past and not completed","")&amp;IF(AND(ISNUMBER(K26),K26-TODAY()&lt;SprintWarningDays,K26&gt;=TODAY(),OR(D26="Yet to start",D26="Blocked"))," | Sprint starts in under 10 days - raise access requests now","")&amp;IF(AND(ISNUMBER(BQ26),BR26&lt;&gt;"Completed",BQ26-TODAY()&lt;CodeReviewInviteCalendarDays)," | Code Review invite should be sent at least 4 days before Code Review","")="","",MID(IF(AND(ISNUMBER(J26),WEEKDAY(J26,2)&lt;&gt;2,WEEKDAY(J26,2)&lt;&gt;4)," | Release must be Tuesday or Thursday","")&amp;IF(AND(ISNUMBER(H26),WEEKDAY(H26,2)&lt;&gt;1)," | Sprint Start is not a Monday - dates still calculated from the date entered","")&amp;IF(AND(A26&lt;&gt;"",NOT(ISNUMBER(H26)),NOT(ISNUMBER(J26)))," | Enter Sprint Start or Release Date","")&amp;IF(AND(ISNUMBER(F26),F26&lt;TODAY(),D26&lt;&gt;"Completed")," | One or more raise-by dates are in the past and not completed","")&amp;IF(AND(ISNUMBER(K26),K26-TODAY()&lt;SprintWarningDays,K26&gt;=TODAY(),OR(D26="Yet to start",D26="Blocked"))," | Sprint starts in under 10 days - raise access requests now","")&amp;IF(AND(ISNUMBER(BQ26),BR26&lt;&gt;"Completed",BQ26-TODAY()&lt;CodeReviewInviteCalendarDays)," | Code Review invite should be sent at least 4 days before Code Review",""),4,500)))</f>
        <v/>
      </c>
      <c r="BU26">
        <f>IF(AND(ISNUMBER(Q26),S26&lt;&gt;"Completed"),Q26,"")</f>
        <v/>
      </c>
      <c r="BV26">
        <f>IF(AND(ISNUMBER(T26),V26&lt;&gt;"Completed"),T26,"")</f>
        <v/>
      </c>
      <c r="BW26">
        <f>IF(AND(ISNUMBER(W26),Y26&lt;&gt;"Completed"),W26,"")</f>
        <v/>
      </c>
      <c r="BX26">
        <f>IF(AND(ISNUMBER(AA26),AC26&lt;&gt;"Completed"),AA26,"")</f>
        <v/>
      </c>
      <c r="BY26">
        <f>IF(AND(ISNUMBER(AG26),AI26&lt;&gt;"Completed"),AG26,"")</f>
        <v/>
      </c>
      <c r="BZ26">
        <f>IF(AND(ISNUMBER(AJ26),AL26&lt;&gt;"Completed"),AJ26,"")</f>
        <v/>
      </c>
      <c r="CA26">
        <f>IF(AND(ISNUMBER(AM26),AO26&lt;&gt;"Completed"),AM26,"")</f>
        <v/>
      </c>
      <c r="CB26">
        <f>IF(AND(ISNUMBER(AQ26),AS26&lt;&gt;"Completed"),AQ26,"")</f>
        <v/>
      </c>
      <c r="CC26">
        <f>IF(AND(ISNUMBER(AW26),AY26&lt;&gt;"Completed"),AW26,"")</f>
        <v/>
      </c>
      <c r="CD26">
        <f>IF(AND(ISNUMBER(AZ26),BB26&lt;&gt;"Completed"),AZ26,"")</f>
        <v/>
      </c>
      <c r="CE26">
        <f>IF(AND(ISNUMBER(BC26),BE26&lt;&gt;"Completed"),BC26,"")</f>
        <v/>
      </c>
      <c r="CF26">
        <f>IF(AND(ISNUMBER(BG26),BI26&lt;&gt;"Completed"),BG26,"")</f>
        <v/>
      </c>
      <c r="CG26">
        <f>IF(AND(ISNUMBER(O26),P26&lt;&gt;"Completed"),O26,"")</f>
        <v/>
      </c>
      <c r="CH26">
        <f>IF(AND(ISNUMBER(BQ26),BR26&lt;&gt;"Completed"),BQ26,"")</f>
        <v/>
      </c>
      <c r="CI26">
        <f>IF(AND(ISNUMBER(BO26),BP26&lt;&gt;"Completed"),BO26,"")</f>
        <v/>
      </c>
      <c r="CJ26">
        <f>IF(AND(ISNUMBER(BM26),BN26&lt;&gt;"Completed"),BM26,"")</f>
        <v/>
      </c>
      <c r="CK26">
        <f>IF(OR(A26="",D26="Completed"),"",IF(N(G26)&gt;0,1/(N(G26)+ROW()/100000),IF(ISNUMBER(F26),1000+F26+ROW()/100000,TODAY()+400+ROW()/100000)))</f>
        <v/>
      </c>
    </row>
    <row r="27" ht="16" customHeight="1" s="39">
      <c r="A27" s="29" t="inlineStr">
        <is>
          <t>SECURITY</t>
        </is>
      </c>
      <c r="B27" s="29" t="inlineStr">
        <is>
          <t>Vidhesha &lt;vkumaran@randomtrees.com&gt;</t>
        </is>
      </c>
      <c r="C27" s="29" t="inlineStr">
        <is>
          <t>Sprint 18</t>
        </is>
      </c>
      <c r="D27" s="30">
        <f>IF(A27="","",IF(((S27="Blocked")+(V27="Blocked")+(Y27="Blocked")+(AC27="Blocked")+(AI27="Blocked")+(AL27="Blocked")+(AO27="Blocked")+(AS27="Blocked")+(AY27="Blocked")+(BB27="Blocked")+(BE27="Blocked")+(BI27="Blocked")+(P27="Blocked")+(BN27="Blocked")+(BP27="Blocked")+(BR27="Blocked")+(BS27="Blocked"))&gt;0,"Blocked",IF((ISNUMBER(Q27)+ISNUMBER(T27)+ISNUMBER(W27)+ISNUMBER(AA27)+ISNUMBER(AG27)+ISNUMBER(AJ27)+ISNUMBER(AM27)+ISNUMBER(AQ27)+ISNUMBER(AW27)+ISNUMBER(AZ27)+ISNUMBER(BC27)+ISNUMBER(BG27)+ISNUMBER(O27)+ISNUMBER(BM27)+ISNUMBER(BO27)+ISNUMBER(BQ27))=0,"Yet to start",IF(AND(OR(NOT(ISNUMBER(Q27)),S27="Completed"),OR(NOT(ISNUMBER(T27)),V27="Completed"),OR(NOT(ISNUMBER(W27)),Y27="Completed"),OR(NOT(ISNUMBER(AA27)),AC27="Completed"),OR(NOT(ISNUMBER(AG27)),AI27="Completed"),OR(NOT(ISNUMBER(AJ27)),AL27="Completed"),OR(NOT(ISNUMBER(AM27)),AO27="Completed"),OR(NOT(ISNUMBER(AQ27)),AS27="Completed"),OR(NOT(ISNUMBER(AW27)),AY27="Completed"),OR(NOT(ISNUMBER(AZ27)),BB27="Completed"),OR(NOT(ISNUMBER(BC27)),BE27="Completed"),OR(NOT(ISNUMBER(BG27)),BI27="Completed"),OR(NOT(ISNUMBER(O27)),P27="Completed"),OR(NOT(ISNUMBER(BM27)),BN27="Completed"),OR(NOT(ISNUMBER(BO27)),BP27="Completed"),OR(NOT(ISNUMBER(BQ27)),BR27="Completed"),BS27="Completed"),"Completed",IF(((S27="In Progress")+(V27="In Progress")+(Y27="In Progress")+(AC27="In Progress")+(AI27="In Progress")+(AL27="In Progress")+(AO27="In Progress")+(AS27="In Progress")+(AY27="In Progress")+(BB27="In Progress")+(BE27="In Progress")+(BI27="In Progress")+(P27="In Progress")+(BN27="In Progress")+(BP27="In Progress")+(BR27="In Progress")+(BS27="In Progress"))&gt;0,"In Progress","Yet to start")))))</f>
        <v/>
      </c>
      <c r="E27" s="30">
        <f>IF(A27="","",IF(F27="","All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Review","CAB"},MATCH(F27,BU27:CJ27,0))))</f>
        <v/>
      </c>
      <c r="F27" s="31">
        <f>IF(A27="","",IF(COUNT(BU27:CJ27)=0,"",MIN(BU27:CJ27)))</f>
        <v/>
      </c>
      <c r="G27" s="30">
        <f>IF(A27="","",MAX(0,IF(AND(ISNUMBER(Q27),S27&lt;&gt;"Completed",Q27&lt;TODAY()),TODAY()-Q27,0),IF(AND(ISNUMBER(T27),V27&lt;&gt;"Completed",T27&lt;TODAY()),TODAY()-T27,0),IF(AND(ISNUMBER(W27),Y27&lt;&gt;"Completed",W27&lt;TODAY()),TODAY()-W27,0),IF(AND(ISNUMBER(AA27),AC27&lt;&gt;"Completed",AA27&lt;TODAY()),TODAY()-AA27,0),IF(AND(ISNUMBER(AG27),AI27&lt;&gt;"Completed",AG27&lt;TODAY()),TODAY()-AG27,0),IF(AND(ISNUMBER(AJ27),AL27&lt;&gt;"Completed",AJ27&lt;TODAY()),TODAY()-AJ27,0),IF(AND(ISNUMBER(AM27),AO27&lt;&gt;"Completed",AM27&lt;TODAY()),TODAY()-AM27,0),IF(AND(ISNUMBER(AQ27),AS27&lt;&gt;"Completed",AQ27&lt;TODAY()),TODAY()-AQ27,0),IF(AND(ISNUMBER(AW27),AY27&lt;&gt;"Completed",AW27&lt;TODAY()),TODAY()-AW27,0),IF(AND(ISNUMBER(AZ27),BB27&lt;&gt;"Completed",AZ27&lt;TODAY()),TODAY()-AZ27,0),IF(AND(ISNUMBER(BC27),BE27&lt;&gt;"Completed",BC27&lt;TODAY()),TODAY()-BC27,0),IF(AND(ISNUMBER(BG27),BI27&lt;&gt;"Completed",BG27&lt;TODAY()),TODAY()-BG27,0),IF(AND(ISNUMBER(O27),P27&lt;&gt;"Completed",O27&lt;TODAY()),TODAY()-O27,0),IF(AND(ISNUMBER(BQ27),BR27&lt;&gt;"Completed",BQ27&lt;TODAY()),TODAY()-BQ27,0),IF(AND(ISNUMBER(BO27),BP27&lt;&gt;"Completed",BO27&lt;TODAY()),TODAY()-BO27,0),IF(AND(ISNUMBER(BM27),BN27&lt;&gt;"Completed",BM27&lt;TODAY()),TODAY()-BM27,0)))</f>
        <v/>
      </c>
      <c r="H27" s="32" t="n">
        <v>46246</v>
      </c>
      <c r="I27" s="32" t="n">
        <v>46259</v>
      </c>
      <c r="J27" s="32" t="n"/>
      <c r="K27" s="31">
        <f>IF(ISNUMBER(H27),H27,IF(ISNUMBER(M27),M27-WEEKDAY(M27,2)+1-7,""))</f>
        <v/>
      </c>
      <c r="L27" s="31">
        <f>IF(ISNUMBER(I27),I27,IF(ISNUMBER(H27),WORKDAY(H27,SprintWorkingDays-1),IF(ISNUMBER(K27),WORKDAY(K27,SprintWorkingDays-1),"")))</f>
        <v/>
      </c>
      <c r="M27" s="31">
        <f>IF(ISNUMBER(J27),J27,IF(ISNUMBER(I27),I27-IF(OR(WEEKDAY(I27,2)=2,WEEKDAY(I27,2)=4),0,IF(WEEKDAY(I27,2)=3,1,IF(WEEKDAY(I27,2)=1,4,WEEKDAY(I27,2)-4))),IF(ISNUMBER(H27),WORKDAY(H27,SprintWorkingDays-1)-IF(OR(WEEKDAY(WORKDAY(H27,SprintWorkingDays-1),2)=2,WEEKDAY(WORKDAY(H27,SprintWorkingDays-1),2)=4),0,IF(WEEKDAY(WORKDAY(H27,SprintWorkingDays-1),2)=3,1,IF(WEEKDAY(WORKDAY(H27,SprintWorkingDays-1),2)=1,4,WEEKDAY(WORKDAY(H27,SprintWorkingDays-1),2)-4))),"")))</f>
        <v/>
      </c>
      <c r="N27" s="31">
        <f>IF(NOT(ISNUMBER(K27)),"",WORKDAY(K27,ReadyOffsetWD))</f>
        <v/>
      </c>
      <c r="O27" s="31">
        <f>IF(NOT(ISNUMBER(K27)),"",WORKDAY(K27,SprintReadinessOffsetWD))</f>
        <v/>
      </c>
      <c r="P27" s="29" t="n"/>
      <c r="Q27" s="31">
        <f>IF(NOT(ISNUMBER(T27)),"",WORKDAY(T27,RTSKOffsetFromOUR_WD))</f>
        <v/>
      </c>
      <c r="R27" s="32" t="n"/>
      <c r="S27" s="29" t="n"/>
      <c r="T27" s="31">
        <f>IF(NOT(ISNUMBER(W27)),"",WORKDAY(W27,OUROffsetFromSR_WD))</f>
        <v/>
      </c>
      <c r="U27" s="32" t="n"/>
      <c r="V27" s="29" t="n"/>
      <c r="W27" s="31">
        <f>IF(NOT(ISNUMBER(K27)),"",WORKDAY(K27,SROffsetFromStartWD))</f>
        <v/>
      </c>
      <c r="X27" s="32" t="n"/>
      <c r="Y27" s="29" t="n"/>
      <c r="Z27" s="29" t="n"/>
      <c r="AA27" s="31">
        <f>IF(ISNUMBER(Q27),Q27,"")</f>
        <v/>
      </c>
      <c r="AB27" s="32" t="n"/>
      <c r="AC27" s="29" t="n"/>
      <c r="AD27" s="29" t="n"/>
      <c r="AE27" s="29" t="n"/>
      <c r="AF27" s="29" t="n"/>
      <c r="AG27" s="31">
        <f>IF(NOT(ISNUMBER(Q27)),"",Q27)</f>
        <v/>
      </c>
      <c r="AH27" s="32" t="n"/>
      <c r="AI27" s="29" t="n"/>
      <c r="AJ27" s="31">
        <f>IF(NOT(ISNUMBER(T27)),"",T27)</f>
        <v/>
      </c>
      <c r="AK27" s="32" t="n"/>
      <c r="AL27" s="29" t="n"/>
      <c r="AM27" s="31">
        <f>IF(NOT(ISNUMBER(W27)),"",W27)</f>
        <v/>
      </c>
      <c r="AN27" s="32" t="n"/>
      <c r="AO27" s="29" t="n"/>
      <c r="AP27" s="29" t="n"/>
      <c r="AQ27" s="31">
        <f>IF(ISNUMBER(AG27),AG27,"")</f>
        <v/>
      </c>
      <c r="AR27" s="32" t="n"/>
      <c r="AS27" s="29" t="n"/>
      <c r="AT27" s="29" t="n"/>
      <c r="AU27" s="29" t="n"/>
      <c r="AV27" s="29" t="n"/>
      <c r="AW27" s="31">
        <f>IF(NOT(ISNUMBER(Q27)),"",Q27)</f>
        <v/>
      </c>
      <c r="AX27" s="32" t="n"/>
      <c r="AY27" s="29" t="n"/>
      <c r="AZ27" s="31">
        <f>IF(NOT(ISNUMBER(T27)),"",T27)</f>
        <v/>
      </c>
      <c r="BA27" s="32" t="n"/>
      <c r="BB27" s="29" t="n"/>
      <c r="BC27" s="31">
        <f>IF(NOT(ISNUMBER(W27)),"",W27)</f>
        <v/>
      </c>
      <c r="BD27" s="32" t="n"/>
      <c r="BE27" s="29" t="n"/>
      <c r="BF27" s="29" t="n"/>
      <c r="BG27" s="31">
        <f>IF(ISNUMBER(AW27),AW27,"")</f>
        <v/>
      </c>
      <c r="BH27" s="32" t="n"/>
      <c r="BI27" s="29" t="n"/>
      <c r="BJ27" s="29" t="n"/>
      <c r="BK27" s="29" t="n"/>
      <c r="BL27" s="29" t="n"/>
      <c r="BM27" s="31">
        <f>IF(OR(NOT(ISNUMBER(M27)),AND(WEEKDAY(M27,2)&lt;&gt;2,WEEKDAY(M27,2)&lt;&gt;4)),"",WORKDAY(M27,CABOffsetFromReleaseWD))</f>
        <v/>
      </c>
      <c r="BN27" s="29" t="n"/>
      <c r="BO27" s="31">
        <f>IF(NOT(ISNUMBER(BM27)),"",IF(WEEKDAY(BM27-CodeReviewCalendarDays,2)&gt;5,BM27-CodeReviewCalendarDays-(WEEKDAY(BM27-CodeReviewCalendarDays,2)-5),BM27-CodeReviewCalendarDays))</f>
        <v/>
      </c>
      <c r="BP27" s="29" t="n"/>
      <c r="BQ27" s="31">
        <f>IF(NOT(ISNUMBER(BO27)),"",IF(WEEKDAY(BO27-CodeReviewInviteCalendarDays,2)&gt;5,BO27-CodeReviewInviteCalendarDays-(WEEKDAY(BO27-CodeReviewInviteCalendarDays,2)-5),BO27-CodeReviewInviteCalendarDays))</f>
        <v/>
      </c>
      <c r="BR27" s="29" t="n"/>
      <c r="BS27" s="29" t="n"/>
      <c r="BT27" s="30">
        <f>IF(A27="","",IF(IF(AND(ISNUMBER(J27),WEEKDAY(J27,2)&lt;&gt;2,WEEKDAY(J27,2)&lt;&gt;4)," | Release must be Tuesday or Thursday","")&amp;IF(AND(ISNUMBER(H27),WEEKDAY(H27,2)&lt;&gt;1)," | Sprint Start is not a Monday - dates still calculated from the date entered","")&amp;IF(AND(A27&lt;&gt;"",NOT(ISNUMBER(H27)),NOT(ISNUMBER(J27)))," | Enter Sprint Start or Release Date","")&amp;IF(AND(ISNUMBER(F27),F27&lt;TODAY(),D27&lt;&gt;"Completed")," | One or more raise-by dates are in the past and not completed","")&amp;IF(AND(ISNUMBER(K27),K27-TODAY()&lt;SprintWarningDays,K27&gt;=TODAY(),OR(D27="Yet to start",D27="Blocked"))," | Sprint starts in under 10 days - raise access requests now","")&amp;IF(AND(ISNUMBER(BQ27),BR27&lt;&gt;"Completed",BQ27-TODAY()&lt;CodeReviewInviteCalendarDays)," | Code Review invite should be sent at least 4 days before Code Review","")="","",MID(IF(AND(ISNUMBER(J27),WEEKDAY(J27,2)&lt;&gt;2,WEEKDAY(J27,2)&lt;&gt;4)," | Release must be Tuesday or Thursday","")&amp;IF(AND(ISNUMBER(H27),WEEKDAY(H27,2)&lt;&gt;1)," | Sprint Start is not a Monday - dates still calculated from the date entered","")&amp;IF(AND(A27&lt;&gt;"",NOT(ISNUMBER(H27)),NOT(ISNUMBER(J27)))," | Enter Sprint Start or Release Date","")&amp;IF(AND(ISNUMBER(F27),F27&lt;TODAY(),D27&lt;&gt;"Completed")," | One or more raise-by dates are in the past and not completed","")&amp;IF(AND(ISNUMBER(K27),K27-TODAY()&lt;SprintWarningDays,K27&gt;=TODAY(),OR(D27="Yet to start",D27="Blocked"))," | Sprint starts in under 10 days - raise access requests now","")&amp;IF(AND(ISNUMBER(BQ27),BR27&lt;&gt;"Completed",BQ27-TODAY()&lt;CodeReviewInviteCalendarDays)," | Code Review invite should be sent at least 4 days before Code Review",""),4,500)))</f>
        <v/>
      </c>
      <c r="BU27">
        <f>IF(AND(ISNUMBER(Q27),S27&lt;&gt;"Completed"),Q27,"")</f>
        <v/>
      </c>
      <c r="BV27">
        <f>IF(AND(ISNUMBER(T27),V27&lt;&gt;"Completed"),T27,"")</f>
        <v/>
      </c>
      <c r="BW27">
        <f>IF(AND(ISNUMBER(W27),Y27&lt;&gt;"Completed"),W27,"")</f>
        <v/>
      </c>
      <c r="BX27">
        <f>IF(AND(ISNUMBER(AA27),AC27&lt;&gt;"Completed"),AA27,"")</f>
        <v/>
      </c>
      <c r="BY27">
        <f>IF(AND(ISNUMBER(AG27),AI27&lt;&gt;"Completed"),AG27,"")</f>
        <v/>
      </c>
      <c r="BZ27">
        <f>IF(AND(ISNUMBER(AJ27),AL27&lt;&gt;"Completed"),AJ27,"")</f>
        <v/>
      </c>
      <c r="CA27">
        <f>IF(AND(ISNUMBER(AM27),AO27&lt;&gt;"Completed"),AM27,"")</f>
        <v/>
      </c>
      <c r="CB27">
        <f>IF(AND(ISNUMBER(AQ27),AS27&lt;&gt;"Completed"),AQ27,"")</f>
        <v/>
      </c>
      <c r="CC27">
        <f>IF(AND(ISNUMBER(AW27),AY27&lt;&gt;"Completed"),AW27,"")</f>
        <v/>
      </c>
      <c r="CD27">
        <f>IF(AND(ISNUMBER(AZ27),BB27&lt;&gt;"Completed"),AZ27,"")</f>
        <v/>
      </c>
      <c r="CE27">
        <f>IF(AND(ISNUMBER(BC27),BE27&lt;&gt;"Completed"),BC27,"")</f>
        <v/>
      </c>
      <c r="CF27">
        <f>IF(AND(ISNUMBER(BG27),BI27&lt;&gt;"Completed"),BG27,"")</f>
        <v/>
      </c>
      <c r="CG27">
        <f>IF(AND(ISNUMBER(O27),P27&lt;&gt;"Completed"),O27,"")</f>
        <v/>
      </c>
      <c r="CH27">
        <f>IF(AND(ISNUMBER(BQ27),BR27&lt;&gt;"Completed"),BQ27,"")</f>
        <v/>
      </c>
      <c r="CI27">
        <f>IF(AND(ISNUMBER(BO27),BP27&lt;&gt;"Completed"),BO27,"")</f>
        <v/>
      </c>
      <c r="CJ27">
        <f>IF(AND(ISNUMBER(BM27),BN27&lt;&gt;"Completed"),BM27,"")</f>
        <v/>
      </c>
      <c r="CK27">
        <f>IF(OR(A27="",D27="Completed"),"",IF(N(G27)&gt;0,1/(N(G27)+ROW()/100000),IF(ISNUMBER(F27),1000+F27+ROW()/100000,TODAY()+400+ROW()/100000)))</f>
        <v/>
      </c>
    </row>
    <row r="28" ht="32" customHeight="1" s="39">
      <c r="A28" s="29" t="inlineStr">
        <is>
          <t>TELECOM_MICROWAVE</t>
        </is>
      </c>
      <c r="B28" s="29" t="inlineStr">
        <is>
          <t>Sharath &lt;Skotha1@randomtrees.com&gt;</t>
        </is>
      </c>
      <c r="C28" s="29" t="inlineStr">
        <is>
          <t>Sprint 18</t>
        </is>
      </c>
      <c r="D28" s="30">
        <f>IF(A28="","",IF(((S28="Blocked")+(V28="Blocked")+(Y28="Blocked")+(AC28="Blocked")+(AI28="Blocked")+(AL28="Blocked")+(AO28="Blocked")+(AS28="Blocked")+(AY28="Blocked")+(BB28="Blocked")+(BE28="Blocked")+(BI28="Blocked")+(P28="Blocked")+(BN28="Blocked")+(BP28="Blocked")+(BR28="Blocked")+(BS28="Blocked"))&gt;0,"Blocked",IF((ISNUMBER(Q28)+ISNUMBER(T28)+ISNUMBER(W28)+ISNUMBER(AA28)+ISNUMBER(AG28)+ISNUMBER(AJ28)+ISNUMBER(AM28)+ISNUMBER(AQ28)+ISNUMBER(AW28)+ISNUMBER(AZ28)+ISNUMBER(BC28)+ISNUMBER(BG28)+ISNUMBER(O28)+ISNUMBER(BM28)+ISNUMBER(BO28)+ISNUMBER(BQ28))=0,"Yet to start",IF(AND(OR(NOT(ISNUMBER(Q28)),S28="Completed"),OR(NOT(ISNUMBER(T28)),V28="Completed"),OR(NOT(ISNUMBER(W28)),Y28="Completed"),OR(NOT(ISNUMBER(AA28)),AC28="Completed"),OR(NOT(ISNUMBER(AG28)),AI28="Completed"),OR(NOT(ISNUMBER(AJ28)),AL28="Completed"),OR(NOT(ISNUMBER(AM28)),AO28="Completed"),OR(NOT(ISNUMBER(AQ28)),AS28="Completed"),OR(NOT(ISNUMBER(AW28)),AY28="Completed"),OR(NOT(ISNUMBER(AZ28)),BB28="Completed"),OR(NOT(ISNUMBER(BC28)),BE28="Completed"),OR(NOT(ISNUMBER(BG28)),BI28="Completed"),OR(NOT(ISNUMBER(O28)),P28="Completed"),OR(NOT(ISNUMBER(BM28)),BN28="Completed"),OR(NOT(ISNUMBER(BO28)),BP28="Completed"),OR(NOT(ISNUMBER(BQ28)),BR28="Completed"),BS28="Completed"),"Completed",IF(((S28="In Progress")+(V28="In Progress")+(Y28="In Progress")+(AC28="In Progress")+(AI28="In Progress")+(AL28="In Progress")+(AO28="In Progress")+(AS28="In Progress")+(AY28="In Progress")+(BB28="In Progress")+(BE28="In Progress")+(BI28="In Progress")+(P28="In Progress")+(BN28="In Progress")+(BP28="In Progress")+(BR28="In Progress")+(BS28="In Progress"))&gt;0,"In Progress","Yet to start")))))</f>
        <v/>
      </c>
      <c r="E28" s="30">
        <f>IF(A28="","",IF(F28="","All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Review","CAB"},MATCH(F28,BU28:CJ28,0))))</f>
        <v/>
      </c>
      <c r="F28" s="31">
        <f>IF(A28="","",IF(COUNT(BU28:CJ28)=0,"",MIN(BU28:CJ28)))</f>
        <v/>
      </c>
      <c r="G28" s="30">
        <f>IF(A28="","",MAX(0,IF(AND(ISNUMBER(Q28),S28&lt;&gt;"Completed",Q28&lt;TODAY()),TODAY()-Q28,0),IF(AND(ISNUMBER(T28),V28&lt;&gt;"Completed",T28&lt;TODAY()),TODAY()-T28,0),IF(AND(ISNUMBER(W28),Y28&lt;&gt;"Completed",W28&lt;TODAY()),TODAY()-W28,0),IF(AND(ISNUMBER(AA28),AC28&lt;&gt;"Completed",AA28&lt;TODAY()),TODAY()-AA28,0),IF(AND(ISNUMBER(AG28),AI28&lt;&gt;"Completed",AG28&lt;TODAY()),TODAY()-AG28,0),IF(AND(ISNUMBER(AJ28),AL28&lt;&gt;"Completed",AJ28&lt;TODAY()),TODAY()-AJ28,0),IF(AND(ISNUMBER(AM28),AO28&lt;&gt;"Completed",AM28&lt;TODAY()),TODAY()-AM28,0),IF(AND(ISNUMBER(AQ28),AS28&lt;&gt;"Completed",AQ28&lt;TODAY()),TODAY()-AQ28,0),IF(AND(ISNUMBER(AW28),AY28&lt;&gt;"Completed",AW28&lt;TODAY()),TODAY()-AW28,0),IF(AND(ISNUMBER(AZ28),BB28&lt;&gt;"Completed",AZ28&lt;TODAY()),TODAY()-AZ28,0),IF(AND(ISNUMBER(BC28),BE28&lt;&gt;"Completed",BC28&lt;TODAY()),TODAY()-BC28,0),IF(AND(ISNUMBER(BG28),BI28&lt;&gt;"Completed",BG28&lt;TODAY()),TODAY()-BG28,0),IF(AND(ISNUMBER(O28),P28&lt;&gt;"Completed",O28&lt;TODAY()),TODAY()-O28,0),IF(AND(ISNUMBER(BQ28),BR28&lt;&gt;"Completed",BQ28&lt;TODAY()),TODAY()-BQ28,0),IF(AND(ISNUMBER(BO28),BP28&lt;&gt;"Completed",BO28&lt;TODAY()),TODAY()-BO28,0),IF(AND(ISNUMBER(BM28),BN28&lt;&gt;"Completed",BM28&lt;TODAY()),TODAY()-BM28,0)))</f>
        <v/>
      </c>
      <c r="H28" s="32" t="n">
        <v>46246</v>
      </c>
      <c r="I28" s="32" t="n">
        <v>46259</v>
      </c>
      <c r="J28" s="32" t="n"/>
      <c r="K28" s="31">
        <f>IF(ISNUMBER(H28),H28,IF(ISNUMBER(M28),M28-WEEKDAY(M28,2)+1-7,""))</f>
        <v/>
      </c>
      <c r="L28" s="31">
        <f>IF(ISNUMBER(I28),I28,IF(ISNUMBER(H28),WORKDAY(H28,SprintWorkingDays-1),IF(ISNUMBER(K28),WORKDAY(K28,SprintWorkingDays-1),"")))</f>
        <v/>
      </c>
      <c r="M28" s="31">
        <f>IF(ISNUMBER(J28),J28,IF(ISNUMBER(I28),I28-IF(OR(WEEKDAY(I28,2)=2,WEEKDAY(I28,2)=4),0,IF(WEEKDAY(I28,2)=3,1,IF(WEEKDAY(I28,2)=1,4,WEEKDAY(I28,2)-4))),IF(ISNUMBER(H28),WORKDAY(H28,SprintWorkingDays-1)-IF(OR(WEEKDAY(WORKDAY(H28,SprintWorkingDays-1),2)=2,WEEKDAY(WORKDAY(H28,SprintWorkingDays-1),2)=4),0,IF(WEEKDAY(WORKDAY(H28,SprintWorkingDays-1),2)=3,1,IF(WEEKDAY(WORKDAY(H28,SprintWorkingDays-1),2)=1,4,WEEKDAY(WORKDAY(H28,SprintWorkingDays-1),2)-4))),"")))</f>
        <v/>
      </c>
      <c r="N28" s="31">
        <f>IF(NOT(ISNUMBER(K28)),"",WORKDAY(K28,ReadyOffsetWD))</f>
        <v/>
      </c>
      <c r="O28" s="31">
        <f>IF(NOT(ISNUMBER(K28)),"",WORKDAY(K28,SprintReadinessOffsetWD))</f>
        <v/>
      </c>
      <c r="P28" s="29" t="n"/>
      <c r="Q28" s="31">
        <f>IF(NOT(ISNUMBER(T28)),"",WORKDAY(T28,RTSKOffsetFromOUR_WD))</f>
        <v/>
      </c>
      <c r="R28" s="32" t="n"/>
      <c r="S28" s="29" t="n"/>
      <c r="T28" s="31">
        <f>IF(NOT(ISNUMBER(W28)),"",WORKDAY(W28,OUROffsetFromSR_WD))</f>
        <v/>
      </c>
      <c r="U28" s="32" t="n"/>
      <c r="V28" s="29" t="n"/>
      <c r="W28" s="31">
        <f>IF(NOT(ISNUMBER(K28)),"",WORKDAY(K28,SROffsetFromStartWD))</f>
        <v/>
      </c>
      <c r="X28" s="32" t="n"/>
      <c r="Y28" s="29" t="n"/>
      <c r="Z28" s="29" t="n"/>
      <c r="AA28" s="31">
        <f>IF(ISNUMBER(Q28),Q28,"")</f>
        <v/>
      </c>
      <c r="AB28" s="32" t="n"/>
      <c r="AC28" s="29" t="n"/>
      <c r="AD28" s="29" t="n"/>
      <c r="AE28" s="29" t="n"/>
      <c r="AF28" s="29" t="n"/>
      <c r="AG28" s="31">
        <f>IF(NOT(ISNUMBER(Q28)),"",Q28)</f>
        <v/>
      </c>
      <c r="AH28" s="32" t="n"/>
      <c r="AI28" s="29" t="n"/>
      <c r="AJ28" s="31">
        <f>IF(NOT(ISNUMBER(T28)),"",T28)</f>
        <v/>
      </c>
      <c r="AK28" s="32" t="n"/>
      <c r="AL28" s="29" t="n"/>
      <c r="AM28" s="31">
        <f>IF(NOT(ISNUMBER(W28)),"",W28)</f>
        <v/>
      </c>
      <c r="AN28" s="32" t="n"/>
      <c r="AO28" s="29" t="n"/>
      <c r="AP28" s="29" t="n"/>
      <c r="AQ28" s="31">
        <f>IF(ISNUMBER(AG28),AG28,"")</f>
        <v/>
      </c>
      <c r="AR28" s="32" t="n"/>
      <c r="AS28" s="29" t="n"/>
      <c r="AT28" s="29" t="n"/>
      <c r="AU28" s="29" t="n"/>
      <c r="AV28" s="29" t="n"/>
      <c r="AW28" s="31">
        <f>IF(NOT(ISNUMBER(Q28)),"",Q28)</f>
        <v/>
      </c>
      <c r="AX28" s="32" t="n"/>
      <c r="AY28" s="29" t="inlineStr">
        <is>
          <t>Blocked</t>
        </is>
      </c>
      <c r="AZ28" s="31">
        <f>IF(NOT(ISNUMBER(T28)),"",T28)</f>
        <v/>
      </c>
      <c r="BA28" s="32" t="n"/>
      <c r="BB28" s="29" t="n"/>
      <c r="BC28" s="31">
        <f>IF(NOT(ISNUMBER(W28)),"",W28)</f>
        <v/>
      </c>
      <c r="BD28" s="32" t="n"/>
      <c r="BE28" s="29" t="n"/>
      <c r="BF28" s="29" t="n"/>
      <c r="BG28" s="31">
        <f>IF(ISNUMBER(AW28),AW28,"")</f>
        <v/>
      </c>
      <c r="BH28" s="32" t="n"/>
      <c r="BI28" s="29" t="n"/>
      <c r="BJ28" s="29" t="n"/>
      <c r="BK28" s="29" t="n"/>
      <c r="BL28" s="29" t="n"/>
      <c r="BM28" s="31">
        <f>IF(OR(NOT(ISNUMBER(M28)),AND(WEEKDAY(M28,2)&lt;&gt;2,WEEKDAY(M28,2)&lt;&gt;4)),"",WORKDAY(M28,CABOffsetFromReleaseWD))</f>
        <v/>
      </c>
      <c r="BN28" s="29" t="n"/>
      <c r="BO28" s="31">
        <f>IF(NOT(ISNUMBER(BM28)),"",IF(WEEKDAY(BM28-CodeReviewCalendarDays,2)&gt;5,BM28-CodeReviewCalendarDays-(WEEKDAY(BM28-CodeReviewCalendarDays,2)-5),BM28-CodeReviewCalendarDays))</f>
        <v/>
      </c>
      <c r="BP28" s="29" t="n"/>
      <c r="BQ28" s="31">
        <f>IF(NOT(ISNUMBER(BO28)),"",IF(WEEKDAY(BO28-CodeReviewInviteCalendarDays,2)&gt;5,BO28-CodeReviewInviteCalendarDays-(WEEKDAY(BO28-CodeReviewInviteCalendarDays,2)-5),BO28-CodeReviewInviteCalendarDays))</f>
        <v/>
      </c>
      <c r="BR28" s="29" t="n"/>
      <c r="BS28" s="29" t="n"/>
      <c r="BT28" s="30">
        <f>IF(A28="","",IF(IF(AND(ISNUMBER(J28),WEEKDAY(J28,2)&lt;&gt;2,WEEKDAY(J28,2)&lt;&gt;4)," | Release must be Tuesday or Thursday","")&amp;IF(AND(ISNUMBER(H28),WEEKDAY(H28,2)&lt;&gt;1)," | Sprint Start is not a Monday - dates still calculated from the date entered","")&amp;IF(AND(A28&lt;&gt;"",NOT(ISNUMBER(H28)),NOT(ISNUMBER(J28)))," | Enter Sprint Start or Release Date","")&amp;IF(AND(ISNUMBER(F28),F28&lt;TODAY(),D28&lt;&gt;"Completed")," | One or more raise-by dates are in the past and not completed","")&amp;IF(AND(ISNUMBER(K28),K28-TODAY()&lt;SprintWarningDays,K28&gt;=TODAY(),OR(D28="Yet to start",D28="Blocked"))," | Sprint starts in under 10 days - raise access requests now","")&amp;IF(AND(ISNUMBER(BQ28),BR28&lt;&gt;"Completed",BQ28-TODAY()&lt;CodeReviewInviteCalendarDays)," | Code Review invite should be sent at least 4 days before Code Review","")="","",MID(IF(AND(ISNUMBER(J28),WEEKDAY(J28,2)&lt;&gt;2,WEEKDAY(J28,2)&lt;&gt;4)," | Release must be Tuesday or Thursday","")&amp;IF(AND(ISNUMBER(H28),WEEKDAY(H28,2)&lt;&gt;1)," | Sprint Start is not a Monday - dates still calculated from the date entered","")&amp;IF(AND(A28&lt;&gt;"",NOT(ISNUMBER(H28)),NOT(ISNUMBER(J28)))," | Enter Sprint Start or Release Date","")&amp;IF(AND(ISNUMBER(F28),F28&lt;TODAY(),D28&lt;&gt;"Completed")," | One or more raise-by dates are in the past and not completed","")&amp;IF(AND(ISNUMBER(K28),K28-TODAY()&lt;SprintWarningDays,K28&gt;=TODAY(),OR(D28="Yet to start",D28="Blocked"))," | Sprint starts in under 10 days - raise access requests now","")&amp;IF(AND(ISNUMBER(BQ28),BR28&lt;&gt;"Completed",BQ28-TODAY()&lt;CodeReviewInviteCalendarDays)," | Code Review invite should be sent at least 4 days before Code Review",""),4,500)))</f>
        <v/>
      </c>
      <c r="BU28">
        <f>IF(AND(ISNUMBER(Q28),S28&lt;&gt;"Completed"),Q28,"")</f>
        <v/>
      </c>
      <c r="BV28">
        <f>IF(AND(ISNUMBER(T28),V28&lt;&gt;"Completed"),T28,"")</f>
        <v/>
      </c>
      <c r="BW28">
        <f>IF(AND(ISNUMBER(W28),Y28&lt;&gt;"Completed"),W28,"")</f>
        <v/>
      </c>
      <c r="BX28">
        <f>IF(AND(ISNUMBER(AA28),AC28&lt;&gt;"Completed"),AA28,"")</f>
        <v/>
      </c>
      <c r="BY28">
        <f>IF(AND(ISNUMBER(AG28),AI28&lt;&gt;"Completed"),AG28,"")</f>
        <v/>
      </c>
      <c r="BZ28">
        <f>IF(AND(ISNUMBER(AJ28),AL28&lt;&gt;"Completed"),AJ28,"")</f>
        <v/>
      </c>
      <c r="CA28">
        <f>IF(AND(ISNUMBER(AM28),AO28&lt;&gt;"Completed"),AM28,"")</f>
        <v/>
      </c>
      <c r="CB28">
        <f>IF(AND(ISNUMBER(AQ28),AS28&lt;&gt;"Completed"),AQ28,"")</f>
        <v/>
      </c>
      <c r="CC28">
        <f>IF(AND(ISNUMBER(AW28),AY28&lt;&gt;"Completed"),AW28,"")</f>
        <v/>
      </c>
      <c r="CD28">
        <f>IF(AND(ISNUMBER(AZ28),BB28&lt;&gt;"Completed"),AZ28,"")</f>
        <v/>
      </c>
      <c r="CE28">
        <f>IF(AND(ISNUMBER(BC28),BE28&lt;&gt;"Completed"),BC28,"")</f>
        <v/>
      </c>
      <c r="CF28">
        <f>IF(AND(ISNUMBER(BG28),BI28&lt;&gt;"Completed"),BG28,"")</f>
        <v/>
      </c>
      <c r="CG28">
        <f>IF(AND(ISNUMBER(O28),P28&lt;&gt;"Completed"),O28,"")</f>
        <v/>
      </c>
      <c r="CH28">
        <f>IF(AND(ISNUMBER(BQ28),BR28&lt;&gt;"Completed"),BQ28,"")</f>
        <v/>
      </c>
      <c r="CI28">
        <f>IF(AND(ISNUMBER(BO28),BP28&lt;&gt;"Completed"),BO28,"")</f>
        <v/>
      </c>
      <c r="CJ28">
        <f>IF(AND(ISNUMBER(BM28),BN28&lt;&gt;"Completed"),BM28,"")</f>
        <v/>
      </c>
      <c r="CK28">
        <f>IF(OR(A28="",D28="Completed"),"",IF(N(G28)&gt;0,1/(N(G28)+ROW()/100000),IF(ISNUMBER(F28),1000+F28+ROW()/100000,TODAY()+400+ROW()/100000)))</f>
        <v/>
      </c>
    </row>
    <row r="29" ht="16" customHeight="1" s="39">
      <c r="A29" s="29" t="inlineStr">
        <is>
          <t>TRIAD</t>
        </is>
      </c>
      <c r="B29" s="29" t="inlineStr">
        <is>
          <t>Santhosh &lt;skoyalkar@randomtrees.com&gt;</t>
        </is>
      </c>
      <c r="C29" s="29" t="inlineStr">
        <is>
          <t>Sprint 18</t>
        </is>
      </c>
      <c r="D29" s="30">
        <f>IF(A28="","",IF(((S28="Blocked")+(V28="Blocked")+(Y28="Blocked")+(AC28="Blocked")+(AI28="Blocked")+(AL28="Blocked")+(AO28="Blocked")+(AS28="Blocked")+(AY28="Blocked")+(BB28="Blocked")+(BE28="Blocked")+(BI28="Blocked")+(P28="Blocked")+(BN28="Blocked")+(BP28="Blocked")+(BR28="Blocked")+(BS28="Blocked"))&gt;0,"Blocked",IF((ISNUMBER(Q28)+ISNUMBER(T28)+ISNUMBER(W28)+ISNUMBER(AA28)+ISNUMBER(AG28)+ISNUMBER(AJ28)+ISNUMBER(AM28)+ISNUMBER(AQ28)+ISNUMBER(AW28)+ISNUMBER(AZ28)+ISNUMBER(BC28)+ISNUMBER(BG28)+ISNUMBER(O28)+ISNUMBER(BM28)+ISNUMBER(BO28)+ISNUMBER(BQ28))=0,"Yet to start",IF(AND(OR(NOT(ISNUMBER(Q28)),S28="Completed"),OR(NOT(ISNUMBER(T28)),V28="Completed"),OR(NOT(ISNUMBER(W28)),Y28="Completed"),OR(NOT(ISNUMBER(AA28)),AC28="Completed"),OR(NOT(ISNUMBER(AG28)),AI28="Completed"),OR(NOT(ISNUMBER(AJ28)),AL28="Completed"),OR(NOT(ISNUMBER(AM28)),AO28="Completed"),OR(NOT(ISNUMBER(AQ28)),AS28="Completed"),OR(NOT(ISNUMBER(AW28)),AY28="Completed"),OR(NOT(ISNUMBER(AZ28)),BB28="Completed"),OR(NOT(ISNUMBER(BC28)),BE28="Completed"),OR(NOT(ISNUMBER(BG28)),BI28="Completed"),OR(NOT(ISNUMBER(O28)),P28="Completed"),OR(NOT(ISNUMBER(BM28)),BN28="Completed"),OR(NOT(ISNUMBER(BO28)),BP28="Completed"),OR(NOT(ISNUMBER(BQ28)),BR28="Completed"),BS28="Completed"),"Completed",IF(((S28="In Progress")+(V28="In Progress")+(Y28="In Progress")+(AC28="In Progress")+(AI28="In Progress")+(AL28="In Progress")+(AO28="In Progress")+(AS28="In Progress")+(AY28="In Progress")+(BB28="In Progress")+(BE28="In Progress")+(BI28="In Progress")+(P28="In Progress")+(BN28="In Progress")+(BP28="In Progress")+(BR28="In Progress")+(BS28="In Progress"))&gt;0,"In Progress","Yet to start")))))</f>
        <v/>
      </c>
      <c r="E29" s="30">
        <f>IF(A29="","",IF(F29="","All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Review","CAB"},MATCH(F29,BU29:CJ29,0))))</f>
        <v/>
      </c>
      <c r="F29" s="31">
        <f>IF(A29="","",IF(COUNT(BU29:CJ29)=0,"",MIN(BU29:CJ29)))</f>
        <v/>
      </c>
      <c r="G29" s="30">
        <f>IF(A29="","",MAX(0,IF(AND(ISNUMBER(Q29),S29&lt;&gt;"Completed",Q29&lt;TODAY()),TODAY()-Q29,0),IF(AND(ISNUMBER(T29),V29&lt;&gt;"Completed",T29&lt;TODAY()),TODAY()-T29,0),IF(AND(ISNUMBER(W29),Y29&lt;&gt;"Completed",W29&lt;TODAY()),TODAY()-W29,0),IF(AND(ISNUMBER(AA29),AC29&lt;&gt;"Completed",AA29&lt;TODAY()),TODAY()-AA29,0),IF(AND(ISNUMBER(AG29),AI29&lt;&gt;"Completed",AG29&lt;TODAY()),TODAY()-AG29,0),IF(AND(ISNUMBER(AJ29),AL29&lt;&gt;"Completed",AJ29&lt;TODAY()),TODAY()-AJ29,0),IF(AND(ISNUMBER(AM29),AO29&lt;&gt;"Completed",AM29&lt;TODAY()),TODAY()-AM29,0),IF(AND(ISNUMBER(AQ29),AS29&lt;&gt;"Completed",AQ29&lt;TODAY()),TODAY()-AQ29,0),IF(AND(ISNUMBER(AW29),AY29&lt;&gt;"Completed",AW29&lt;TODAY()),TODAY()-AW29,0),IF(AND(ISNUMBER(AZ29),BB29&lt;&gt;"Completed",AZ29&lt;TODAY()),TODAY()-AZ29,0),IF(AND(ISNUMBER(BC29),BE29&lt;&gt;"Completed",BC29&lt;TODAY()),TODAY()-BC29,0),IF(AND(ISNUMBER(BG29),BI29&lt;&gt;"Completed",BG29&lt;TODAY()),TODAY()-BG29,0),IF(AND(ISNUMBER(O29),P29&lt;&gt;"Completed",O29&lt;TODAY()),TODAY()-O29,0),IF(AND(ISNUMBER(BQ29),BR29&lt;&gt;"Completed",BQ29&lt;TODAY()),TODAY()-BQ29,0),IF(AND(ISNUMBER(BO29),BP29&lt;&gt;"Completed",BO29&lt;TODAY()),TODAY()-BO29,0),IF(AND(ISNUMBER(BM29),BN29&lt;&gt;"Completed",BM29&lt;TODAY()),TODAY()-BM29,0)))</f>
        <v/>
      </c>
      <c r="H29" s="32" t="n">
        <v>46246</v>
      </c>
      <c r="I29" s="32" t="n">
        <v>46259</v>
      </c>
      <c r="J29" s="32" t="n"/>
      <c r="K29" s="31">
        <f>IF(ISNUMBER(H29),H29,IF(ISNUMBER(M29),M29-WEEKDAY(M29,2)+1-7,""))</f>
        <v/>
      </c>
      <c r="L29" s="31">
        <f>IF(ISNUMBER(I29),I29,IF(ISNUMBER(H29),WORKDAY(H29,SprintWorkingDays-1),IF(ISNUMBER(K29),WORKDAY(K29,SprintWorkingDays-1),"")))</f>
        <v/>
      </c>
      <c r="M29" s="31">
        <f>IF(ISNUMBER(J29),J29,IF(ISNUMBER(I29),I29-IF(OR(WEEKDAY(I29,2)=2,WEEKDAY(I29,2)=4),0,IF(WEEKDAY(I29,2)=3,1,IF(WEEKDAY(I29,2)=1,4,WEEKDAY(I29,2)-4))),IF(ISNUMBER(H29),WORKDAY(H29,SprintWorkingDays-1)-IF(OR(WEEKDAY(WORKDAY(H29,SprintWorkingDays-1),2)=2,WEEKDAY(WORKDAY(H29,SprintWorkingDays-1),2)=4),0,IF(WEEKDAY(WORKDAY(H29,SprintWorkingDays-1),2)=3,1,IF(WEEKDAY(WORKDAY(H29,SprintWorkingDays-1),2)=1,4,WEEKDAY(WORKDAY(H29,SprintWorkingDays-1),2)-4))),"")))</f>
        <v/>
      </c>
      <c r="N29" s="31">
        <f>IF(NOT(ISNUMBER(K29)),"",WORKDAY(K29,ReadyOffsetWD))</f>
        <v/>
      </c>
      <c r="O29" s="31">
        <f>IF(NOT(ISNUMBER(K29)),"",WORKDAY(K29,SprintReadinessOffsetWD))</f>
        <v/>
      </c>
      <c r="P29" s="29" t="n"/>
      <c r="Q29" s="31">
        <f>IF(NOT(ISNUMBER(T29)),"",WORKDAY(T29,RTSKOffsetFromOUR_WD))</f>
        <v/>
      </c>
      <c r="R29" s="32" t="n"/>
      <c r="S29" s="29" t="n"/>
      <c r="T29" s="31">
        <f>IF(NOT(ISNUMBER(W29)),"",WORKDAY(W29,OUROffsetFromSR_WD))</f>
        <v/>
      </c>
      <c r="U29" s="32" t="n"/>
      <c r="V29" s="29" t="n"/>
      <c r="W29" s="31">
        <f>IF(NOT(ISNUMBER(K29)),"",WORKDAY(K29,SROffsetFromStartWD))</f>
        <v/>
      </c>
      <c r="X29" s="32" t="n"/>
      <c r="Y29" s="29" t="n"/>
      <c r="Z29" s="29" t="n"/>
      <c r="AA29" s="31">
        <f>IF(ISNUMBER(Q29),Q29,"")</f>
        <v/>
      </c>
      <c r="AB29" s="32" t="n"/>
      <c r="AC29" s="29" t="n"/>
      <c r="AD29" s="29" t="n"/>
      <c r="AE29" s="29" t="n"/>
      <c r="AF29" s="29" t="n"/>
      <c r="AG29" s="31">
        <f>IF(NOT(ISNUMBER(Q29)),"",Q29)</f>
        <v/>
      </c>
      <c r="AH29" s="32" t="n"/>
      <c r="AI29" s="29" t="n"/>
      <c r="AJ29" s="31">
        <f>IF(NOT(ISNUMBER(T29)),"",T29)</f>
        <v/>
      </c>
      <c r="AK29" s="32" t="n"/>
      <c r="AL29" s="29" t="n"/>
      <c r="AM29" s="31">
        <f>IF(NOT(ISNUMBER(W29)),"",W29)</f>
        <v/>
      </c>
      <c r="AN29" s="32" t="n"/>
      <c r="AO29" s="29" t="n"/>
      <c r="AP29" s="29" t="n"/>
      <c r="AQ29" s="31">
        <f>IF(ISNUMBER(AG29),AG29,"")</f>
        <v/>
      </c>
      <c r="AR29" s="32" t="n"/>
      <c r="AS29" s="29" t="n"/>
      <c r="AT29" s="29" t="n"/>
      <c r="AU29" s="29" t="n"/>
      <c r="AV29" s="29" t="n"/>
      <c r="AW29" s="31">
        <f>IF(NOT(ISNUMBER(Q29)),"",Q29)</f>
        <v/>
      </c>
      <c r="AX29" s="32" t="n"/>
      <c r="AY29" s="29" t="inlineStr">
        <is>
          <t>Blocked</t>
        </is>
      </c>
      <c r="AZ29" s="31">
        <f>IF(NOT(ISNUMBER(T29)),"",T29)</f>
        <v/>
      </c>
      <c r="BA29" s="32" t="n"/>
      <c r="BB29" s="29" t="n"/>
      <c r="BC29" s="31">
        <f>IF(NOT(ISNUMBER(W29)),"",W29)</f>
        <v/>
      </c>
      <c r="BD29" s="32" t="n"/>
      <c r="BE29" s="29" t="n"/>
      <c r="BF29" s="29" t="n"/>
      <c r="BG29" s="31">
        <f>IF(ISNUMBER(AW29),AW29,"")</f>
        <v/>
      </c>
      <c r="BH29" s="32" t="n"/>
      <c r="BI29" s="29" t="n"/>
      <c r="BJ29" s="29" t="n"/>
      <c r="BK29" s="29" t="n"/>
      <c r="BL29" s="29" t="n"/>
      <c r="BM29" s="31">
        <f>IF(OR(NOT(ISNUMBER(M29)),AND(WEEKDAY(M29,2)&lt;&gt;2,WEEKDAY(M29,2)&lt;&gt;4)),"",WORKDAY(M29,CABOffsetFromReleaseWD))</f>
        <v/>
      </c>
      <c r="BN29" s="29" t="n"/>
      <c r="BO29" s="31">
        <f>IF(NOT(ISNUMBER(BM29)),"",IF(WEEKDAY(BM29-CodeReviewCalendarDays,2)&gt;5,BM29-CodeReviewCalendarDays-(WEEKDAY(BM29-CodeReviewCalendarDays,2)-5),BM29-CodeReviewCalendarDays))</f>
        <v/>
      </c>
      <c r="BP29" s="29" t="n"/>
      <c r="BQ29" s="31">
        <f>IF(NOT(ISNUMBER(BO29)),"",IF(WEEKDAY(BO29-CodeReviewInviteCalendarDays,2)&gt;5,BO29-CodeReviewInviteCalendarDays-(WEEKDAY(BO29-CodeReviewInviteCalendarDays,2)-5),BO29-CodeReviewInviteCalendarDays))</f>
        <v/>
      </c>
      <c r="BR29" s="29" t="n"/>
      <c r="BS29" s="29" t="n"/>
      <c r="BT29" s="30">
        <f>IF(A29="","",IF(IF(AND(ISNUMBER(J29),WEEKDAY(J29,2)&lt;&gt;2,WEEKDAY(J29,2)&lt;&gt;4)," | Release must be Tuesday or Thursday","")&amp;IF(AND(ISNUMBER(H29),WEEKDAY(H29,2)&lt;&gt;1)," | Sprint Start is not a Monday - dates still calculated from the date entered","")&amp;IF(AND(A29&lt;&gt;"",NOT(ISNUMBER(H29)),NOT(ISNUMBER(J29)))," | Enter Sprint Start or Release Date","")&amp;IF(AND(ISNUMBER(F29),F29&lt;TODAY(),D29&lt;&gt;"Completed")," | One or more raise-by dates are in the past and not completed","")&amp;IF(AND(ISNUMBER(K29),K29-TODAY()&lt;SprintWarningDays,K29&gt;=TODAY(),OR(D29="Yet to start",D29="Blocked"))," | Sprint starts in under 10 days - raise access requests now","")&amp;IF(AND(ISNUMBER(BQ29),BR29&lt;&gt;"Completed",BQ29-TODAY()&lt;CodeReviewInviteCalendarDays)," | Code Review invite should be sent at least 4 days before Code Review","")="","",MID(IF(AND(ISNUMBER(J29),WEEKDAY(J29,2)&lt;&gt;2,WEEKDAY(J29,2)&lt;&gt;4)," | Release must be Tuesday or Thursday","")&amp;IF(AND(ISNUMBER(H29),WEEKDAY(H29,2)&lt;&gt;1)," | Sprint Start is not a Monday - dates still calculated from the date entered","")&amp;IF(AND(A29&lt;&gt;"",NOT(ISNUMBER(H29)),NOT(ISNUMBER(J29)))," | Enter Sprint Start or Release Date","")&amp;IF(AND(ISNUMBER(F29),F29&lt;TODAY(),D29&lt;&gt;"Completed")," | One or more raise-by dates are in the past and not completed","")&amp;IF(AND(ISNUMBER(K29),K29-TODAY()&lt;SprintWarningDays,K29&gt;=TODAY(),OR(D29="Yet to start",D29="Blocked"))," | Sprint starts in under 10 days - raise access requests now","")&amp;IF(AND(ISNUMBER(BQ29),BR29&lt;&gt;"Completed",BQ29-TODAY()&lt;CodeReviewInviteCalendarDays)," | Code Review invite should be sent at least 4 days before Code Review",""),4,500)))</f>
        <v/>
      </c>
      <c r="BU29">
        <f>IF(AND(ISNUMBER(Q29),S29&lt;&gt;"Completed"),Q29,"")</f>
        <v/>
      </c>
      <c r="BV29">
        <f>IF(AND(ISNUMBER(T29),V29&lt;&gt;"Completed"),T29,"")</f>
        <v/>
      </c>
      <c r="BW29">
        <f>IF(AND(ISNUMBER(W29),Y29&lt;&gt;"Completed"),W29,"")</f>
        <v/>
      </c>
      <c r="BX29">
        <f>IF(AND(ISNUMBER(AA29),AC29&lt;&gt;"Completed"),AA29,"")</f>
        <v/>
      </c>
      <c r="BY29">
        <f>IF(AND(ISNUMBER(AG29),AI29&lt;&gt;"Completed"),AG29,"")</f>
        <v/>
      </c>
      <c r="BZ29">
        <f>IF(AND(ISNUMBER(AJ29),AL29&lt;&gt;"Completed"),AJ29,"")</f>
        <v/>
      </c>
      <c r="CA29">
        <f>IF(AND(ISNUMBER(AM29),AO29&lt;&gt;"Completed"),AM29,"")</f>
        <v/>
      </c>
      <c r="CB29">
        <f>IF(AND(ISNUMBER(AQ29),AS29&lt;&gt;"Completed"),AQ29,"")</f>
        <v/>
      </c>
      <c r="CC29">
        <f>IF(AND(ISNUMBER(AW29),AY29&lt;&gt;"Completed"),AW29,"")</f>
        <v/>
      </c>
      <c r="CD29">
        <f>IF(AND(ISNUMBER(AZ29),BB29&lt;&gt;"Completed"),AZ29,"")</f>
        <v/>
      </c>
      <c r="CE29">
        <f>IF(AND(ISNUMBER(BC29),BE29&lt;&gt;"Completed"),BC29,"")</f>
        <v/>
      </c>
      <c r="CF29">
        <f>IF(AND(ISNUMBER(BG29),BI29&lt;&gt;"Completed"),BG29,"")</f>
        <v/>
      </c>
      <c r="CG29">
        <f>IF(AND(ISNUMBER(O29),P29&lt;&gt;"Completed"),O29,"")</f>
        <v/>
      </c>
      <c r="CH29">
        <f>IF(AND(ISNUMBER(BQ29),BR29&lt;&gt;"Completed"),BQ29,"")</f>
        <v/>
      </c>
      <c r="CI29">
        <f>IF(AND(ISNUMBER(BO29),BP29&lt;&gt;"Completed"),BO29,"")</f>
        <v/>
      </c>
      <c r="CJ29">
        <f>IF(AND(ISNUMBER(BM29),BN29&lt;&gt;"Completed"),BM29,"")</f>
        <v/>
      </c>
      <c r="CK29">
        <f>IF(OR(A29="",D29="Completed"),"",IF(N(G29)&gt;0,1/(N(G29)+ROW()/100000),IF(ISNUMBER(F29),1000+F29+ROW()/100000,TODAY()+400+ROW()/100000)))</f>
        <v/>
      </c>
    </row>
    <row r="30" ht="16" customHeight="1" s="39">
      <c r="A30" s="29" t="inlineStr">
        <is>
          <t>UIBUDGETS</t>
        </is>
      </c>
      <c r="B30" s="29" t="inlineStr">
        <is>
          <t>Sandeep &lt;sgodi@randomtrees.com&gt;</t>
        </is>
      </c>
      <c r="C30" s="29" t="inlineStr">
        <is>
          <t>Sprint 18</t>
        </is>
      </c>
      <c r="D30" s="30">
        <f>IF(A29="","",IF(((S29="Blocked")+(V29="Blocked")+(Y29="Blocked")+(AC29="Blocked")+(AI29="Blocked")+(AL29="Blocked")+(AO29="Blocked")+(AS29="Blocked")+(AY29="Blocked")+(BB29="Blocked")+(BE29="Blocked")+(BI29="Blocked")+(P29="Blocked")+(BN29="Blocked")+(BP29="Blocked")+(BR29="Blocked")+(BS29="Blocked"))&gt;0,"Blocked",IF((ISNUMBER(Q29)+ISNUMBER(T29)+ISNUMBER(W29)+ISNUMBER(AA29)+ISNUMBER(AG29)+ISNUMBER(AJ29)+ISNUMBER(AM29)+ISNUMBER(AQ29)+ISNUMBER(AW29)+ISNUMBER(AZ29)+ISNUMBER(BC29)+ISNUMBER(BG29)+ISNUMBER(O29)+ISNUMBER(BM29)+ISNUMBER(BO29)+ISNUMBER(BQ29))=0,"Yet to start",IF(AND(OR(NOT(ISNUMBER(Q29)),S29="Completed"),OR(NOT(ISNUMBER(T29)),V29="Completed"),OR(NOT(ISNUMBER(W29)),Y29="Completed"),OR(NOT(ISNUMBER(AA29)),AC29="Completed"),OR(NOT(ISNUMBER(AG29)),AI29="Completed"),OR(NOT(ISNUMBER(AJ29)),AL29="Completed"),OR(NOT(ISNUMBER(AM29)),AO29="Completed"),OR(NOT(ISNUMBER(AQ29)),AS29="Completed"),OR(NOT(ISNUMBER(AW29)),AY29="Completed"),OR(NOT(ISNUMBER(AZ29)),BB29="Completed"),OR(NOT(ISNUMBER(BC29)),BE29="Completed"),OR(NOT(ISNUMBER(BG29)),BI29="Completed"),OR(NOT(ISNUMBER(O29)),P29="Completed"),OR(NOT(ISNUMBER(BM29)),BN29="Completed"),OR(NOT(ISNUMBER(BO29)),BP29="Completed"),OR(NOT(ISNUMBER(BQ29)),BR29="Completed"),BS29="Completed"),"Completed",IF(((S29="In Progress")+(V29="In Progress")+(Y29="In Progress")+(AC29="In Progress")+(AI29="In Progress")+(AL29="In Progress")+(AO29="In Progress")+(AS29="In Progress")+(AY29="In Progress")+(BB29="In Progress")+(BE29="In Progress")+(BI29="In Progress")+(P29="In Progress")+(BN29="In Progress")+(BP29="In Progress")+(BR29="In Progress")+(BS29="In Progress"))&gt;0,"In Progress","Yet to start")))))</f>
        <v/>
      </c>
      <c r="E30" s="30">
        <f>IF(A30="","",IF(F30="","All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Review","CAB"},MATCH(F30,BU30:CJ30,0))))</f>
        <v/>
      </c>
      <c r="F30" s="31">
        <f>IF(A30="","",IF(COUNT(BU30:CJ30)=0,"",MIN(BU30:CJ30)))</f>
        <v/>
      </c>
      <c r="G30" s="30">
        <f>IF(A30="","",MAX(0,IF(AND(ISNUMBER(Q30),S30&lt;&gt;"Completed",Q30&lt;TODAY()),TODAY()-Q30,0),IF(AND(ISNUMBER(T30),V30&lt;&gt;"Completed",T30&lt;TODAY()),TODAY()-T30,0),IF(AND(ISNUMBER(W30),Y30&lt;&gt;"Completed",W30&lt;TODAY()),TODAY()-W30,0),IF(AND(ISNUMBER(AA30),AC30&lt;&gt;"Completed",AA30&lt;TODAY()),TODAY()-AA30,0),IF(AND(ISNUMBER(AG30),AI30&lt;&gt;"Completed",AG30&lt;TODAY()),TODAY()-AG30,0),IF(AND(ISNUMBER(AJ30),AL30&lt;&gt;"Completed",AJ30&lt;TODAY()),TODAY()-AJ30,0),IF(AND(ISNUMBER(AM30),AO30&lt;&gt;"Completed",AM30&lt;TODAY()),TODAY()-AM30,0),IF(AND(ISNUMBER(AQ30),AS30&lt;&gt;"Completed",AQ30&lt;TODAY()),TODAY()-AQ30,0),IF(AND(ISNUMBER(AW30),AY30&lt;&gt;"Completed",AW30&lt;TODAY()),TODAY()-AW30,0),IF(AND(ISNUMBER(AZ30),BB30&lt;&gt;"Completed",AZ30&lt;TODAY()),TODAY()-AZ30,0),IF(AND(ISNUMBER(BC30),BE30&lt;&gt;"Completed",BC30&lt;TODAY()),TODAY()-BC30,0),IF(AND(ISNUMBER(BG30),BI30&lt;&gt;"Completed",BG30&lt;TODAY()),TODAY()-BG30,0),IF(AND(ISNUMBER(O30),P30&lt;&gt;"Completed",O30&lt;TODAY()),TODAY()-O30,0),IF(AND(ISNUMBER(BQ30),BR30&lt;&gt;"Completed",BQ30&lt;TODAY()),TODAY()-BQ30,0),IF(AND(ISNUMBER(BO30),BP30&lt;&gt;"Completed",BO30&lt;TODAY()),TODAY()-BO30,0),IF(AND(ISNUMBER(BM30),BN30&lt;&gt;"Completed",BM30&lt;TODAY()),TODAY()-BM30,0)))</f>
        <v/>
      </c>
      <c r="H30" s="32" t="n">
        <v>46246</v>
      </c>
      <c r="I30" s="32" t="n">
        <v>46259</v>
      </c>
      <c r="J30" s="32" t="n"/>
      <c r="K30" s="31">
        <f>IF(ISNUMBER(H30),H30,IF(ISNUMBER(M30),M30-WEEKDAY(M30,2)+1-7,""))</f>
        <v/>
      </c>
      <c r="L30" s="31">
        <f>IF(ISNUMBER(I30),I30,IF(ISNUMBER(H30),WORKDAY(H30,SprintWorkingDays-1),IF(ISNUMBER(K30),WORKDAY(K30,SprintWorkingDays-1),"")))</f>
        <v/>
      </c>
      <c r="M30" s="31">
        <f>IF(ISNUMBER(J30),J30,IF(ISNUMBER(I30),I30-IF(OR(WEEKDAY(I30,2)=2,WEEKDAY(I30,2)=4),0,IF(WEEKDAY(I30,2)=3,1,IF(WEEKDAY(I30,2)=1,4,WEEKDAY(I30,2)-4))),IF(ISNUMBER(H30),WORKDAY(H30,SprintWorkingDays-1)-IF(OR(WEEKDAY(WORKDAY(H30,SprintWorkingDays-1),2)=2,WEEKDAY(WORKDAY(H30,SprintWorkingDays-1),2)=4),0,IF(WEEKDAY(WORKDAY(H30,SprintWorkingDays-1),2)=3,1,IF(WEEKDAY(WORKDAY(H30,SprintWorkingDays-1),2)=1,4,WEEKDAY(WORKDAY(H30,SprintWorkingDays-1),2)-4))),"")))</f>
        <v/>
      </c>
      <c r="N30" s="31">
        <f>IF(NOT(ISNUMBER(K30)),"",WORKDAY(K30,ReadyOffsetWD))</f>
        <v/>
      </c>
      <c r="O30" s="31">
        <f>IF(NOT(ISNUMBER(K30)),"",WORKDAY(K30,SprintReadinessOffsetWD))</f>
        <v/>
      </c>
      <c r="P30" s="29" t="n"/>
      <c r="Q30" s="31">
        <f>IF(NOT(ISNUMBER(T30)),"",WORKDAY(T30,RTSKOffsetFromOUR_WD))</f>
        <v/>
      </c>
      <c r="R30" s="32" t="n"/>
      <c r="S30" s="29" t="n"/>
      <c r="T30" s="31">
        <f>IF(NOT(ISNUMBER(W30)),"",WORKDAY(W30,OUROffsetFromSR_WD))</f>
        <v/>
      </c>
      <c r="U30" s="32" t="n"/>
      <c r="V30" s="29" t="n"/>
      <c r="W30" s="31">
        <f>IF(NOT(ISNUMBER(K30)),"",WORKDAY(K30,SROffsetFromStartWD))</f>
        <v/>
      </c>
      <c r="X30" s="32" t="n"/>
      <c r="Y30" s="29" t="n"/>
      <c r="Z30" s="29" t="n"/>
      <c r="AA30" s="31">
        <f>IF(ISNUMBER(Q30),Q30,"")</f>
        <v/>
      </c>
      <c r="AB30" s="32" t="n"/>
      <c r="AC30" s="29" t="n"/>
      <c r="AD30" s="29" t="n"/>
      <c r="AE30" s="29" t="n"/>
      <c r="AF30" s="29" t="n"/>
      <c r="AG30" s="31">
        <f>IF(NOT(ISNUMBER(Q30)),"",Q30)</f>
        <v/>
      </c>
      <c r="AH30" s="32" t="n"/>
      <c r="AI30" s="29" t="n"/>
      <c r="AJ30" s="31">
        <f>IF(NOT(ISNUMBER(T30)),"",T30)</f>
        <v/>
      </c>
      <c r="AK30" s="32" t="n"/>
      <c r="AL30" s="29" t="n"/>
      <c r="AM30" s="31">
        <f>IF(NOT(ISNUMBER(W30)),"",W30)</f>
        <v/>
      </c>
      <c r="AN30" s="32" t="n"/>
      <c r="AO30" s="29" t="n"/>
      <c r="AP30" s="29" t="n"/>
      <c r="AQ30" s="31">
        <f>IF(ISNUMBER(AG30),AG30,"")</f>
        <v/>
      </c>
      <c r="AR30" s="32" t="n"/>
      <c r="AS30" s="29" t="n"/>
      <c r="AT30" s="29" t="n"/>
      <c r="AU30" s="29" t="n"/>
      <c r="AV30" s="29" t="n"/>
      <c r="AW30" s="31">
        <f>IF(NOT(ISNUMBER(Q30)),"",Q30)</f>
        <v/>
      </c>
      <c r="AX30" s="32" t="n"/>
      <c r="AY30" s="29" t="n"/>
      <c r="AZ30" s="31">
        <f>IF(NOT(ISNUMBER(T30)),"",T30)</f>
        <v/>
      </c>
      <c r="BA30" s="32" t="n"/>
      <c r="BB30" s="29" t="n"/>
      <c r="BC30" s="31">
        <f>IF(NOT(ISNUMBER(W30)),"",W30)</f>
        <v/>
      </c>
      <c r="BD30" s="32" t="n"/>
      <c r="BE30" s="29" t="n"/>
      <c r="BF30" s="29" t="n"/>
      <c r="BG30" s="31">
        <f>IF(ISNUMBER(AW30),AW30,"")</f>
        <v/>
      </c>
      <c r="BH30" s="32" t="n"/>
      <c r="BI30" s="29" t="n"/>
      <c r="BJ30" s="29" t="n"/>
      <c r="BK30" s="29" t="n"/>
      <c r="BL30" s="29" t="n"/>
      <c r="BM30" s="31">
        <f>IF(OR(NOT(ISNUMBER(M30)),AND(WEEKDAY(M30,2)&lt;&gt;2,WEEKDAY(M30,2)&lt;&gt;4)),"",WORKDAY(M30,CABOffsetFromReleaseWD))</f>
        <v/>
      </c>
      <c r="BN30" s="29" t="n"/>
      <c r="BO30" s="31">
        <f>IF(NOT(ISNUMBER(BM30)),"",IF(WEEKDAY(BM30-CodeReviewCalendarDays,2)&gt;5,BM30-CodeReviewCalendarDays-(WEEKDAY(BM30-CodeReviewCalendarDays,2)-5),BM30-CodeReviewCalendarDays))</f>
        <v/>
      </c>
      <c r="BP30" s="29" t="n"/>
      <c r="BQ30" s="31">
        <f>IF(NOT(ISNUMBER(BO30)),"",IF(WEEKDAY(BO30-CodeReviewInviteCalendarDays,2)&gt;5,BO30-CodeReviewInviteCalendarDays-(WEEKDAY(BO30-CodeReviewInviteCalendarDays,2)-5),BO30-CodeReviewInviteCalendarDays))</f>
        <v/>
      </c>
      <c r="BR30" s="29" t="n"/>
      <c r="BS30" s="29" t="n"/>
      <c r="BT30" s="30">
        <f>IF(A30="","",IF(IF(AND(ISNUMBER(J30),WEEKDAY(J30,2)&lt;&gt;2,WEEKDAY(J30,2)&lt;&gt;4)," | Release must be Tuesday or Thursday","")&amp;IF(AND(ISNUMBER(H30),WEEKDAY(H30,2)&lt;&gt;1)," | Sprint Start is not a Monday - dates still calculated from the date entered","")&amp;IF(AND(A30&lt;&gt;"",NOT(ISNUMBER(H30)),NOT(ISNUMBER(J30)))," | Enter Sprint Start or Release Date","")&amp;IF(AND(ISNUMBER(F30),F30&lt;TODAY(),D30&lt;&gt;"Completed")," | One or more raise-by dates are in the past and not completed","")&amp;IF(AND(ISNUMBER(K30),K30-TODAY()&lt;SprintWarningDays,K30&gt;=TODAY(),OR(D30="Yet to start",D30="Blocked"))," | Sprint starts in under 10 days - raise access requests now","")&amp;IF(AND(ISNUMBER(BQ30),BR30&lt;&gt;"Completed",BQ30-TODAY()&lt;CodeReviewInviteCalendarDays)," | Code Review invite should be sent at least 4 days before Code Review","")="","",MID(IF(AND(ISNUMBER(J30),WEEKDAY(J30,2)&lt;&gt;2,WEEKDAY(J30,2)&lt;&gt;4)," | Release must be Tuesday or Thursday","")&amp;IF(AND(ISNUMBER(H30),WEEKDAY(H30,2)&lt;&gt;1)," | Sprint Start is not a Monday - dates still calculated from the date entered","")&amp;IF(AND(A30&lt;&gt;"",NOT(ISNUMBER(H30)),NOT(ISNUMBER(J30)))," | Enter Sprint Start or Release Date","")&amp;IF(AND(ISNUMBER(F30),F30&lt;TODAY(),D30&lt;&gt;"Completed")," | One or more raise-by dates are in the past and not completed","")&amp;IF(AND(ISNUMBER(K30),K30-TODAY()&lt;SprintWarningDays,K30&gt;=TODAY(),OR(D30="Yet to start",D30="Blocked"))," | Sprint starts in under 10 days - raise access requests now","")&amp;IF(AND(ISNUMBER(BQ30),BR30&lt;&gt;"Completed",BQ30-TODAY()&lt;CodeReviewInviteCalendarDays)," | Code Review invite should be sent at least 4 days before Code Review",""),4,500)))</f>
        <v/>
      </c>
      <c r="BU30">
        <f>IF(AND(ISNUMBER(Q30),S30&lt;&gt;"Completed"),Q30,"")</f>
        <v/>
      </c>
      <c r="BV30">
        <f>IF(AND(ISNUMBER(T30),V30&lt;&gt;"Completed"),T30,"")</f>
        <v/>
      </c>
      <c r="BW30">
        <f>IF(AND(ISNUMBER(W30),Y30&lt;&gt;"Completed"),W30,"")</f>
        <v/>
      </c>
      <c r="BX30">
        <f>IF(AND(ISNUMBER(AA30),AC30&lt;&gt;"Completed"),AA30,"")</f>
        <v/>
      </c>
      <c r="BY30">
        <f>IF(AND(ISNUMBER(AG30),AI30&lt;&gt;"Completed"),AG30,"")</f>
        <v/>
      </c>
      <c r="BZ30">
        <f>IF(AND(ISNUMBER(AJ30),AL30&lt;&gt;"Completed"),AJ30,"")</f>
        <v/>
      </c>
      <c r="CA30">
        <f>IF(AND(ISNUMBER(AM30),AO30&lt;&gt;"Completed"),AM30,"")</f>
        <v/>
      </c>
      <c r="CB30">
        <f>IF(AND(ISNUMBER(AQ30),AS30&lt;&gt;"Completed"),AQ30,"")</f>
        <v/>
      </c>
      <c r="CC30">
        <f>IF(AND(ISNUMBER(AW30),AY30&lt;&gt;"Completed"),AW30,"")</f>
        <v/>
      </c>
      <c r="CD30">
        <f>IF(AND(ISNUMBER(AZ30),BB30&lt;&gt;"Completed"),AZ30,"")</f>
        <v/>
      </c>
      <c r="CE30">
        <f>IF(AND(ISNUMBER(BC30),BE30&lt;&gt;"Completed"),BC30,"")</f>
        <v/>
      </c>
      <c r="CF30">
        <f>IF(AND(ISNUMBER(BG30),BI30&lt;&gt;"Completed"),BG30,"")</f>
        <v/>
      </c>
      <c r="CG30">
        <f>IF(AND(ISNUMBER(O30),P30&lt;&gt;"Completed"),O30,"")</f>
        <v/>
      </c>
      <c r="CH30">
        <f>IF(AND(ISNUMBER(BQ30),BR30&lt;&gt;"Completed"),BQ30,"")</f>
        <v/>
      </c>
      <c r="CI30">
        <f>IF(AND(ISNUMBER(BO30),BP30&lt;&gt;"Completed"),BO30,"")</f>
        <v/>
      </c>
      <c r="CJ30">
        <f>IF(AND(ISNUMBER(BM30),BN30&lt;&gt;"Completed"),BM30,"")</f>
        <v/>
      </c>
      <c r="CK30">
        <f>IF(OR(A30="",D30="Completed"),"",IF(N(G30)&gt;0,1/(N(G30)+ROW()/100000),IF(ISNUMBER(F30),1000+F30+ROW()/100000,TODAY()+400+ROW()/100000)))</f>
        <v/>
      </c>
    </row>
    <row r="31" ht="16" customHeight="1" s="39">
      <c r="A31" s="29" t="inlineStr">
        <is>
          <t>IKW_DWMS</t>
        </is>
      </c>
      <c r="B31" s="29" t="inlineStr">
        <is>
          <t>Ragavendhar &lt;aragavendhar@randomtrees.com&gt;</t>
        </is>
      </c>
      <c r="C31" s="29" t="inlineStr">
        <is>
          <t>Sprint 18</t>
        </is>
      </c>
      <c r="D31" s="30">
        <f>IF(A30="","",IF(((S30="Blocked")+(V30="Blocked")+(Y30="Blocked")+(AC30="Blocked")+(AI30="Blocked")+(AL30="Blocked")+(AO30="Blocked")+(AS30="Blocked")+(AY30="Blocked")+(BB30="Blocked")+(BE30="Blocked")+(BI30="Blocked")+(P30="Blocked")+(BN30="Blocked")+(BP30="Blocked")+(BR30="Blocked")+(BS30="Blocked"))&gt;0,"Blocked",IF((ISNUMBER(Q30)+ISNUMBER(T30)+ISNUMBER(W30)+ISNUMBER(AA30)+ISNUMBER(AG30)+ISNUMBER(AJ30)+ISNUMBER(AM30)+ISNUMBER(AQ30)+ISNUMBER(AW30)+ISNUMBER(AZ30)+ISNUMBER(BC30)+ISNUMBER(BG30)+ISNUMBER(O30)+ISNUMBER(BM30)+ISNUMBER(BO30)+ISNUMBER(BQ30))=0,"Yet to start",IF(AND(OR(NOT(ISNUMBER(Q30)),S30="Completed"),OR(NOT(ISNUMBER(T30)),V30="Completed"),OR(NOT(ISNUMBER(W30)),Y30="Completed"),OR(NOT(ISNUMBER(AA30)),AC30="Completed"),OR(NOT(ISNUMBER(AG30)),AI30="Completed"),OR(NOT(ISNUMBER(AJ30)),AL30="Completed"),OR(NOT(ISNUMBER(AM30)),AO30="Completed"),OR(NOT(ISNUMBER(AQ30)),AS30="Completed"),OR(NOT(ISNUMBER(AW30)),AY30="Completed"),OR(NOT(ISNUMBER(AZ30)),BB30="Completed"),OR(NOT(ISNUMBER(BC30)),BE30="Completed"),OR(NOT(ISNUMBER(BG30)),BI30="Completed"),OR(NOT(ISNUMBER(O30)),P30="Completed"),OR(NOT(ISNUMBER(BM30)),BN30="Completed"),OR(NOT(ISNUMBER(BO30)),BP30="Completed"),OR(NOT(ISNUMBER(BQ30)),BR30="Completed"),BS30="Completed"),"Completed",IF(((S30="In Progress")+(V30="In Progress")+(Y30="In Progress")+(AC30="In Progress")+(AI30="In Progress")+(AL30="In Progress")+(AO30="In Progress")+(AS30="In Progress")+(AY30="In Progress")+(BB30="In Progress")+(BE30="In Progress")+(BI30="In Progress")+(P30="In Progress")+(BN30="In Progress")+(BP30="In Progress")+(BR30="In Progress")+(BS30="In Progress"))&gt;0,"In Progress","Yet to start")))))</f>
        <v/>
      </c>
      <c r="E31" s="30">
        <f>IF(A31="","",IF(F31="","All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Review","CAB"},MATCH(F31,BU31:CJ31,0))))</f>
        <v/>
      </c>
      <c r="F31" s="31">
        <f>IF(A31="","",IF(COUNT(BU31:CJ31)=0,"",MIN(BU31:CJ31)))</f>
        <v/>
      </c>
      <c r="G31" s="30">
        <f>IF(A31="","",MAX(0,IF(AND(ISNUMBER(Q31),S31&lt;&gt;"Completed",Q31&lt;TODAY()),TODAY()-Q31,0),IF(AND(ISNUMBER(T31),V31&lt;&gt;"Completed",T31&lt;TODAY()),TODAY()-T31,0),IF(AND(ISNUMBER(W31),Y31&lt;&gt;"Completed",W31&lt;TODAY()),TODAY()-W31,0),IF(AND(ISNUMBER(AA31),AC31&lt;&gt;"Completed",AA31&lt;TODAY()),TODAY()-AA31,0),IF(AND(ISNUMBER(AG31),AI31&lt;&gt;"Completed",AG31&lt;TODAY()),TODAY()-AG31,0),IF(AND(ISNUMBER(AJ31),AL31&lt;&gt;"Completed",AJ31&lt;TODAY()),TODAY()-AJ31,0),IF(AND(ISNUMBER(AM31),AO31&lt;&gt;"Completed",AM31&lt;TODAY()),TODAY()-AM31,0),IF(AND(ISNUMBER(AQ31),AS31&lt;&gt;"Completed",AQ31&lt;TODAY()),TODAY()-AQ31,0),IF(AND(ISNUMBER(AW31),AY31&lt;&gt;"Completed",AW31&lt;TODAY()),TODAY()-AW31,0),IF(AND(ISNUMBER(AZ31),BB31&lt;&gt;"Completed",AZ31&lt;TODAY()),TODAY()-AZ31,0),IF(AND(ISNUMBER(BC31),BE31&lt;&gt;"Completed",BC31&lt;TODAY()),TODAY()-BC31,0),IF(AND(ISNUMBER(BG31),BI31&lt;&gt;"Completed",BG31&lt;TODAY()),TODAY()-BG31,0),IF(AND(ISNUMBER(O31),P31&lt;&gt;"Completed",O31&lt;TODAY()),TODAY()-O31,0),IF(AND(ISNUMBER(BQ31),BR31&lt;&gt;"Completed",BQ31&lt;TODAY()),TODAY()-BQ31,0),IF(AND(ISNUMBER(BO31),BP31&lt;&gt;"Completed",BO31&lt;TODAY()),TODAY()-BO31,0),IF(AND(ISNUMBER(BM31),BN31&lt;&gt;"Completed",BM31&lt;TODAY()),TODAY()-BM31,0)))</f>
        <v/>
      </c>
      <c r="H31" s="32" t="n">
        <v>46246</v>
      </c>
      <c r="I31" s="32" t="n">
        <v>46259</v>
      </c>
      <c r="J31" s="32" t="n"/>
      <c r="K31" s="31">
        <f>IF(ISNUMBER(H31),H31,IF(ISNUMBER(M31),M31-WEEKDAY(M31,2)+1-7,""))</f>
        <v/>
      </c>
      <c r="L31" s="31">
        <f>IF(ISNUMBER(I31),I31,IF(ISNUMBER(H31),WORKDAY(H31,SprintWorkingDays-1),IF(ISNUMBER(K31),WORKDAY(K31,SprintWorkingDays-1),"")))</f>
        <v/>
      </c>
      <c r="M31" s="31">
        <f>IF(ISNUMBER(J31),J31,IF(ISNUMBER(I31),I31-IF(OR(WEEKDAY(I31,2)=2,WEEKDAY(I31,2)=4),0,IF(WEEKDAY(I31,2)=3,1,IF(WEEKDAY(I31,2)=1,4,WEEKDAY(I31,2)-4))),IF(ISNUMBER(H31),WORKDAY(H31,SprintWorkingDays-1)-IF(OR(WEEKDAY(WORKDAY(H31,SprintWorkingDays-1),2)=2,WEEKDAY(WORKDAY(H31,SprintWorkingDays-1),2)=4),0,IF(WEEKDAY(WORKDAY(H31,SprintWorkingDays-1),2)=3,1,IF(WEEKDAY(WORKDAY(H31,SprintWorkingDays-1),2)=1,4,WEEKDAY(WORKDAY(H31,SprintWorkingDays-1),2)-4))),"")))</f>
        <v/>
      </c>
      <c r="N31" s="31">
        <f>IF(NOT(ISNUMBER(K31)),"",WORKDAY(K31,ReadyOffsetWD))</f>
        <v/>
      </c>
      <c r="O31" s="31">
        <f>IF(NOT(ISNUMBER(K31)),"",WORKDAY(K31,SprintReadinessOffsetWD))</f>
        <v/>
      </c>
      <c r="P31" s="29" t="n"/>
      <c r="Q31" s="31">
        <f>IF(NOT(ISNUMBER(T31)),"",WORKDAY(T31,RTSKOffsetFromOUR_WD))</f>
        <v/>
      </c>
      <c r="R31" s="32" t="n"/>
      <c r="S31" s="29" t="n"/>
      <c r="T31" s="31">
        <f>IF(NOT(ISNUMBER(W31)),"",WORKDAY(W31,OUROffsetFromSR_WD))</f>
        <v/>
      </c>
      <c r="U31" s="32" t="n"/>
      <c r="V31" s="29" t="n"/>
      <c r="W31" s="31">
        <f>IF(NOT(ISNUMBER(K31)),"",WORKDAY(K31,SROffsetFromStartWD))</f>
        <v/>
      </c>
      <c r="X31" s="32" t="n"/>
      <c r="Y31" s="29" t="n"/>
      <c r="Z31" s="29" t="n"/>
      <c r="AA31" s="31">
        <f>IF(ISNUMBER(Q31),Q31,"")</f>
        <v/>
      </c>
      <c r="AB31" s="32" t="n"/>
      <c r="AC31" s="29" t="n"/>
      <c r="AD31" s="29" t="n"/>
      <c r="AE31" s="29" t="n"/>
      <c r="AF31" s="29" t="n"/>
      <c r="AG31" s="31">
        <f>IF(NOT(ISNUMBER(Q31)),"",Q31)</f>
        <v/>
      </c>
      <c r="AH31" s="32" t="n"/>
      <c r="AI31" s="29" t="n"/>
      <c r="AJ31" s="31">
        <f>IF(NOT(ISNUMBER(T31)),"",T31)</f>
        <v/>
      </c>
      <c r="AK31" s="32" t="n"/>
      <c r="AL31" s="29" t="n"/>
      <c r="AM31" s="31">
        <f>IF(NOT(ISNUMBER(W31)),"",W31)</f>
        <v/>
      </c>
      <c r="AN31" s="32" t="n"/>
      <c r="AO31" s="29" t="n"/>
      <c r="AP31" s="29" t="n"/>
      <c r="AQ31" s="31">
        <f>IF(ISNUMBER(AG31),AG31,"")</f>
        <v/>
      </c>
      <c r="AR31" s="32" t="n"/>
      <c r="AS31" s="29" t="n"/>
      <c r="AT31" s="29" t="n"/>
      <c r="AU31" s="29" t="n"/>
      <c r="AV31" s="29" t="n"/>
      <c r="AW31" s="31">
        <f>IF(NOT(ISNUMBER(Q31)),"",Q31)</f>
        <v/>
      </c>
      <c r="AX31" s="32" t="n"/>
      <c r="AY31" s="29" t="n"/>
      <c r="AZ31" s="31">
        <f>IF(NOT(ISNUMBER(T31)),"",T31)</f>
        <v/>
      </c>
      <c r="BA31" s="32" t="n"/>
      <c r="BB31" s="29" t="n"/>
      <c r="BC31" s="31">
        <f>IF(NOT(ISNUMBER(W31)),"",W31)</f>
        <v/>
      </c>
      <c r="BD31" s="32" t="n"/>
      <c r="BE31" s="29" t="n"/>
      <c r="BF31" s="29" t="n"/>
      <c r="BG31" s="31">
        <f>IF(ISNUMBER(AW31),AW31,"")</f>
        <v/>
      </c>
      <c r="BH31" s="32" t="n"/>
      <c r="BI31" s="29" t="n"/>
      <c r="BJ31" s="29" t="n"/>
      <c r="BK31" s="29" t="n"/>
      <c r="BL31" s="29" t="n"/>
      <c r="BM31" s="31">
        <f>IF(OR(NOT(ISNUMBER(M31)),AND(WEEKDAY(M31,2)&lt;&gt;2,WEEKDAY(M31,2)&lt;&gt;4)),"",WORKDAY(M31,CABOffsetFromReleaseWD))</f>
        <v/>
      </c>
      <c r="BN31" s="29" t="n"/>
      <c r="BO31" s="31">
        <f>IF(NOT(ISNUMBER(BM31)),"",IF(WEEKDAY(BM31-CodeReviewCalendarDays,2)&gt;5,BM31-CodeReviewCalendarDays-(WEEKDAY(BM31-CodeReviewCalendarDays,2)-5),BM31-CodeReviewCalendarDays))</f>
        <v/>
      </c>
      <c r="BP31" s="29" t="n"/>
      <c r="BQ31" s="31">
        <f>IF(NOT(ISNUMBER(BO31)),"",IF(WEEKDAY(BO31-CodeReviewInviteCalendarDays,2)&gt;5,BO31-CodeReviewInviteCalendarDays-(WEEKDAY(BO31-CodeReviewInviteCalendarDays,2)-5),BO31-CodeReviewInviteCalendarDays))</f>
        <v/>
      </c>
      <c r="BR31" s="29" t="n"/>
      <c r="BS31" s="29" t="n"/>
      <c r="BT31" s="30">
        <f>IF(A31="","",IF(IF(AND(ISNUMBER(J31),WEEKDAY(J31,2)&lt;&gt;2,WEEKDAY(J31,2)&lt;&gt;4)," | Release must be Tuesday or Thursday","")&amp;IF(AND(ISNUMBER(H31),WEEKDAY(H31,2)&lt;&gt;1)," | Sprint Start is not a Monday - dates still calculated from the date entered","")&amp;IF(AND(A31&lt;&gt;"",NOT(ISNUMBER(H31)),NOT(ISNUMBER(J31)))," | Enter Sprint Start or Release Date","")&amp;IF(AND(ISNUMBER(F31),F31&lt;TODAY(),D31&lt;&gt;"Completed")," | One or more raise-by dates are in the past and not completed","")&amp;IF(AND(ISNUMBER(K31),K31-TODAY()&lt;SprintWarningDays,K31&gt;=TODAY(),OR(D31="Yet to start",D31="Blocked"))," | Sprint starts in under 10 days - raise access requests now","")&amp;IF(AND(ISNUMBER(BQ31),BR31&lt;&gt;"Completed",BQ31-TODAY()&lt;CodeReviewInviteCalendarDays)," | Code Review invite should be sent at least 4 days before Code Review","")="","",MID(IF(AND(ISNUMBER(J31),WEEKDAY(J31,2)&lt;&gt;2,WEEKDAY(J31,2)&lt;&gt;4)," | Release must be Tuesday or Thursday","")&amp;IF(AND(ISNUMBER(H31),WEEKDAY(H31,2)&lt;&gt;1)," | Sprint Start is not a Monday - dates still calculated from the date entered","")&amp;IF(AND(A31&lt;&gt;"",NOT(ISNUMBER(H31)),NOT(ISNUMBER(J31)))," | Enter Sprint Start or Release Date","")&amp;IF(AND(ISNUMBER(F31),F31&lt;TODAY(),D31&lt;&gt;"Completed")," | One or more raise-by dates are in the past and not completed","")&amp;IF(AND(ISNUMBER(K31),K31-TODAY()&lt;SprintWarningDays,K31&gt;=TODAY(),OR(D31="Yet to start",D31="Blocked"))," | Sprint starts in under 10 days - raise access requests now","")&amp;IF(AND(ISNUMBER(BQ31),BR31&lt;&gt;"Completed",BQ31-TODAY()&lt;CodeReviewInviteCalendarDays)," | Code Review invite should be sent at least 4 days before Code Review",""),4,500)))</f>
        <v/>
      </c>
      <c r="BU31">
        <f>IF(AND(ISNUMBER(Q31),S31&lt;&gt;"Completed"),Q31,"")</f>
        <v/>
      </c>
      <c r="BV31">
        <f>IF(AND(ISNUMBER(T31),V31&lt;&gt;"Completed"),T31,"")</f>
        <v/>
      </c>
      <c r="BW31">
        <f>IF(AND(ISNUMBER(W31),Y31&lt;&gt;"Completed"),W31,"")</f>
        <v/>
      </c>
      <c r="BX31">
        <f>IF(AND(ISNUMBER(AA31),AC31&lt;&gt;"Completed"),AA31,"")</f>
        <v/>
      </c>
      <c r="BY31">
        <f>IF(AND(ISNUMBER(AG31),AI31&lt;&gt;"Completed"),AG31,"")</f>
        <v/>
      </c>
      <c r="BZ31">
        <f>IF(AND(ISNUMBER(AJ31),AL31&lt;&gt;"Completed"),AJ31,"")</f>
        <v/>
      </c>
      <c r="CA31">
        <f>IF(AND(ISNUMBER(AM31),AO31&lt;&gt;"Completed"),AM31,"")</f>
        <v/>
      </c>
      <c r="CB31">
        <f>IF(AND(ISNUMBER(AQ31),AS31&lt;&gt;"Completed"),AQ31,"")</f>
        <v/>
      </c>
      <c r="CC31">
        <f>IF(AND(ISNUMBER(AW31),AY31&lt;&gt;"Completed"),AW31,"")</f>
        <v/>
      </c>
      <c r="CD31">
        <f>IF(AND(ISNUMBER(AZ31),BB31&lt;&gt;"Completed"),AZ31,"")</f>
        <v/>
      </c>
      <c r="CE31">
        <f>IF(AND(ISNUMBER(BC31),BE31&lt;&gt;"Completed"),BC31,"")</f>
        <v/>
      </c>
      <c r="CF31">
        <f>IF(AND(ISNUMBER(BG31),BI31&lt;&gt;"Completed"),BG31,"")</f>
        <v/>
      </c>
      <c r="CG31">
        <f>IF(AND(ISNUMBER(O31),P31&lt;&gt;"Completed"),O31,"")</f>
        <v/>
      </c>
      <c r="CH31">
        <f>IF(AND(ISNUMBER(BQ31),BR31&lt;&gt;"Completed"),BQ31,"")</f>
        <v/>
      </c>
      <c r="CI31">
        <f>IF(AND(ISNUMBER(BO31),BP31&lt;&gt;"Completed"),BO31,"")</f>
        <v/>
      </c>
      <c r="CJ31">
        <f>IF(AND(ISNUMBER(BM31),BN31&lt;&gt;"Completed"),BM31,"")</f>
        <v/>
      </c>
      <c r="CK31">
        <f>IF(OR(A31="",D31="Completed"),"",IF(N(G31)&gt;0,1/(N(G31)+ROW()/100000),IF(ISNUMBER(F31),1000+F31+ROW()/100000,TODAY()+400+ROW()/100000)))</f>
        <v/>
      </c>
    </row>
    <row r="32" ht="16" customHeight="1" s="39">
      <c r="A32" s="29" t="inlineStr">
        <is>
          <t>LED</t>
        </is>
      </c>
      <c r="B32" s="29" t="inlineStr">
        <is>
          <t>Vidhesha &lt;vkumaran@randomtrees.com&gt;</t>
        </is>
      </c>
      <c r="C32" s="29" t="inlineStr">
        <is>
          <t>Sprint 18</t>
        </is>
      </c>
      <c r="D32" s="30">
        <f>IF(A31="","",IF(((S31="Blocked")+(V31="Blocked")+(Y31="Blocked")+(AC31="Blocked")+(AI31="Blocked")+(AL31="Blocked")+(AO31="Blocked")+(AS31="Blocked")+(AY31="Blocked")+(BB31="Blocked")+(BE31="Blocked")+(BI31="Blocked")+(P31="Blocked")+(BN31="Blocked")+(BP31="Blocked")+(BR31="Blocked")+(BS31="Blocked"))&gt;0,"Blocked",IF((ISNUMBER(Q31)+ISNUMBER(T31)+ISNUMBER(W31)+ISNUMBER(AA31)+ISNUMBER(AG31)+ISNUMBER(AJ31)+ISNUMBER(AM31)+ISNUMBER(AQ31)+ISNUMBER(AW31)+ISNUMBER(AZ31)+ISNUMBER(BC31)+ISNUMBER(BG31)+ISNUMBER(O31)+ISNUMBER(BM31)+ISNUMBER(BO31)+ISNUMBER(BQ31))=0,"Yet to start",IF(AND(OR(NOT(ISNUMBER(Q31)),S31="Completed"),OR(NOT(ISNUMBER(T31)),V31="Completed"),OR(NOT(ISNUMBER(W31)),Y31="Completed"),OR(NOT(ISNUMBER(AA31)),AC31="Completed"),OR(NOT(ISNUMBER(AG31)),AI31="Completed"),OR(NOT(ISNUMBER(AJ31)),AL31="Completed"),OR(NOT(ISNUMBER(AM31)),AO31="Completed"),OR(NOT(ISNUMBER(AQ31)),AS31="Completed"),OR(NOT(ISNUMBER(AW31)),AY31="Completed"),OR(NOT(ISNUMBER(AZ31)),BB31="Completed"),OR(NOT(ISNUMBER(BC31)),BE31="Completed"),OR(NOT(ISNUMBER(BG31)),BI31="Completed"),OR(NOT(ISNUMBER(O31)),P31="Completed"),OR(NOT(ISNUMBER(BM31)),BN31="Completed"),OR(NOT(ISNUMBER(BO31)),BP31="Completed"),OR(NOT(ISNUMBER(BQ31)),BR31="Completed"),BS31="Completed"),"Completed",IF(((S31="In Progress")+(V31="In Progress")+(Y31="In Progress")+(AC31="In Progress")+(AI31="In Progress")+(AL31="In Progress")+(AO31="In Progress")+(AS31="In Progress")+(AY31="In Progress")+(BB31="In Progress")+(BE31="In Progress")+(BI31="In Progress")+(P31="In Progress")+(BN31="In Progress")+(BP31="In Progress")+(BR31="In Progress")+(BS31="In Progress"))&gt;0,"In Progress","Yet to start")))))</f>
        <v/>
      </c>
      <c r="E32" s="30">
        <f>IF(A32="","",IF(F32="","All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Review","CAB"},MATCH(F32,BU32:CJ32,0))))</f>
        <v/>
      </c>
      <c r="F32" s="31">
        <f>IF(A32="","",IF(COUNT(BU32:CJ32)=0,"",MIN(BU32:CJ32)))</f>
        <v/>
      </c>
      <c r="G32" s="30">
        <f>IF(A32="","",MAX(0,IF(AND(ISNUMBER(Q32),S32&lt;&gt;"Completed",Q32&lt;TODAY()),TODAY()-Q32,0),IF(AND(ISNUMBER(T32),V32&lt;&gt;"Completed",T32&lt;TODAY()),TODAY()-T32,0),IF(AND(ISNUMBER(W32),Y32&lt;&gt;"Completed",W32&lt;TODAY()),TODAY()-W32,0),IF(AND(ISNUMBER(AA32),AC32&lt;&gt;"Completed",AA32&lt;TODAY()),TODAY()-AA32,0),IF(AND(ISNUMBER(AG32),AI32&lt;&gt;"Completed",AG32&lt;TODAY()),TODAY()-AG32,0),IF(AND(ISNUMBER(AJ32),AL32&lt;&gt;"Completed",AJ32&lt;TODAY()),TODAY()-AJ32,0),IF(AND(ISNUMBER(AM32),AO32&lt;&gt;"Completed",AM32&lt;TODAY()),TODAY()-AM32,0),IF(AND(ISNUMBER(AQ32),AS32&lt;&gt;"Completed",AQ32&lt;TODAY()),TODAY()-AQ32,0),IF(AND(ISNUMBER(AW32),AY32&lt;&gt;"Completed",AW32&lt;TODAY()),TODAY()-AW32,0),IF(AND(ISNUMBER(AZ32),BB32&lt;&gt;"Completed",AZ32&lt;TODAY()),TODAY()-AZ32,0),IF(AND(ISNUMBER(BC32),BE32&lt;&gt;"Completed",BC32&lt;TODAY()),TODAY()-BC32,0),IF(AND(ISNUMBER(BG32),BI32&lt;&gt;"Completed",BG32&lt;TODAY()),TODAY()-BG32,0),IF(AND(ISNUMBER(O32),P32&lt;&gt;"Completed",O32&lt;TODAY()),TODAY()-O32,0),IF(AND(ISNUMBER(BQ32),BR32&lt;&gt;"Completed",BQ32&lt;TODAY()),TODAY()-BQ32,0),IF(AND(ISNUMBER(BO32),BP32&lt;&gt;"Completed",BO32&lt;TODAY()),TODAY()-BO32,0),IF(AND(ISNUMBER(BM32),BN32&lt;&gt;"Completed",BM32&lt;TODAY()),TODAY()-BM32,0)))</f>
        <v/>
      </c>
      <c r="H32" s="32" t="n">
        <v>46246</v>
      </c>
      <c r="I32" s="32" t="n">
        <v>46259</v>
      </c>
      <c r="J32" s="32" t="n"/>
      <c r="K32" s="31">
        <f>IF(ISNUMBER(H32),H32,IF(ISNUMBER(M32),M32-WEEKDAY(M32,2)+1-7,""))</f>
        <v/>
      </c>
      <c r="L32" s="31">
        <f>IF(ISNUMBER(I32),I32,IF(ISNUMBER(H32),WORKDAY(H32,SprintWorkingDays-1),IF(ISNUMBER(K32),WORKDAY(K32,SprintWorkingDays-1),"")))</f>
        <v/>
      </c>
      <c r="M32" s="31">
        <f>IF(ISNUMBER(J32),J32,IF(ISNUMBER(I32),I32-IF(OR(WEEKDAY(I32,2)=2,WEEKDAY(I32,2)=4),0,IF(WEEKDAY(I32,2)=3,1,IF(WEEKDAY(I32,2)=1,4,WEEKDAY(I32,2)-4))),IF(ISNUMBER(H32),WORKDAY(H32,SprintWorkingDays-1)-IF(OR(WEEKDAY(WORKDAY(H32,SprintWorkingDays-1),2)=2,WEEKDAY(WORKDAY(H32,SprintWorkingDays-1),2)=4),0,IF(WEEKDAY(WORKDAY(H32,SprintWorkingDays-1),2)=3,1,IF(WEEKDAY(WORKDAY(H32,SprintWorkingDays-1),2)=1,4,WEEKDAY(WORKDAY(H32,SprintWorkingDays-1),2)-4))),"")))</f>
        <v/>
      </c>
      <c r="N32" s="31">
        <f>IF(NOT(ISNUMBER(K32)),"",WORKDAY(K32,ReadyOffsetWD))</f>
        <v/>
      </c>
      <c r="O32" s="31">
        <f>IF(NOT(ISNUMBER(K32)),"",WORKDAY(K32,SprintReadinessOffsetWD))</f>
        <v/>
      </c>
      <c r="P32" s="29" t="n"/>
      <c r="Q32" s="31">
        <f>IF(NOT(ISNUMBER(T32)),"",WORKDAY(T32,RTSKOffsetFromOUR_WD))</f>
        <v/>
      </c>
      <c r="R32" s="32" t="n"/>
      <c r="S32" s="29" t="inlineStr">
        <is>
          <t>Yet to start</t>
        </is>
      </c>
      <c r="T32" s="31">
        <f>IF(NOT(ISNUMBER(W32)),"",WORKDAY(W32,OUROffsetFromSR_WD))</f>
        <v/>
      </c>
      <c r="U32" s="32" t="n"/>
      <c r="V32" s="29" t="n"/>
      <c r="W32" s="31">
        <f>IF(NOT(ISNUMBER(K32)),"",WORKDAY(K32,SROffsetFromStartWD))</f>
        <v/>
      </c>
      <c r="X32" s="32" t="n"/>
      <c r="Y32" s="29" t="n"/>
      <c r="Z32" s="29" t="n"/>
      <c r="AA32" s="31">
        <f>IF(ISNUMBER(Q32),Q32,"")</f>
        <v/>
      </c>
      <c r="AB32" s="32" t="n"/>
      <c r="AC32" s="29" t="n"/>
      <c r="AD32" s="29" t="n"/>
      <c r="AE32" s="29" t="n"/>
      <c r="AF32" s="29" t="n"/>
      <c r="AG32" s="31">
        <f>IF(NOT(ISNUMBER(Q32)),"",Q32)</f>
        <v/>
      </c>
      <c r="AH32" s="32" t="n"/>
      <c r="AI32" s="29" t="n"/>
      <c r="AJ32" s="31">
        <f>IF(NOT(ISNUMBER(T32)),"",T32)</f>
        <v/>
      </c>
      <c r="AK32" s="32" t="n"/>
      <c r="AL32" s="29" t="n"/>
      <c r="AM32" s="31">
        <f>IF(NOT(ISNUMBER(W32)),"",W32)</f>
        <v/>
      </c>
      <c r="AN32" s="32" t="n"/>
      <c r="AO32" s="29" t="n"/>
      <c r="AP32" s="29" t="n"/>
      <c r="AQ32" s="31">
        <f>IF(ISNUMBER(AG32),AG32,"")</f>
        <v/>
      </c>
      <c r="AR32" s="32" t="n"/>
      <c r="AS32" s="29" t="n"/>
      <c r="AT32" s="29" t="n"/>
      <c r="AU32" s="29" t="n"/>
      <c r="AV32" s="29" t="n"/>
      <c r="AW32" s="31">
        <f>IF(NOT(ISNUMBER(Q32)),"",Q32)</f>
        <v/>
      </c>
      <c r="AX32" s="32" t="n"/>
      <c r="AY32" s="29" t="n"/>
      <c r="AZ32" s="31">
        <f>IF(NOT(ISNUMBER(T32)),"",T32)</f>
        <v/>
      </c>
      <c r="BA32" s="32" t="n"/>
      <c r="BB32" s="29" t="n"/>
      <c r="BC32" s="31">
        <f>IF(NOT(ISNUMBER(W32)),"",W32)</f>
        <v/>
      </c>
      <c r="BD32" s="32" t="n"/>
      <c r="BE32" s="29" t="n"/>
      <c r="BF32" s="29" t="n"/>
      <c r="BG32" s="31">
        <f>IF(ISNUMBER(AW32),AW32,"")</f>
        <v/>
      </c>
      <c r="BH32" s="32" t="n"/>
      <c r="BI32" s="29" t="n"/>
      <c r="BJ32" s="29" t="n"/>
      <c r="BK32" s="29" t="n"/>
      <c r="BL32" s="29" t="n"/>
      <c r="BM32" s="31">
        <f>IF(OR(NOT(ISNUMBER(M32)),AND(WEEKDAY(M32,2)&lt;&gt;2,WEEKDAY(M32,2)&lt;&gt;4)),"",WORKDAY(M32,CABOffsetFromReleaseWD))</f>
        <v/>
      </c>
      <c r="BN32" s="29" t="n"/>
      <c r="BO32" s="31">
        <f>IF(NOT(ISNUMBER(BM32)),"",IF(WEEKDAY(BM32-CodeReviewCalendarDays,2)&gt;5,BM32-CodeReviewCalendarDays-(WEEKDAY(BM32-CodeReviewCalendarDays,2)-5),BM32-CodeReviewCalendarDays))</f>
        <v/>
      </c>
      <c r="BP32" s="29" t="n"/>
      <c r="BQ32" s="31">
        <f>IF(NOT(ISNUMBER(BO32)),"",IF(WEEKDAY(BO32-CodeReviewInviteCalendarDays,2)&gt;5,BO32-CodeReviewInviteCalendarDays-(WEEKDAY(BO32-CodeReviewInviteCalendarDays,2)-5),BO32-CodeReviewInviteCalendarDays))</f>
        <v/>
      </c>
      <c r="BR32" s="29" t="n"/>
      <c r="BS32" s="29" t="n"/>
      <c r="BT32" s="30">
        <f>IF(A32="","",IF(IF(AND(ISNUMBER(J32),WEEKDAY(J32,2)&lt;&gt;2,WEEKDAY(J32,2)&lt;&gt;4)," | Release must be Tuesday or Thursday","")&amp;IF(AND(ISNUMBER(H32),WEEKDAY(H32,2)&lt;&gt;1)," | Sprint Start is not a Monday - dates still calculated from the date entered","")&amp;IF(AND(A32&lt;&gt;"",NOT(ISNUMBER(H32)),NOT(ISNUMBER(J32)))," | Enter Sprint Start or Release Date","")&amp;IF(AND(ISNUMBER(F32),F32&lt;TODAY(),D32&lt;&gt;"Completed")," | One or more raise-by dates are in the past and not completed","")&amp;IF(AND(ISNUMBER(K32),K32-TODAY()&lt;SprintWarningDays,K32&gt;=TODAY(),OR(D32="Yet to start",D32="Blocked"))," | Sprint starts in under 10 days - raise access requests now","")&amp;IF(AND(ISNUMBER(BQ32),BR32&lt;&gt;"Completed",BQ32-TODAY()&lt;CodeReviewInviteCalendarDays)," | Code Review invite should be sent at least 4 days before Code Review","")="","",MID(IF(AND(ISNUMBER(J32),WEEKDAY(J32,2)&lt;&gt;2,WEEKDAY(J32,2)&lt;&gt;4)," | Release must be Tuesday or Thursday","")&amp;IF(AND(ISNUMBER(H32),WEEKDAY(H32,2)&lt;&gt;1)," | Sprint Start is not a Monday - dates still calculated from the date entered","")&amp;IF(AND(A32&lt;&gt;"",NOT(ISNUMBER(H32)),NOT(ISNUMBER(J32)))," | Enter Sprint Start or Release Date","")&amp;IF(AND(ISNUMBER(F32),F32&lt;TODAY(),D32&lt;&gt;"Completed")," | One or more raise-by dates are in the past and not completed","")&amp;IF(AND(ISNUMBER(K32),K32-TODAY()&lt;SprintWarningDays,K32&gt;=TODAY(),OR(D32="Yet to start",D32="Blocked"))," | Sprint starts in under 10 days - raise access requests now","")&amp;IF(AND(ISNUMBER(BQ32),BR32&lt;&gt;"Completed",BQ32-TODAY()&lt;CodeReviewInviteCalendarDays)," | Code Review invite should be sent at least 4 days before Code Review",""),4,500)))</f>
        <v/>
      </c>
      <c r="BU32">
        <f>IF(AND(ISNUMBER(Q32),S32&lt;&gt;"Completed"),Q32,"")</f>
        <v/>
      </c>
      <c r="BV32">
        <f>IF(AND(ISNUMBER(T32),V32&lt;&gt;"Completed"),T32,"")</f>
        <v/>
      </c>
      <c r="BW32">
        <f>IF(AND(ISNUMBER(W32),Y32&lt;&gt;"Completed"),W32,"")</f>
        <v/>
      </c>
      <c r="BX32">
        <f>IF(AND(ISNUMBER(AA32),AC32&lt;&gt;"Completed"),AA32,"")</f>
        <v/>
      </c>
      <c r="BY32">
        <f>IF(AND(ISNUMBER(AG32),AI32&lt;&gt;"Completed"),AG32,"")</f>
        <v/>
      </c>
      <c r="BZ32">
        <f>IF(AND(ISNUMBER(AJ32),AL32&lt;&gt;"Completed"),AJ32,"")</f>
        <v/>
      </c>
      <c r="CA32">
        <f>IF(AND(ISNUMBER(AM32),AO32&lt;&gt;"Completed"),AM32,"")</f>
        <v/>
      </c>
      <c r="CB32">
        <f>IF(AND(ISNUMBER(AQ32),AS32&lt;&gt;"Completed"),AQ32,"")</f>
        <v/>
      </c>
      <c r="CC32">
        <f>IF(AND(ISNUMBER(AW32),AY32&lt;&gt;"Completed"),AW32,"")</f>
        <v/>
      </c>
      <c r="CD32">
        <f>IF(AND(ISNUMBER(AZ32),BB32&lt;&gt;"Completed"),AZ32,"")</f>
        <v/>
      </c>
      <c r="CE32">
        <f>IF(AND(ISNUMBER(BC32),BE32&lt;&gt;"Completed"),BC32,"")</f>
        <v/>
      </c>
      <c r="CF32">
        <f>IF(AND(ISNUMBER(BG32),BI32&lt;&gt;"Completed"),BG32,"")</f>
        <v/>
      </c>
      <c r="CG32">
        <f>IF(AND(ISNUMBER(O32),P32&lt;&gt;"Completed"),O32,"")</f>
        <v/>
      </c>
      <c r="CH32">
        <f>IF(AND(ISNUMBER(BQ32),BR32&lt;&gt;"Completed"),BQ32,"")</f>
        <v/>
      </c>
      <c r="CI32">
        <f>IF(AND(ISNUMBER(BO32),BP32&lt;&gt;"Completed"),BO32,"")</f>
        <v/>
      </c>
      <c r="CJ32">
        <f>IF(AND(ISNUMBER(BM32),BN32&lt;&gt;"Completed"),BM32,"")</f>
        <v/>
      </c>
      <c r="CK32">
        <f>IF(OR(A32="",D32="Completed"),"",IF(N(G32)&gt;0,1/(N(G32)+ROW()/100000),IF(ISNUMBER(F32),1000+F32+ROW()/100000,TODAY()+400+ROW()/100000)))</f>
        <v/>
      </c>
    </row>
    <row r="33" ht="16" customHeight="1" s="39">
      <c r="A33" s="29" t="inlineStr">
        <is>
          <t>UI_PLANNER</t>
        </is>
      </c>
      <c r="B33" s="29" t="inlineStr">
        <is>
          <t>Sharath &lt;Skotha1@randomtrees.com&gt;</t>
        </is>
      </c>
      <c r="C33" s="29" t="inlineStr">
        <is>
          <t>Sprint 19</t>
        </is>
      </c>
      <c r="D33" s="30">
        <f>IF(A32="","",IF(((S32="Blocked")+(V32="Blocked")+(Y32="Blocked")+(AC32="Blocked")+(AI32="Blocked")+(AL32="Blocked")+(AO32="Blocked")+(AS32="Blocked")+(AY32="Blocked")+(BB32="Blocked")+(BE32="Blocked")+(BI32="Blocked")+(P32="Blocked")+(BN32="Blocked")+(BP32="Blocked")+(BR32="Blocked")+(BS32="Blocked"))&gt;0,"Blocked",IF((ISNUMBER(Q32)+ISNUMBER(T32)+ISNUMBER(W32)+ISNUMBER(AA32)+ISNUMBER(AG32)+ISNUMBER(AJ32)+ISNUMBER(AM32)+ISNUMBER(AQ32)+ISNUMBER(AW32)+ISNUMBER(AZ32)+ISNUMBER(BC32)+ISNUMBER(BG32)+ISNUMBER(O32)+ISNUMBER(BM32)+ISNUMBER(BO32)+ISNUMBER(BQ32))=0,"Yet to start",IF(AND(OR(NOT(ISNUMBER(Q32)),S32="Completed"),OR(NOT(ISNUMBER(T32)),V32="Completed"),OR(NOT(ISNUMBER(W32)),Y32="Completed"),OR(NOT(ISNUMBER(AA32)),AC32="Completed"),OR(NOT(ISNUMBER(AG32)),AI32="Completed"),OR(NOT(ISNUMBER(AJ32)),AL32="Completed"),OR(NOT(ISNUMBER(AM32)),AO32="Completed"),OR(NOT(ISNUMBER(AQ32)),AS32="Completed"),OR(NOT(ISNUMBER(AW32)),AY32="Completed"),OR(NOT(ISNUMBER(AZ32)),BB32="Completed"),OR(NOT(ISNUMBER(BC32)),BE32="Completed"),OR(NOT(ISNUMBER(BG32)),BI32="Completed"),OR(NOT(ISNUMBER(O32)),P32="Completed"),OR(NOT(ISNUMBER(BM32)),BN32="Completed"),OR(NOT(ISNUMBER(BO32)),BP32="Completed"),OR(NOT(ISNUMBER(BQ32)),BR32="Completed"),BS32="Completed"),"Completed",IF(((S32="In Progress")+(V32="In Progress")+(Y32="In Progress")+(AC32="In Progress")+(AI32="In Progress")+(AL32="In Progress")+(AO32="In Progress")+(AS32="In Progress")+(AY32="In Progress")+(BB32="In Progress")+(BE32="In Progress")+(BI32="In Progress")+(P32="In Progress")+(BN32="In Progress")+(BP32="In Progress")+(BR32="In Progress")+(BS32="In Progress"))&gt;0,"In Progress","Yet to start")))))</f>
        <v/>
      </c>
      <c r="E33" s="30">
        <f>IF(A33="","",IF(F33="","All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Review","CAB"},MATCH(F33,BU33:CJ33,0))))</f>
        <v/>
      </c>
      <c r="F33" s="31">
        <f>IF(A33="","",IF(COUNT(BU33:CJ33)=0,"",MIN(BU33:CJ33)))</f>
        <v/>
      </c>
      <c r="G33" s="30">
        <f>IF(A33="","",MAX(0,IF(AND(ISNUMBER(Q33),S33&lt;&gt;"Completed",Q33&lt;TODAY()),TODAY()-Q33,0),IF(AND(ISNUMBER(T33),V33&lt;&gt;"Completed",T33&lt;TODAY()),TODAY()-T33,0),IF(AND(ISNUMBER(W33),Y33&lt;&gt;"Completed",W33&lt;TODAY()),TODAY()-W33,0),IF(AND(ISNUMBER(AA33),AC33&lt;&gt;"Completed",AA33&lt;TODAY()),TODAY()-AA33,0),IF(AND(ISNUMBER(AG33),AI33&lt;&gt;"Completed",AG33&lt;TODAY()),TODAY()-AG33,0),IF(AND(ISNUMBER(AJ33),AL33&lt;&gt;"Completed",AJ33&lt;TODAY()),TODAY()-AJ33,0),IF(AND(ISNUMBER(AM33),AO33&lt;&gt;"Completed",AM33&lt;TODAY()),TODAY()-AM33,0),IF(AND(ISNUMBER(AQ33),AS33&lt;&gt;"Completed",AQ33&lt;TODAY()),TODAY()-AQ33,0),IF(AND(ISNUMBER(AW33),AY33&lt;&gt;"Completed",AW33&lt;TODAY()),TODAY()-AW33,0),IF(AND(ISNUMBER(AZ33),BB33&lt;&gt;"Completed",AZ33&lt;TODAY()),TODAY()-AZ33,0),IF(AND(ISNUMBER(BC33),BE33&lt;&gt;"Completed",BC33&lt;TODAY()),TODAY()-BC33,0),IF(AND(ISNUMBER(BG33),BI33&lt;&gt;"Completed",BG33&lt;TODAY()),TODAY()-BG33,0),IF(AND(ISNUMBER(O33),P33&lt;&gt;"Completed",O33&lt;TODAY()),TODAY()-O33,0),IF(AND(ISNUMBER(BQ33),BR33&lt;&gt;"Completed",BQ33&lt;TODAY()),TODAY()-BQ33,0),IF(AND(ISNUMBER(BO33),BP33&lt;&gt;"Completed",BO33&lt;TODAY()),TODAY()-BO33,0),IF(AND(ISNUMBER(BM33),BN33&lt;&gt;"Completed",BM33&lt;TODAY()),TODAY()-BM33,0)))</f>
        <v/>
      </c>
      <c r="H33" s="32" t="n">
        <v>46260</v>
      </c>
      <c r="I33" s="32" t="n">
        <v>46273</v>
      </c>
      <c r="J33" s="32" t="n"/>
      <c r="K33" s="31">
        <f>IF(ISNUMBER(H33),H33,IF(ISNUMBER(M33),M33-WEEKDAY(M33,2)+1-7,""))</f>
        <v/>
      </c>
      <c r="L33" s="31">
        <f>IF(ISNUMBER(I33),I33,IF(ISNUMBER(H33),WORKDAY(H33,SprintWorkingDays-1),IF(ISNUMBER(K33),WORKDAY(K33,SprintWorkingDays-1),"")))</f>
        <v/>
      </c>
      <c r="M33" s="31">
        <f>IF(ISNUMBER(J33),J33,IF(ISNUMBER(I33),I33-IF(OR(WEEKDAY(I33,2)=2,WEEKDAY(I33,2)=4),0,IF(WEEKDAY(I33,2)=3,1,IF(WEEKDAY(I33,2)=1,4,WEEKDAY(I33,2)-4))),IF(ISNUMBER(H33),WORKDAY(H33,SprintWorkingDays-1)-IF(OR(WEEKDAY(WORKDAY(H33,SprintWorkingDays-1),2)=2,WEEKDAY(WORKDAY(H33,SprintWorkingDays-1),2)=4),0,IF(WEEKDAY(WORKDAY(H33,SprintWorkingDays-1),2)=3,1,IF(WEEKDAY(WORKDAY(H33,SprintWorkingDays-1),2)=1,4,WEEKDAY(WORKDAY(H33,SprintWorkingDays-1),2)-4))),"")))</f>
        <v/>
      </c>
      <c r="N33" s="31">
        <f>IF(NOT(ISNUMBER(K33)),"",WORKDAY(K33,ReadyOffsetWD))</f>
        <v/>
      </c>
      <c r="O33" s="31">
        <f>IF(NOT(ISNUMBER(K33)),"",WORKDAY(K33,SprintReadinessOffsetWD))</f>
        <v/>
      </c>
      <c r="P33" s="29" t="n"/>
      <c r="Q33" s="31">
        <f>IF(NOT(ISNUMBER(T33)),"",WORKDAY(T33,RTSKOffsetFromOUR_WD))</f>
        <v/>
      </c>
      <c r="R33" s="32" t="n"/>
      <c r="S33" s="29" t="inlineStr">
        <is>
          <t>Yet to start</t>
        </is>
      </c>
      <c r="T33" s="31">
        <f>IF(NOT(ISNUMBER(W33)),"",WORKDAY(W33,OUROffsetFromSR_WD))</f>
        <v/>
      </c>
      <c r="U33" s="32" t="n"/>
      <c r="V33" s="29" t="n"/>
      <c r="W33" s="31">
        <f>IF(NOT(ISNUMBER(K33)),"",WORKDAY(K33,SROffsetFromStartWD))</f>
        <v/>
      </c>
      <c r="X33" s="32" t="n"/>
      <c r="Y33" s="29" t="n"/>
      <c r="Z33" s="29" t="n"/>
      <c r="AA33" s="31">
        <f>IF(ISNUMBER(Q33),Q33,"")</f>
        <v/>
      </c>
      <c r="AB33" s="32" t="n"/>
      <c r="AC33" s="29" t="n"/>
      <c r="AD33" s="29" t="n"/>
      <c r="AE33" s="29" t="n"/>
      <c r="AF33" s="29" t="n"/>
      <c r="AG33" s="31">
        <f>IF(NOT(ISNUMBER(Q33)),"",Q33)</f>
        <v/>
      </c>
      <c r="AH33" s="32" t="n"/>
      <c r="AI33" s="29" t="n"/>
      <c r="AJ33" s="31">
        <f>IF(NOT(ISNUMBER(T33)),"",T33)</f>
        <v/>
      </c>
      <c r="AK33" s="32" t="n"/>
      <c r="AL33" s="29" t="n"/>
      <c r="AM33" s="31">
        <f>IF(NOT(ISNUMBER(W33)),"",W33)</f>
        <v/>
      </c>
      <c r="AN33" s="32" t="n"/>
      <c r="AO33" s="29" t="n"/>
      <c r="AP33" s="29" t="n"/>
      <c r="AQ33" s="31">
        <f>IF(ISNUMBER(AG33),AG33,"")</f>
        <v/>
      </c>
      <c r="AR33" s="32" t="n"/>
      <c r="AS33" s="29" t="n"/>
      <c r="AT33" s="29" t="n"/>
      <c r="AU33" s="29" t="n"/>
      <c r="AV33" s="29" t="n"/>
      <c r="AW33" s="31">
        <f>IF(NOT(ISNUMBER(Q33)),"",Q33)</f>
        <v/>
      </c>
      <c r="AX33" s="32" t="n"/>
      <c r="AY33" s="29" t="n"/>
      <c r="AZ33" s="31">
        <f>IF(NOT(ISNUMBER(T33)),"",T33)</f>
        <v/>
      </c>
      <c r="BA33" s="32" t="n"/>
      <c r="BB33" s="29" t="n"/>
      <c r="BC33" s="31">
        <f>IF(NOT(ISNUMBER(W33)),"",W33)</f>
        <v/>
      </c>
      <c r="BD33" s="32" t="n"/>
      <c r="BE33" s="29" t="n"/>
      <c r="BF33" s="29" t="n"/>
      <c r="BG33" s="31">
        <f>IF(ISNUMBER(AW33),AW33,"")</f>
        <v/>
      </c>
      <c r="BH33" s="32" t="n"/>
      <c r="BI33" s="29" t="n"/>
      <c r="BJ33" s="29" t="n"/>
      <c r="BK33" s="29" t="n"/>
      <c r="BL33" s="29" t="n"/>
      <c r="BM33" s="31">
        <f>IF(OR(NOT(ISNUMBER(M33)),AND(WEEKDAY(M33,2)&lt;&gt;2,WEEKDAY(M33,2)&lt;&gt;4)),"",WORKDAY(M33,CABOffsetFromReleaseWD))</f>
        <v/>
      </c>
      <c r="BN33" s="29" t="n"/>
      <c r="BO33" s="31">
        <f>IF(NOT(ISNUMBER(BM33)),"",IF(WEEKDAY(BM33-CodeReviewCalendarDays,2)&gt;5,BM33-CodeReviewCalendarDays-(WEEKDAY(BM33-CodeReviewCalendarDays,2)-5),BM33-CodeReviewCalendarDays))</f>
        <v/>
      </c>
      <c r="BP33" s="29" t="n"/>
      <c r="BQ33" s="31">
        <f>IF(NOT(ISNUMBER(BO33)),"",IF(WEEKDAY(BO33-CodeReviewInviteCalendarDays,2)&gt;5,BO33-CodeReviewInviteCalendarDays-(WEEKDAY(BO33-CodeReviewInviteCalendarDays,2)-5),BO33-CodeReviewInviteCalendarDays))</f>
        <v/>
      </c>
      <c r="BR33" s="29" t="n"/>
      <c r="BS33" s="29" t="n"/>
      <c r="BT33" s="30">
        <f>IF(A33="","",IF(IF(AND(ISNUMBER(J33),WEEKDAY(J33,2)&lt;&gt;2,WEEKDAY(J33,2)&lt;&gt;4)," | Release must be Tuesday or Thursday","")&amp;IF(AND(ISNUMBER(H33),WEEKDAY(H33,2)&lt;&gt;1)," | Sprint Start is not a Monday - dates still calculated from the date entered","")&amp;IF(AND(A33&lt;&gt;"",NOT(ISNUMBER(H33)),NOT(ISNUMBER(J33)))," | Enter Sprint Start or Release Date","")&amp;IF(AND(ISNUMBER(F33),F33&lt;TODAY(),D33&lt;&gt;"Completed")," | One or more raise-by dates are in the past and not completed","")&amp;IF(AND(ISNUMBER(K33),K33-TODAY()&lt;SprintWarningDays,K33&gt;=TODAY(),OR(D33="Yet to start",D33="Blocked"))," | Sprint starts in under 10 days - raise access requests now","")&amp;IF(AND(ISNUMBER(BQ33),BR33&lt;&gt;"Completed",BQ33-TODAY()&lt;CodeReviewInviteCalendarDays)," | Code Review invite should be sent at least 4 days before Code Review","")="","",MID(IF(AND(ISNUMBER(J33),WEEKDAY(J33,2)&lt;&gt;2,WEEKDAY(J33,2)&lt;&gt;4)," | Release must be Tuesday or Thursday","")&amp;IF(AND(ISNUMBER(H33),WEEKDAY(H33,2)&lt;&gt;1)," | Sprint Start is not a Monday - dates still calculated from the date entered","")&amp;IF(AND(A33&lt;&gt;"",NOT(ISNUMBER(H33)),NOT(ISNUMBER(J33)))," | Enter Sprint Start or Release Date","")&amp;IF(AND(ISNUMBER(F33),F33&lt;TODAY(),D33&lt;&gt;"Completed")," | One or more raise-by dates are in the past and not completed","")&amp;IF(AND(ISNUMBER(K33),K33-TODAY()&lt;SprintWarningDays,K33&gt;=TODAY(),OR(D33="Yet to start",D33="Blocked"))," | Sprint starts in under 10 days - raise access requests now","")&amp;IF(AND(ISNUMBER(BQ33),BR33&lt;&gt;"Completed",BQ33-TODAY()&lt;CodeReviewInviteCalendarDays)," | Code Review invite should be sent at least 4 days before Code Review",""),4,500)))</f>
        <v/>
      </c>
      <c r="BU33">
        <f>IF(AND(ISNUMBER(Q33),S33&lt;&gt;"Completed"),Q33,"")</f>
        <v/>
      </c>
      <c r="BV33">
        <f>IF(AND(ISNUMBER(T33),V33&lt;&gt;"Completed"),T33,"")</f>
        <v/>
      </c>
      <c r="BW33">
        <f>IF(AND(ISNUMBER(W33),Y33&lt;&gt;"Completed"),W33,"")</f>
        <v/>
      </c>
      <c r="BX33">
        <f>IF(AND(ISNUMBER(AA33),AC33&lt;&gt;"Completed"),AA33,"")</f>
        <v/>
      </c>
      <c r="BY33">
        <f>IF(AND(ISNUMBER(AG33),AI33&lt;&gt;"Completed"),AG33,"")</f>
        <v/>
      </c>
      <c r="BZ33">
        <f>IF(AND(ISNUMBER(AJ33),AL33&lt;&gt;"Completed"),AJ33,"")</f>
        <v/>
      </c>
      <c r="CA33">
        <f>IF(AND(ISNUMBER(AM33),AO33&lt;&gt;"Completed"),AM33,"")</f>
        <v/>
      </c>
      <c r="CB33">
        <f>IF(AND(ISNUMBER(AQ33),AS33&lt;&gt;"Completed"),AQ33,"")</f>
        <v/>
      </c>
      <c r="CC33">
        <f>IF(AND(ISNUMBER(AW33),AY33&lt;&gt;"Completed"),AW33,"")</f>
        <v/>
      </c>
      <c r="CD33">
        <f>IF(AND(ISNUMBER(AZ33),BB33&lt;&gt;"Completed"),AZ33,"")</f>
        <v/>
      </c>
      <c r="CE33">
        <f>IF(AND(ISNUMBER(BC33),BE33&lt;&gt;"Completed"),BC33,"")</f>
        <v/>
      </c>
      <c r="CF33">
        <f>IF(AND(ISNUMBER(BG33),BI33&lt;&gt;"Completed"),BG33,"")</f>
        <v/>
      </c>
      <c r="CG33">
        <f>IF(AND(ISNUMBER(O33),P33&lt;&gt;"Completed"),O33,"")</f>
        <v/>
      </c>
      <c r="CH33">
        <f>IF(AND(ISNUMBER(BQ33),BR33&lt;&gt;"Completed"),BQ33,"")</f>
        <v/>
      </c>
      <c r="CI33">
        <f>IF(AND(ISNUMBER(BO33),BP33&lt;&gt;"Completed"),BO33,"")</f>
        <v/>
      </c>
      <c r="CJ33">
        <f>IF(AND(ISNUMBER(BM33),BN33&lt;&gt;"Completed"),BM33,"")</f>
        <v/>
      </c>
      <c r="CK33">
        <f>IF(OR(A33="",D33="Completed"),"",IF(N(G33)&gt;0,1/(N(G33)+ROW()/100000),IF(ISNUMBER(F33),1000+F33+ROW()/100000,TODAY()+400+ROW()/100000)))</f>
        <v/>
      </c>
    </row>
    <row r="34" ht="16" customHeight="1" s="39">
      <c r="A34" s="29" t="inlineStr">
        <is>
          <t>FEL</t>
        </is>
      </c>
      <c r="B34" s="29" t="inlineStr">
        <is>
          <t>Santhosh &lt;skoyalkar@randomtrees.com&gt;</t>
        </is>
      </c>
      <c r="C34" s="29" t="inlineStr">
        <is>
          <t>Sprint 19</t>
        </is>
      </c>
      <c r="D34" s="30">
        <f>IF(A33="","",IF(((S33="Blocked")+(V33="Blocked")+(Y33="Blocked")+(AC33="Blocked")+(AI33="Blocked")+(AL33="Blocked")+(AO33="Blocked")+(AS33="Blocked")+(AY33="Blocked")+(BB33="Blocked")+(BE33="Blocked")+(BI33="Blocked")+(P33="Blocked")+(BN33="Blocked")+(BP33="Blocked")+(BR33="Blocked")+(BS33="Blocked"))&gt;0,"Blocked",IF((ISNUMBER(Q33)+ISNUMBER(T33)+ISNUMBER(W33)+ISNUMBER(AA33)+ISNUMBER(AG33)+ISNUMBER(AJ33)+ISNUMBER(AM33)+ISNUMBER(AQ33)+ISNUMBER(AW33)+ISNUMBER(AZ33)+ISNUMBER(BC33)+ISNUMBER(BG33)+ISNUMBER(O33)+ISNUMBER(BM33)+ISNUMBER(BO33)+ISNUMBER(BQ33))=0,"Yet to start",IF(AND(OR(NOT(ISNUMBER(Q33)),S33="Completed"),OR(NOT(ISNUMBER(T33)),V33="Completed"),OR(NOT(ISNUMBER(W33)),Y33="Completed"),OR(NOT(ISNUMBER(AA33)),AC33="Completed"),OR(NOT(ISNUMBER(AG33)),AI33="Completed"),OR(NOT(ISNUMBER(AJ33)),AL33="Completed"),OR(NOT(ISNUMBER(AM33)),AO33="Completed"),OR(NOT(ISNUMBER(AQ33)),AS33="Completed"),OR(NOT(ISNUMBER(AW33)),AY33="Completed"),OR(NOT(ISNUMBER(AZ33)),BB33="Completed"),OR(NOT(ISNUMBER(BC33)),BE33="Completed"),OR(NOT(ISNUMBER(BG33)),BI33="Completed"),OR(NOT(ISNUMBER(O33)),P33="Completed"),OR(NOT(ISNUMBER(BM33)),BN33="Completed"),OR(NOT(ISNUMBER(BO33)),BP33="Completed"),OR(NOT(ISNUMBER(BQ33)),BR33="Completed"),BS33="Completed"),"Completed",IF(((S33="In Progress")+(V33="In Progress")+(Y33="In Progress")+(AC33="In Progress")+(AI33="In Progress")+(AL33="In Progress")+(AO33="In Progress")+(AS33="In Progress")+(AY33="In Progress")+(BB33="In Progress")+(BE33="In Progress")+(BI33="In Progress")+(P33="In Progress")+(BN33="In Progress")+(BP33="In Progress")+(BR33="In Progress")+(BS33="In Progress"))&gt;0,"In Progress","Yet to start")))))</f>
        <v/>
      </c>
      <c r="E34" s="30">
        <f>IF(A34="","",IF(F34="","All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Review","CAB"},MATCH(F34,BU34:CJ34,0))))</f>
        <v/>
      </c>
      <c r="F34" s="31">
        <f>IF(A34="","",IF(COUNT(BU34:CJ34)=0,"",MIN(BU34:CJ34)))</f>
        <v/>
      </c>
      <c r="G34" s="30">
        <f>IF(A34="","",MAX(0,IF(AND(ISNUMBER(Q34),S34&lt;&gt;"Completed",Q34&lt;TODAY()),TODAY()-Q34,0),IF(AND(ISNUMBER(T34),V34&lt;&gt;"Completed",T34&lt;TODAY()),TODAY()-T34,0),IF(AND(ISNUMBER(W34),Y34&lt;&gt;"Completed",W34&lt;TODAY()),TODAY()-W34,0),IF(AND(ISNUMBER(AA34),AC34&lt;&gt;"Completed",AA34&lt;TODAY()),TODAY()-AA34,0),IF(AND(ISNUMBER(AG34),AI34&lt;&gt;"Completed",AG34&lt;TODAY()),TODAY()-AG34,0),IF(AND(ISNUMBER(AJ34),AL34&lt;&gt;"Completed",AJ34&lt;TODAY()),TODAY()-AJ34,0),IF(AND(ISNUMBER(AM34),AO34&lt;&gt;"Completed",AM34&lt;TODAY()),TODAY()-AM34,0),IF(AND(ISNUMBER(AQ34),AS34&lt;&gt;"Completed",AQ34&lt;TODAY()),TODAY()-AQ34,0),IF(AND(ISNUMBER(AW34),AY34&lt;&gt;"Completed",AW34&lt;TODAY()),TODAY()-AW34,0),IF(AND(ISNUMBER(AZ34),BB34&lt;&gt;"Completed",AZ34&lt;TODAY()),TODAY()-AZ34,0),IF(AND(ISNUMBER(BC34),BE34&lt;&gt;"Completed",BC34&lt;TODAY()),TODAY()-BC34,0),IF(AND(ISNUMBER(BG34),BI34&lt;&gt;"Completed",BG34&lt;TODAY()),TODAY()-BG34,0),IF(AND(ISNUMBER(O34),P34&lt;&gt;"Completed",O34&lt;TODAY()),TODAY()-O34,0),IF(AND(ISNUMBER(BQ34),BR34&lt;&gt;"Completed",BQ34&lt;TODAY()),TODAY()-BQ34,0),IF(AND(ISNUMBER(BO34),BP34&lt;&gt;"Completed",BO34&lt;TODAY()),TODAY()-BO34,0),IF(AND(ISNUMBER(BM34),BN34&lt;&gt;"Completed",BM34&lt;TODAY()),TODAY()-BM34,0)))</f>
        <v/>
      </c>
      <c r="H34" s="32" t="n">
        <v>46260</v>
      </c>
      <c r="I34" s="32" t="n">
        <v>46273</v>
      </c>
      <c r="J34" s="32" t="n"/>
      <c r="K34" s="31">
        <f>IF(ISNUMBER(H34),H34,IF(ISNUMBER(M34),M34-WEEKDAY(M34,2)+1-7,""))</f>
        <v/>
      </c>
      <c r="L34" s="31">
        <f>IF(ISNUMBER(I34),I34,IF(ISNUMBER(H34),WORKDAY(H34,SprintWorkingDays-1),IF(ISNUMBER(K34),WORKDAY(K34,SprintWorkingDays-1),"")))</f>
        <v/>
      </c>
      <c r="M34" s="31">
        <f>IF(ISNUMBER(J34),J34,IF(ISNUMBER(I34),I34-IF(OR(WEEKDAY(I34,2)=2,WEEKDAY(I34,2)=4),0,IF(WEEKDAY(I34,2)=3,1,IF(WEEKDAY(I34,2)=1,4,WEEKDAY(I34,2)-4))),IF(ISNUMBER(H34),WORKDAY(H34,SprintWorkingDays-1)-IF(OR(WEEKDAY(WORKDAY(H34,SprintWorkingDays-1),2)=2,WEEKDAY(WORKDAY(H34,SprintWorkingDays-1),2)=4),0,IF(WEEKDAY(WORKDAY(H34,SprintWorkingDays-1),2)=3,1,IF(WEEKDAY(WORKDAY(H34,SprintWorkingDays-1),2)=1,4,WEEKDAY(WORKDAY(H34,SprintWorkingDays-1),2)-4))),"")))</f>
        <v/>
      </c>
      <c r="N34" s="31">
        <f>IF(NOT(ISNUMBER(K34)),"",WORKDAY(K34,ReadyOffsetWD))</f>
        <v/>
      </c>
      <c r="O34" s="31">
        <f>IF(NOT(ISNUMBER(K34)),"",WORKDAY(K34,SprintReadinessOffsetWD))</f>
        <v/>
      </c>
      <c r="P34" s="29" t="n"/>
      <c r="Q34" s="31">
        <f>IF(NOT(ISNUMBER(T34)),"",WORKDAY(T34,RTSKOffsetFromOUR_WD))</f>
        <v/>
      </c>
      <c r="R34" s="32" t="n"/>
      <c r="S34" s="29" t="n"/>
      <c r="T34" s="31">
        <f>IF(NOT(ISNUMBER(W34)),"",WORKDAY(W34,OUROffsetFromSR_WD))</f>
        <v/>
      </c>
      <c r="U34" s="32" t="n"/>
      <c r="V34" s="29" t="n"/>
      <c r="W34" s="31">
        <f>IF(NOT(ISNUMBER(K34)),"",WORKDAY(K34,SROffsetFromStartWD))</f>
        <v/>
      </c>
      <c r="X34" s="32" t="n"/>
      <c r="Y34" s="29" t="n"/>
      <c r="Z34" s="29" t="n"/>
      <c r="AA34" s="31">
        <f>IF(ISNUMBER(Q34),Q34,"")</f>
        <v/>
      </c>
      <c r="AB34" s="32" t="n"/>
      <c r="AC34" s="29" t="n"/>
      <c r="AD34" s="29" t="n"/>
      <c r="AE34" s="29" t="n"/>
      <c r="AF34" s="29" t="n"/>
      <c r="AG34" s="31">
        <f>IF(NOT(ISNUMBER(Q34)),"",Q34)</f>
        <v/>
      </c>
      <c r="AH34" s="32" t="n"/>
      <c r="AI34" s="29" t="n"/>
      <c r="AJ34" s="31">
        <f>IF(NOT(ISNUMBER(T34)),"",T34)</f>
        <v/>
      </c>
      <c r="AK34" s="32" t="n"/>
      <c r="AL34" s="29" t="n"/>
      <c r="AM34" s="31">
        <f>IF(NOT(ISNUMBER(W34)),"",W34)</f>
        <v/>
      </c>
      <c r="AN34" s="32" t="n"/>
      <c r="AO34" s="29" t="n"/>
      <c r="AP34" s="29" t="n"/>
      <c r="AQ34" s="31">
        <f>IF(ISNUMBER(AG34),AG34,"")</f>
        <v/>
      </c>
      <c r="AR34" s="32" t="n"/>
      <c r="AS34" s="29" t="n"/>
      <c r="AT34" s="29" t="n"/>
      <c r="AU34" s="29" t="n"/>
      <c r="AV34" s="29" t="n"/>
      <c r="AW34" s="31">
        <f>IF(NOT(ISNUMBER(Q34)),"",Q34)</f>
        <v/>
      </c>
      <c r="AX34" s="32" t="n"/>
      <c r="AY34" s="29" t="n"/>
      <c r="AZ34" s="31">
        <f>IF(NOT(ISNUMBER(T34)),"",T34)</f>
        <v/>
      </c>
      <c r="BA34" s="32" t="n"/>
      <c r="BB34" s="29" t="n"/>
      <c r="BC34" s="31">
        <f>IF(NOT(ISNUMBER(W34)),"",W34)</f>
        <v/>
      </c>
      <c r="BD34" s="32" t="n"/>
      <c r="BE34" s="29" t="n"/>
      <c r="BF34" s="29" t="n"/>
      <c r="BG34" s="31">
        <f>IF(ISNUMBER(AW34),AW34,"")</f>
        <v/>
      </c>
      <c r="BH34" s="32" t="n"/>
      <c r="BI34" s="29" t="n"/>
      <c r="BJ34" s="29" t="n"/>
      <c r="BK34" s="29" t="n"/>
      <c r="BL34" s="29" t="n"/>
      <c r="BM34" s="31">
        <f>IF(OR(NOT(ISNUMBER(M34)),AND(WEEKDAY(M34,2)&lt;&gt;2,WEEKDAY(M34,2)&lt;&gt;4)),"",WORKDAY(M34,CABOffsetFromReleaseWD))</f>
        <v/>
      </c>
      <c r="BN34" s="29" t="n"/>
      <c r="BO34" s="31">
        <f>IF(NOT(ISNUMBER(BM34)),"",IF(WEEKDAY(BM34-CodeReviewCalendarDays,2)&gt;5,BM34-CodeReviewCalendarDays-(WEEKDAY(BM34-CodeReviewCalendarDays,2)-5),BM34-CodeReviewCalendarDays))</f>
        <v/>
      </c>
      <c r="BP34" s="29" t="n"/>
      <c r="BQ34" s="31">
        <f>IF(NOT(ISNUMBER(BO34)),"",IF(WEEKDAY(BO34-CodeReviewInviteCalendarDays,2)&gt;5,BO34-CodeReviewInviteCalendarDays-(WEEKDAY(BO34-CodeReviewInviteCalendarDays,2)-5),BO34-CodeReviewInviteCalendarDays))</f>
        <v/>
      </c>
      <c r="BR34" s="29" t="n"/>
      <c r="BS34" s="29" t="n"/>
      <c r="BT34" s="30">
        <f>IF(A34="","",IF(IF(AND(ISNUMBER(J34),WEEKDAY(J34,2)&lt;&gt;2,WEEKDAY(J34,2)&lt;&gt;4)," | Release must be Tuesday or Thursday","")&amp;IF(AND(ISNUMBER(H34),WEEKDAY(H34,2)&lt;&gt;1)," | Sprint Start is not a Monday - dates still calculated from the date entered","")&amp;IF(AND(A34&lt;&gt;"",NOT(ISNUMBER(H34)),NOT(ISNUMBER(J34)))," | Enter Sprint Start or Release Date","")&amp;IF(AND(ISNUMBER(F34),F34&lt;TODAY(),D34&lt;&gt;"Completed")," | One or more raise-by dates are in the past and not completed","")&amp;IF(AND(ISNUMBER(K34),K34-TODAY()&lt;SprintWarningDays,K34&gt;=TODAY(),OR(D34="Yet to start",D34="Blocked"))," | Sprint starts in under 10 days - raise access requests now","")&amp;IF(AND(ISNUMBER(BQ34),BR34&lt;&gt;"Completed",BQ34-TODAY()&lt;CodeReviewInviteCalendarDays)," | Code Review invite should be sent at least 4 days before Code Review","")="","",MID(IF(AND(ISNUMBER(J34),WEEKDAY(J34,2)&lt;&gt;2,WEEKDAY(J34,2)&lt;&gt;4)," | Release must be Tuesday or Thursday","")&amp;IF(AND(ISNUMBER(H34),WEEKDAY(H34,2)&lt;&gt;1)," | Sprint Start is not a Monday - dates still calculated from the date entered","")&amp;IF(AND(A34&lt;&gt;"",NOT(ISNUMBER(H34)),NOT(ISNUMBER(J34)))," | Enter Sprint Start or Release Date","")&amp;IF(AND(ISNUMBER(F34),F34&lt;TODAY(),D34&lt;&gt;"Completed")," | One or more raise-by dates are in the past and not completed","")&amp;IF(AND(ISNUMBER(K34),K34-TODAY()&lt;SprintWarningDays,K34&gt;=TODAY(),OR(D34="Yet to start",D34="Blocked"))," | Sprint starts in under 10 days - raise access requests now","")&amp;IF(AND(ISNUMBER(BQ34),BR34&lt;&gt;"Completed",BQ34-TODAY()&lt;CodeReviewInviteCalendarDays)," | Code Review invite should be sent at least 4 days before Code Review",""),4,500)))</f>
        <v/>
      </c>
      <c r="BU34">
        <f>IF(AND(ISNUMBER(Q34),S34&lt;&gt;"Completed"),Q34,"")</f>
        <v/>
      </c>
      <c r="BV34">
        <f>IF(AND(ISNUMBER(T34),V34&lt;&gt;"Completed"),T34,"")</f>
        <v/>
      </c>
      <c r="BW34">
        <f>IF(AND(ISNUMBER(W34),Y34&lt;&gt;"Completed"),W34,"")</f>
        <v/>
      </c>
      <c r="BX34">
        <f>IF(AND(ISNUMBER(AA34),AC34&lt;&gt;"Completed"),AA34,"")</f>
        <v/>
      </c>
      <c r="BY34">
        <f>IF(AND(ISNUMBER(AG34),AI34&lt;&gt;"Completed"),AG34,"")</f>
        <v/>
      </c>
      <c r="BZ34">
        <f>IF(AND(ISNUMBER(AJ34),AL34&lt;&gt;"Completed"),AJ34,"")</f>
        <v/>
      </c>
      <c r="CA34">
        <f>IF(AND(ISNUMBER(AM34),AO34&lt;&gt;"Completed"),AM34,"")</f>
        <v/>
      </c>
      <c r="CB34">
        <f>IF(AND(ISNUMBER(AQ34),AS34&lt;&gt;"Completed"),AQ34,"")</f>
        <v/>
      </c>
      <c r="CC34">
        <f>IF(AND(ISNUMBER(AW34),AY34&lt;&gt;"Completed"),AW34,"")</f>
        <v/>
      </c>
      <c r="CD34">
        <f>IF(AND(ISNUMBER(AZ34),BB34&lt;&gt;"Completed"),AZ34,"")</f>
        <v/>
      </c>
      <c r="CE34">
        <f>IF(AND(ISNUMBER(BC34),BE34&lt;&gt;"Completed"),BC34,"")</f>
        <v/>
      </c>
      <c r="CF34">
        <f>IF(AND(ISNUMBER(BG34),BI34&lt;&gt;"Completed"),BG34,"")</f>
        <v/>
      </c>
      <c r="CG34">
        <f>IF(AND(ISNUMBER(O34),P34&lt;&gt;"Completed"),O34,"")</f>
        <v/>
      </c>
      <c r="CH34">
        <f>IF(AND(ISNUMBER(BQ34),BR34&lt;&gt;"Completed"),BQ34,"")</f>
        <v/>
      </c>
      <c r="CI34">
        <f>IF(AND(ISNUMBER(BO34),BP34&lt;&gt;"Completed"),BO34,"")</f>
        <v/>
      </c>
      <c r="CJ34">
        <f>IF(AND(ISNUMBER(BM34),BN34&lt;&gt;"Completed"),BM34,"")</f>
        <v/>
      </c>
      <c r="CK34">
        <f>IF(OR(A34="",D34="Completed"),"",IF(N(G34)&gt;0,1/(N(G34)+ROW()/100000),IF(ISNUMBER(F34),1000+F34+ROW()/100000,TODAY()+400+ROW()/100000)))</f>
        <v/>
      </c>
    </row>
    <row r="35" ht="16" customHeight="1" s="39">
      <c r="A35" s="29" t="inlineStr">
        <is>
          <t>Claims_Portal</t>
        </is>
      </c>
      <c r="B35" s="29" t="inlineStr">
        <is>
          <t>Sandeep &lt;sgodi@randomtrees.com&gt;</t>
        </is>
      </c>
      <c r="C35" s="29" t="inlineStr">
        <is>
          <t>Sprint 19</t>
        </is>
      </c>
      <c r="D35" s="30">
        <f>IF(A34="","",IF(((S34="Blocked")+(V34="Blocked")+(Y34="Blocked")+(AC34="Blocked")+(AI34="Blocked")+(AL34="Blocked")+(AO34="Blocked")+(AS34="Blocked")+(AY34="Blocked")+(BB34="Blocked")+(BE34="Blocked")+(BI34="Blocked")+(P34="Blocked")+(BN34="Blocked")+(BP34="Blocked")+(BR34="Blocked")+(BS34="Blocked"))&gt;0,"Blocked",IF((ISNUMBER(Q34)+ISNUMBER(T34)+ISNUMBER(W34)+ISNUMBER(AA34)+ISNUMBER(AG34)+ISNUMBER(AJ34)+ISNUMBER(AM34)+ISNUMBER(AQ34)+ISNUMBER(AW34)+ISNUMBER(AZ34)+ISNUMBER(BC34)+ISNUMBER(BG34)+ISNUMBER(O34)+ISNUMBER(BM34)+ISNUMBER(BO34)+ISNUMBER(BQ34))=0,"Yet to start",IF(AND(OR(NOT(ISNUMBER(Q34)),S34="Completed"),OR(NOT(ISNUMBER(T34)),V34="Completed"),OR(NOT(ISNUMBER(W34)),Y34="Completed"),OR(NOT(ISNUMBER(AA34)),AC34="Completed"),OR(NOT(ISNUMBER(AG34)),AI34="Completed"),OR(NOT(ISNUMBER(AJ34)),AL34="Completed"),OR(NOT(ISNUMBER(AM34)),AO34="Completed"),OR(NOT(ISNUMBER(AQ34)),AS34="Completed"),OR(NOT(ISNUMBER(AW34)),AY34="Completed"),OR(NOT(ISNUMBER(AZ34)),BB34="Completed"),OR(NOT(ISNUMBER(BC34)),BE34="Completed"),OR(NOT(ISNUMBER(BG34)),BI34="Completed"),OR(NOT(ISNUMBER(O34)),P34="Completed"),OR(NOT(ISNUMBER(BM34)),BN34="Completed"),OR(NOT(ISNUMBER(BO34)),BP34="Completed"),OR(NOT(ISNUMBER(BQ34)),BR34="Completed"),BS34="Completed"),"Completed",IF(((S34="In Progress")+(V34="In Progress")+(Y34="In Progress")+(AC34="In Progress")+(AI34="In Progress")+(AL34="In Progress")+(AO34="In Progress")+(AS34="In Progress")+(AY34="In Progress")+(BB34="In Progress")+(BE34="In Progress")+(BI34="In Progress")+(P34="In Progress")+(BN34="In Progress")+(BP34="In Progress")+(BR34="In Progress")+(BS34="In Progress"))&gt;0,"In Progress","Yet to start")))))</f>
        <v/>
      </c>
      <c r="E35" s="30">
        <f>IF(A35="","",IF(F35="","All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Review","CAB"},MATCH(F35,BU35:CJ35,0))))</f>
        <v/>
      </c>
      <c r="F35" s="31">
        <f>IF(A35="","",IF(COUNT(BU35:CJ35)=0,"",MIN(BU35:CJ35)))</f>
        <v/>
      </c>
      <c r="G35" s="30">
        <f>IF(A35="","",MAX(0,IF(AND(ISNUMBER(Q35),S35&lt;&gt;"Completed",Q35&lt;TODAY()),TODAY()-Q35,0),IF(AND(ISNUMBER(T35),V35&lt;&gt;"Completed",T35&lt;TODAY()),TODAY()-T35,0),IF(AND(ISNUMBER(W35),Y35&lt;&gt;"Completed",W35&lt;TODAY()),TODAY()-W35,0),IF(AND(ISNUMBER(AA35),AC35&lt;&gt;"Completed",AA35&lt;TODAY()),TODAY()-AA35,0),IF(AND(ISNUMBER(AG35),AI35&lt;&gt;"Completed",AG35&lt;TODAY()),TODAY()-AG35,0),IF(AND(ISNUMBER(AJ35),AL35&lt;&gt;"Completed",AJ35&lt;TODAY()),TODAY()-AJ35,0),IF(AND(ISNUMBER(AM35),AO35&lt;&gt;"Completed",AM35&lt;TODAY()),TODAY()-AM35,0),IF(AND(ISNUMBER(AQ35),AS35&lt;&gt;"Completed",AQ35&lt;TODAY()),TODAY()-AQ35,0),IF(AND(ISNUMBER(AW35),AY35&lt;&gt;"Completed",AW35&lt;TODAY()),TODAY()-AW35,0),IF(AND(ISNUMBER(AZ35),BB35&lt;&gt;"Completed",AZ35&lt;TODAY()),TODAY()-AZ35,0),IF(AND(ISNUMBER(BC35),BE35&lt;&gt;"Completed",BC35&lt;TODAY()),TODAY()-BC35,0),IF(AND(ISNUMBER(BG35),BI35&lt;&gt;"Completed",BG35&lt;TODAY()),TODAY()-BG35,0),IF(AND(ISNUMBER(O35),P35&lt;&gt;"Completed",O35&lt;TODAY()),TODAY()-O35,0),IF(AND(ISNUMBER(BQ35),BR35&lt;&gt;"Completed",BQ35&lt;TODAY()),TODAY()-BQ35,0),IF(AND(ISNUMBER(BO35),BP35&lt;&gt;"Completed",BO35&lt;TODAY()),TODAY()-BO35,0),IF(AND(ISNUMBER(BM35),BN35&lt;&gt;"Completed",BM35&lt;TODAY()),TODAY()-BM35,0)))</f>
        <v/>
      </c>
      <c r="H35" s="32" t="n">
        <v>46260</v>
      </c>
      <c r="I35" s="32" t="n">
        <v>46273</v>
      </c>
      <c r="J35" s="32" t="n"/>
      <c r="K35" s="31">
        <f>IF(ISNUMBER(H35),H35,IF(ISNUMBER(M35),M35-WEEKDAY(M35,2)+1-7,""))</f>
        <v/>
      </c>
      <c r="L35" s="31">
        <f>IF(ISNUMBER(I35),I35,IF(ISNUMBER(H35),WORKDAY(H35,SprintWorkingDays-1),IF(ISNUMBER(K35),WORKDAY(K35,SprintWorkingDays-1),"")))</f>
        <v/>
      </c>
      <c r="M35" s="31">
        <f>IF(ISNUMBER(J35),J35,IF(ISNUMBER(I35),I35-IF(OR(WEEKDAY(I35,2)=2,WEEKDAY(I35,2)=4),0,IF(WEEKDAY(I35,2)=3,1,IF(WEEKDAY(I35,2)=1,4,WEEKDAY(I35,2)-4))),IF(ISNUMBER(H35),WORKDAY(H35,SprintWorkingDays-1)-IF(OR(WEEKDAY(WORKDAY(H35,SprintWorkingDays-1),2)=2,WEEKDAY(WORKDAY(H35,SprintWorkingDays-1),2)=4),0,IF(WEEKDAY(WORKDAY(H35,SprintWorkingDays-1),2)=3,1,IF(WEEKDAY(WORKDAY(H35,SprintWorkingDays-1),2)=1,4,WEEKDAY(WORKDAY(H35,SprintWorkingDays-1),2)-4))),"")))</f>
        <v/>
      </c>
      <c r="N35" s="31">
        <f>IF(NOT(ISNUMBER(K35)),"",WORKDAY(K35,ReadyOffsetWD))</f>
        <v/>
      </c>
      <c r="O35" s="31">
        <f>IF(NOT(ISNUMBER(K35)),"",WORKDAY(K35,SprintReadinessOffsetWD))</f>
        <v/>
      </c>
      <c r="P35" s="29" t="n"/>
      <c r="Q35" s="31">
        <f>IF(NOT(ISNUMBER(T35)),"",WORKDAY(T35,RTSKOffsetFromOUR_WD))</f>
        <v/>
      </c>
      <c r="R35" s="32" t="n"/>
      <c r="S35" s="29" t="n"/>
      <c r="T35" s="31">
        <f>IF(NOT(ISNUMBER(W35)),"",WORKDAY(W35,OUROffsetFromSR_WD))</f>
        <v/>
      </c>
      <c r="U35" s="32" t="n"/>
      <c r="V35" s="29" t="n"/>
      <c r="W35" s="31">
        <f>IF(NOT(ISNUMBER(K35)),"",WORKDAY(K35,SROffsetFromStartWD))</f>
        <v/>
      </c>
      <c r="X35" s="32" t="n"/>
      <c r="Y35" s="29" t="n"/>
      <c r="Z35" s="29" t="n"/>
      <c r="AA35" s="31">
        <f>IF(ISNUMBER(Q35),Q35,"")</f>
        <v/>
      </c>
      <c r="AB35" s="32" t="n"/>
      <c r="AC35" s="29" t="n"/>
      <c r="AD35" s="29" t="n"/>
      <c r="AE35" s="29" t="n"/>
      <c r="AF35" s="29" t="n"/>
      <c r="AG35" s="31">
        <f>IF(NOT(ISNUMBER(Q35)),"",Q35)</f>
        <v/>
      </c>
      <c r="AH35" s="32" t="n"/>
      <c r="AI35" s="29" t="n"/>
      <c r="AJ35" s="31">
        <f>IF(NOT(ISNUMBER(T35)),"",T35)</f>
        <v/>
      </c>
      <c r="AK35" s="32" t="n"/>
      <c r="AL35" s="29" t="n"/>
      <c r="AM35" s="31">
        <f>IF(NOT(ISNUMBER(W35)),"",W35)</f>
        <v/>
      </c>
      <c r="AN35" s="32" t="n"/>
      <c r="AO35" s="29" t="n"/>
      <c r="AP35" s="29" t="n"/>
      <c r="AQ35" s="31">
        <f>IF(ISNUMBER(AG35),AG35,"")</f>
        <v/>
      </c>
      <c r="AR35" s="32" t="n"/>
      <c r="AS35" s="29" t="n"/>
      <c r="AT35" s="29" t="n"/>
      <c r="AU35" s="29" t="n"/>
      <c r="AV35" s="29" t="n"/>
      <c r="AW35" s="31">
        <f>IF(NOT(ISNUMBER(Q35)),"",Q35)</f>
        <v/>
      </c>
      <c r="AX35" s="32" t="n"/>
      <c r="AY35" s="29" t="n"/>
      <c r="AZ35" s="31">
        <f>IF(NOT(ISNUMBER(T35)),"",T35)</f>
        <v/>
      </c>
      <c r="BA35" s="32" t="n"/>
      <c r="BB35" s="29" t="n"/>
      <c r="BC35" s="31">
        <f>IF(NOT(ISNUMBER(W35)),"",W35)</f>
        <v/>
      </c>
      <c r="BD35" s="32" t="n"/>
      <c r="BE35" s="29" t="n"/>
      <c r="BF35" s="29" t="n"/>
      <c r="BG35" s="31">
        <f>IF(ISNUMBER(AW35),AW35,"")</f>
        <v/>
      </c>
      <c r="BH35" s="32" t="n"/>
      <c r="BI35" s="29" t="n"/>
      <c r="BJ35" s="29" t="n"/>
      <c r="BK35" s="29" t="n"/>
      <c r="BL35" s="29" t="n"/>
      <c r="BM35" s="31">
        <f>IF(OR(NOT(ISNUMBER(M35)),AND(WEEKDAY(M35,2)&lt;&gt;2,WEEKDAY(M35,2)&lt;&gt;4)),"",WORKDAY(M35,CABOffsetFromReleaseWD))</f>
        <v/>
      </c>
      <c r="BN35" s="29" t="n"/>
      <c r="BO35" s="31">
        <f>IF(NOT(ISNUMBER(BM35)),"",IF(WEEKDAY(BM35-CodeReviewCalendarDays,2)&gt;5,BM35-CodeReviewCalendarDays-(WEEKDAY(BM35-CodeReviewCalendarDays,2)-5),BM35-CodeReviewCalendarDays))</f>
        <v/>
      </c>
      <c r="BP35" s="29" t="n"/>
      <c r="BQ35" s="31">
        <f>IF(NOT(ISNUMBER(BO35)),"",IF(WEEKDAY(BO35-CodeReviewInviteCalendarDays,2)&gt;5,BO35-CodeReviewInviteCalendarDays-(WEEKDAY(BO35-CodeReviewInviteCalendarDays,2)-5),BO35-CodeReviewInviteCalendarDays))</f>
        <v/>
      </c>
      <c r="BR35" s="29" t="n"/>
      <c r="BS35" s="29" t="n"/>
      <c r="BT35" s="30">
        <f>IF(A35="","",IF(IF(AND(ISNUMBER(J35),WEEKDAY(J35,2)&lt;&gt;2,WEEKDAY(J35,2)&lt;&gt;4)," | Release must be Tuesday or Thursday","")&amp;IF(AND(ISNUMBER(H35),WEEKDAY(H35,2)&lt;&gt;1)," | Sprint Start is not a Monday - dates still calculated from the date entered","")&amp;IF(AND(A35&lt;&gt;"",NOT(ISNUMBER(H35)),NOT(ISNUMBER(J35)))," | Enter Sprint Start or Release Date","")&amp;IF(AND(ISNUMBER(F35),F35&lt;TODAY(),D35&lt;&gt;"Completed")," | One or more raise-by dates are in the past and not completed","")&amp;IF(AND(ISNUMBER(K35),K35-TODAY()&lt;SprintWarningDays,K35&gt;=TODAY(),OR(D35="Yet to start",D35="Blocked"))," | Sprint starts in under 10 days - raise access requests now","")&amp;IF(AND(ISNUMBER(BQ35),BR35&lt;&gt;"Completed",BQ35-TODAY()&lt;CodeReviewInviteCalendarDays)," | Code Review invite should be sent at least 4 days before Code Review","")="","",MID(IF(AND(ISNUMBER(J35),WEEKDAY(J35,2)&lt;&gt;2,WEEKDAY(J35,2)&lt;&gt;4)," | Release must be Tuesday or Thursday","")&amp;IF(AND(ISNUMBER(H35),WEEKDAY(H35,2)&lt;&gt;1)," | Sprint Start is not a Monday - dates still calculated from the date entered","")&amp;IF(AND(A35&lt;&gt;"",NOT(ISNUMBER(H35)),NOT(ISNUMBER(J35)))," | Enter Sprint Start or Release Date","")&amp;IF(AND(ISNUMBER(F35),F35&lt;TODAY(),D35&lt;&gt;"Completed")," | One or more raise-by dates are in the past and not completed","")&amp;IF(AND(ISNUMBER(K35),K35-TODAY()&lt;SprintWarningDays,K35&gt;=TODAY(),OR(D35="Yet to start",D35="Blocked"))," | Sprint starts in under 10 days - raise access requests now","")&amp;IF(AND(ISNUMBER(BQ35),BR35&lt;&gt;"Completed",BQ35-TODAY()&lt;CodeReviewInviteCalendarDays)," | Code Review invite should be sent at least 4 days before Code Review",""),4,500)))</f>
        <v/>
      </c>
      <c r="BU35">
        <f>IF(AND(ISNUMBER(Q35),S35&lt;&gt;"Completed"),Q35,"")</f>
        <v/>
      </c>
      <c r="BV35">
        <f>IF(AND(ISNUMBER(T35),V35&lt;&gt;"Completed"),T35,"")</f>
        <v/>
      </c>
      <c r="BW35">
        <f>IF(AND(ISNUMBER(W35),Y35&lt;&gt;"Completed"),W35,"")</f>
        <v/>
      </c>
      <c r="BX35">
        <f>IF(AND(ISNUMBER(AA35),AC35&lt;&gt;"Completed"),AA35,"")</f>
        <v/>
      </c>
      <c r="BY35">
        <f>IF(AND(ISNUMBER(AG35),AI35&lt;&gt;"Completed"),AG35,"")</f>
        <v/>
      </c>
      <c r="BZ35">
        <f>IF(AND(ISNUMBER(AJ35),AL35&lt;&gt;"Completed"),AJ35,"")</f>
        <v/>
      </c>
      <c r="CA35">
        <f>IF(AND(ISNUMBER(AM35),AO35&lt;&gt;"Completed"),AM35,"")</f>
        <v/>
      </c>
      <c r="CB35">
        <f>IF(AND(ISNUMBER(AQ35),AS35&lt;&gt;"Completed"),AQ35,"")</f>
        <v/>
      </c>
      <c r="CC35">
        <f>IF(AND(ISNUMBER(AW35),AY35&lt;&gt;"Completed"),AW35,"")</f>
        <v/>
      </c>
      <c r="CD35">
        <f>IF(AND(ISNUMBER(AZ35),BB35&lt;&gt;"Completed"),AZ35,"")</f>
        <v/>
      </c>
      <c r="CE35">
        <f>IF(AND(ISNUMBER(BC35),BE35&lt;&gt;"Completed"),BC35,"")</f>
        <v/>
      </c>
      <c r="CF35">
        <f>IF(AND(ISNUMBER(BG35),BI35&lt;&gt;"Completed"),BG35,"")</f>
        <v/>
      </c>
      <c r="CG35">
        <f>IF(AND(ISNUMBER(O35),P35&lt;&gt;"Completed"),O35,"")</f>
        <v/>
      </c>
      <c r="CH35">
        <f>IF(AND(ISNUMBER(BQ35),BR35&lt;&gt;"Completed"),BQ35,"")</f>
        <v/>
      </c>
      <c r="CI35">
        <f>IF(AND(ISNUMBER(BO35),BP35&lt;&gt;"Completed"),BO35,"")</f>
        <v/>
      </c>
      <c r="CJ35">
        <f>IF(AND(ISNUMBER(BM35),BN35&lt;&gt;"Completed"),BM35,"")</f>
        <v/>
      </c>
      <c r="CK35">
        <f>IF(OR(A35="",D35="Completed"),"",IF(N(G35)&gt;0,1/(N(G35)+ROW()/100000),IF(ISNUMBER(F35),1000+F35+ROW()/100000,TODAY()+400+ROW()/100000)))</f>
        <v/>
      </c>
    </row>
    <row r="36" ht="16" customHeight="1" s="39">
      <c r="A36" s="29" t="inlineStr">
        <is>
          <t>DWMR_DM</t>
        </is>
      </c>
      <c r="B36" s="29" t="inlineStr">
        <is>
          <t>Ragavendhar &lt;aragavendhar@randomtrees.com&gt;</t>
        </is>
      </c>
      <c r="C36" s="29" t="inlineStr">
        <is>
          <t>Sprint 19</t>
        </is>
      </c>
      <c r="D36" s="30">
        <f>IF(A35="","",IF(((S35="Blocked")+(V35="Blocked")+(Y35="Blocked")+(AC35="Blocked")+(AI35="Blocked")+(AL35="Blocked")+(AO35="Blocked")+(AS35="Blocked")+(AY35="Blocked")+(BB35="Blocked")+(BE35="Blocked")+(BI35="Blocked")+(P35="Blocked")+(BN35="Blocked")+(BP35="Blocked")+(BR35="Blocked")+(BS35="Blocked"))&gt;0,"Blocked",IF((ISNUMBER(Q35)+ISNUMBER(T35)+ISNUMBER(W35)+ISNUMBER(AA35)+ISNUMBER(AG35)+ISNUMBER(AJ35)+ISNUMBER(AM35)+ISNUMBER(AQ35)+ISNUMBER(AW35)+ISNUMBER(AZ35)+ISNUMBER(BC35)+ISNUMBER(BG35)+ISNUMBER(O35)+ISNUMBER(BM35)+ISNUMBER(BO35)+ISNUMBER(BQ35))=0,"Yet to start",IF(AND(OR(NOT(ISNUMBER(Q35)),S35="Completed"),OR(NOT(ISNUMBER(T35)),V35="Completed"),OR(NOT(ISNUMBER(W35)),Y35="Completed"),OR(NOT(ISNUMBER(AA35)),AC35="Completed"),OR(NOT(ISNUMBER(AG35)),AI35="Completed"),OR(NOT(ISNUMBER(AJ35)),AL35="Completed"),OR(NOT(ISNUMBER(AM35)),AO35="Completed"),OR(NOT(ISNUMBER(AQ35)),AS35="Completed"),OR(NOT(ISNUMBER(AW35)),AY35="Completed"),OR(NOT(ISNUMBER(AZ35)),BB35="Completed"),OR(NOT(ISNUMBER(BC35)),BE35="Completed"),OR(NOT(ISNUMBER(BG35)),BI35="Completed"),OR(NOT(ISNUMBER(O35)),P35="Completed"),OR(NOT(ISNUMBER(BM35)),BN35="Completed"),OR(NOT(ISNUMBER(BO35)),BP35="Completed"),OR(NOT(ISNUMBER(BQ35)),BR35="Completed"),BS35="Completed"),"Completed",IF(((S35="In Progress")+(V35="In Progress")+(Y35="In Progress")+(AC35="In Progress")+(AI35="In Progress")+(AL35="In Progress")+(AO35="In Progress")+(AS35="In Progress")+(AY35="In Progress")+(BB35="In Progress")+(BE35="In Progress")+(BI35="In Progress")+(P35="In Progress")+(BN35="In Progress")+(BP35="In Progress")+(BR35="In Progress")+(BS35="In Progress"))&gt;0,"In Progress","Yet to start")))))</f>
        <v/>
      </c>
      <c r="E36" s="30">
        <f>IF(A36="","",IF(F36="","All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Review","CAB"},MATCH(F36,BU36:CJ36,0))))</f>
        <v/>
      </c>
      <c r="F36" s="31">
        <f>IF(A36="","",IF(COUNT(BU36:CJ36)=0,"",MIN(BU36:CJ36)))</f>
        <v/>
      </c>
      <c r="G36" s="30">
        <f>IF(A36="","",MAX(0,IF(AND(ISNUMBER(Q36),S36&lt;&gt;"Completed",Q36&lt;TODAY()),TODAY()-Q36,0),IF(AND(ISNUMBER(T36),V36&lt;&gt;"Completed",T36&lt;TODAY()),TODAY()-T36,0),IF(AND(ISNUMBER(W36),Y36&lt;&gt;"Completed",W36&lt;TODAY()),TODAY()-W36,0),IF(AND(ISNUMBER(AA36),AC36&lt;&gt;"Completed",AA36&lt;TODAY()),TODAY()-AA36,0),IF(AND(ISNUMBER(AG36),AI36&lt;&gt;"Completed",AG36&lt;TODAY()),TODAY()-AG36,0),IF(AND(ISNUMBER(AJ36),AL36&lt;&gt;"Completed",AJ36&lt;TODAY()),TODAY()-AJ36,0),IF(AND(ISNUMBER(AM36),AO36&lt;&gt;"Completed",AM36&lt;TODAY()),TODAY()-AM36,0),IF(AND(ISNUMBER(AQ36),AS36&lt;&gt;"Completed",AQ36&lt;TODAY()),TODAY()-AQ36,0),IF(AND(ISNUMBER(AW36),AY36&lt;&gt;"Completed",AW36&lt;TODAY()),TODAY()-AW36,0),IF(AND(ISNUMBER(AZ36),BB36&lt;&gt;"Completed",AZ36&lt;TODAY()),TODAY()-AZ36,0),IF(AND(ISNUMBER(BC36),BE36&lt;&gt;"Completed",BC36&lt;TODAY()),TODAY()-BC36,0),IF(AND(ISNUMBER(BG36),BI36&lt;&gt;"Completed",BG36&lt;TODAY()),TODAY()-BG36,0),IF(AND(ISNUMBER(O36),P36&lt;&gt;"Completed",O36&lt;TODAY()),TODAY()-O36,0),IF(AND(ISNUMBER(BQ36),BR36&lt;&gt;"Completed",BQ36&lt;TODAY()),TODAY()-BQ36,0),IF(AND(ISNUMBER(BO36),BP36&lt;&gt;"Completed",BO36&lt;TODAY()),TODAY()-BO36,0),IF(AND(ISNUMBER(BM36),BN36&lt;&gt;"Completed",BM36&lt;TODAY()),TODAY()-BM36,0)))</f>
        <v/>
      </c>
      <c r="H36" s="32" t="n">
        <v>46260</v>
      </c>
      <c r="I36" s="32" t="n">
        <v>46273</v>
      </c>
      <c r="J36" s="32" t="n"/>
      <c r="K36" s="31">
        <f>IF(ISNUMBER(H36),H36,IF(ISNUMBER(M36),M36-WEEKDAY(M36,2)+1-7,""))</f>
        <v/>
      </c>
      <c r="L36" s="31">
        <f>IF(ISNUMBER(I36),I36,IF(ISNUMBER(H36),WORKDAY(H36,SprintWorkingDays-1),IF(ISNUMBER(K36),WORKDAY(K36,SprintWorkingDays-1),"")))</f>
        <v/>
      </c>
      <c r="M36" s="31">
        <f>IF(ISNUMBER(J36),J36,IF(ISNUMBER(I36),I36-IF(OR(WEEKDAY(I36,2)=2,WEEKDAY(I36,2)=4),0,IF(WEEKDAY(I36,2)=3,1,IF(WEEKDAY(I36,2)=1,4,WEEKDAY(I36,2)-4))),IF(ISNUMBER(H36),WORKDAY(H36,SprintWorkingDays-1)-IF(OR(WEEKDAY(WORKDAY(H36,SprintWorkingDays-1),2)=2,WEEKDAY(WORKDAY(H36,SprintWorkingDays-1),2)=4),0,IF(WEEKDAY(WORKDAY(H36,SprintWorkingDays-1),2)=3,1,IF(WEEKDAY(WORKDAY(H36,SprintWorkingDays-1),2)=1,4,WEEKDAY(WORKDAY(H36,SprintWorkingDays-1),2)-4))),"")))</f>
        <v/>
      </c>
      <c r="N36" s="31">
        <f>IF(NOT(ISNUMBER(K36)),"",WORKDAY(K36,ReadyOffsetWD))</f>
        <v/>
      </c>
      <c r="O36" s="31">
        <f>IF(NOT(ISNUMBER(K36)),"",WORKDAY(K36,SprintReadinessOffsetWD))</f>
        <v/>
      </c>
      <c r="P36" s="29" t="n"/>
      <c r="Q36" s="31">
        <f>IF(NOT(ISNUMBER(T36)),"",WORKDAY(T36,RTSKOffsetFromOUR_WD))</f>
        <v/>
      </c>
      <c r="R36" s="32" t="n"/>
      <c r="S36" s="29" t="n"/>
      <c r="T36" s="31">
        <f>IF(NOT(ISNUMBER(W36)),"",WORKDAY(W36,OUROffsetFromSR_WD))</f>
        <v/>
      </c>
      <c r="U36" s="32" t="n"/>
      <c r="V36" s="29" t="n"/>
      <c r="W36" s="31">
        <f>IF(NOT(ISNUMBER(K36)),"",WORKDAY(K36,SROffsetFromStartWD))</f>
        <v/>
      </c>
      <c r="X36" s="32" t="n"/>
      <c r="Y36" s="29" t="n"/>
      <c r="Z36" s="29" t="n"/>
      <c r="AA36" s="31">
        <f>IF(ISNUMBER(Q36),Q36,"")</f>
        <v/>
      </c>
      <c r="AB36" s="32" t="n"/>
      <c r="AC36" s="29" t="n"/>
      <c r="AD36" s="29" t="n"/>
      <c r="AE36" s="29" t="n"/>
      <c r="AF36" s="29" t="n"/>
      <c r="AG36" s="31">
        <f>IF(NOT(ISNUMBER(Q36)),"",Q36)</f>
        <v/>
      </c>
      <c r="AH36" s="32" t="n"/>
      <c r="AI36" s="29" t="n"/>
      <c r="AJ36" s="31">
        <f>IF(NOT(ISNUMBER(T36)),"",T36)</f>
        <v/>
      </c>
      <c r="AK36" s="32" t="n"/>
      <c r="AL36" s="29" t="n"/>
      <c r="AM36" s="31">
        <f>IF(NOT(ISNUMBER(W36)),"",W36)</f>
        <v/>
      </c>
      <c r="AN36" s="32" t="n"/>
      <c r="AO36" s="29" t="n"/>
      <c r="AP36" s="29" t="n"/>
      <c r="AQ36" s="31">
        <f>IF(ISNUMBER(AG36),AG36,"")</f>
        <v/>
      </c>
      <c r="AR36" s="32" t="n"/>
      <c r="AS36" s="29" t="n"/>
      <c r="AT36" s="29" t="n"/>
      <c r="AU36" s="29" t="n"/>
      <c r="AV36" s="29" t="n"/>
      <c r="AW36" s="31">
        <f>IF(NOT(ISNUMBER(Q36)),"",Q36)</f>
        <v/>
      </c>
      <c r="AX36" s="32" t="n"/>
      <c r="AY36" s="29" t="n"/>
      <c r="AZ36" s="31">
        <f>IF(NOT(ISNUMBER(T36)),"",T36)</f>
        <v/>
      </c>
      <c r="BA36" s="32" t="n"/>
      <c r="BB36" s="29" t="n"/>
      <c r="BC36" s="31">
        <f>IF(NOT(ISNUMBER(W36)),"",W36)</f>
        <v/>
      </c>
      <c r="BD36" s="32" t="n"/>
      <c r="BE36" s="29" t="n"/>
      <c r="BF36" s="29" t="n"/>
      <c r="BG36" s="31">
        <f>IF(ISNUMBER(AW36),AW36,"")</f>
        <v/>
      </c>
      <c r="BH36" s="32" t="n"/>
      <c r="BI36" s="29" t="n"/>
      <c r="BJ36" s="29" t="n"/>
      <c r="BK36" s="29" t="n"/>
      <c r="BL36" s="29" t="n"/>
      <c r="BM36" s="31">
        <f>IF(OR(NOT(ISNUMBER(M36)),AND(WEEKDAY(M36,2)&lt;&gt;2,WEEKDAY(M36,2)&lt;&gt;4)),"",WORKDAY(M36,CABOffsetFromReleaseWD))</f>
        <v/>
      </c>
      <c r="BN36" s="29" t="n"/>
      <c r="BO36" s="31">
        <f>IF(NOT(ISNUMBER(BM36)),"",IF(WEEKDAY(BM36-CodeReviewCalendarDays,2)&gt;5,BM36-CodeReviewCalendarDays-(WEEKDAY(BM36-CodeReviewCalendarDays,2)-5),BM36-CodeReviewCalendarDays))</f>
        <v/>
      </c>
      <c r="BP36" s="29" t="n"/>
      <c r="BQ36" s="31">
        <f>IF(NOT(ISNUMBER(BO36)),"",IF(WEEKDAY(BO36-CodeReviewInviteCalendarDays,2)&gt;5,BO36-CodeReviewInviteCalendarDays-(WEEKDAY(BO36-CodeReviewInviteCalendarDays,2)-5),BO36-CodeReviewInviteCalendarDays))</f>
        <v/>
      </c>
      <c r="BR36" s="29" t="n"/>
      <c r="BS36" s="29" t="n"/>
      <c r="BT36" s="30">
        <f>IF(A36="","",IF(IF(AND(ISNUMBER(J36),WEEKDAY(J36,2)&lt;&gt;2,WEEKDAY(J36,2)&lt;&gt;4)," | Release must be Tuesday or Thursday","")&amp;IF(AND(ISNUMBER(H36),WEEKDAY(H36,2)&lt;&gt;1)," | Sprint Start is not a Monday - dates still calculated from the date entered","")&amp;IF(AND(A36&lt;&gt;"",NOT(ISNUMBER(H36)),NOT(ISNUMBER(J36)))," | Enter Sprint Start or Release Date","")&amp;IF(AND(ISNUMBER(F36),F36&lt;TODAY(),D36&lt;&gt;"Completed")," | One or more raise-by dates are in the past and not completed","")&amp;IF(AND(ISNUMBER(K36),K36-TODAY()&lt;SprintWarningDays,K36&gt;=TODAY(),OR(D36="Yet to start",D36="Blocked"))," | Sprint starts in under 10 days - raise access requests now","")&amp;IF(AND(ISNUMBER(BQ36),BR36&lt;&gt;"Completed",BQ36-TODAY()&lt;CodeReviewInviteCalendarDays)," | Code Review invite should be sent at least 4 days before Code Review","")="","",MID(IF(AND(ISNUMBER(J36),WEEKDAY(J36,2)&lt;&gt;2,WEEKDAY(J36,2)&lt;&gt;4)," | Release must be Tuesday or Thursday","")&amp;IF(AND(ISNUMBER(H36),WEEKDAY(H36,2)&lt;&gt;1)," | Sprint Start is not a Monday - dates still calculated from the date entered","")&amp;IF(AND(A36&lt;&gt;"",NOT(ISNUMBER(H36)),NOT(ISNUMBER(J36)))," | Enter Sprint Start or Release Date","")&amp;IF(AND(ISNUMBER(F36),F36&lt;TODAY(),D36&lt;&gt;"Completed")," | One or more raise-by dates are in the past and not completed","")&amp;IF(AND(ISNUMBER(K36),K36-TODAY()&lt;SprintWarningDays,K36&gt;=TODAY(),OR(D36="Yet to start",D36="Blocked"))," | Sprint starts in under 10 days - raise access requests now","")&amp;IF(AND(ISNUMBER(BQ36),BR36&lt;&gt;"Completed",BQ36-TODAY()&lt;CodeReviewInviteCalendarDays)," | Code Review invite should be sent at least 4 days before Code Review",""),4,500)))</f>
        <v/>
      </c>
      <c r="BU36">
        <f>IF(AND(ISNUMBER(Q36),S36&lt;&gt;"Completed"),Q36,"")</f>
        <v/>
      </c>
      <c r="BV36">
        <f>IF(AND(ISNUMBER(T36),V36&lt;&gt;"Completed"),T36,"")</f>
        <v/>
      </c>
      <c r="BW36">
        <f>IF(AND(ISNUMBER(W36),Y36&lt;&gt;"Completed"),W36,"")</f>
        <v/>
      </c>
      <c r="BX36">
        <f>IF(AND(ISNUMBER(AA36),AC36&lt;&gt;"Completed"),AA36,"")</f>
        <v/>
      </c>
      <c r="BY36">
        <f>IF(AND(ISNUMBER(AG36),AI36&lt;&gt;"Completed"),AG36,"")</f>
        <v/>
      </c>
      <c r="BZ36">
        <f>IF(AND(ISNUMBER(AJ36),AL36&lt;&gt;"Completed"),AJ36,"")</f>
        <v/>
      </c>
      <c r="CA36">
        <f>IF(AND(ISNUMBER(AM36),AO36&lt;&gt;"Completed"),AM36,"")</f>
        <v/>
      </c>
      <c r="CB36">
        <f>IF(AND(ISNUMBER(AQ36),AS36&lt;&gt;"Completed"),AQ36,"")</f>
        <v/>
      </c>
      <c r="CC36">
        <f>IF(AND(ISNUMBER(AW36),AY36&lt;&gt;"Completed"),AW36,"")</f>
        <v/>
      </c>
      <c r="CD36">
        <f>IF(AND(ISNUMBER(AZ36),BB36&lt;&gt;"Completed"),AZ36,"")</f>
        <v/>
      </c>
      <c r="CE36">
        <f>IF(AND(ISNUMBER(BC36),BE36&lt;&gt;"Completed"),BC36,"")</f>
        <v/>
      </c>
      <c r="CF36">
        <f>IF(AND(ISNUMBER(BG36),BI36&lt;&gt;"Completed"),BG36,"")</f>
        <v/>
      </c>
      <c r="CG36">
        <f>IF(AND(ISNUMBER(O36),P36&lt;&gt;"Completed"),O36,"")</f>
        <v/>
      </c>
      <c r="CH36">
        <f>IF(AND(ISNUMBER(BQ36),BR36&lt;&gt;"Completed"),BQ36,"")</f>
        <v/>
      </c>
      <c r="CI36">
        <f>IF(AND(ISNUMBER(BO36),BP36&lt;&gt;"Completed"),BO36,"")</f>
        <v/>
      </c>
      <c r="CJ36">
        <f>IF(AND(ISNUMBER(BM36),BN36&lt;&gt;"Completed"),BM36,"")</f>
        <v/>
      </c>
      <c r="CK36">
        <f>IF(OR(A36="",D36="Completed"),"",IF(N(G36)&gt;0,1/(N(G36)+ROW()/100000),IF(ISNUMBER(F36),1000+F36+ROW()/100000,TODAY()+400+ROW()/100000)))</f>
        <v/>
      </c>
    </row>
    <row r="37" ht="16" customHeight="1" s="39">
      <c r="A37" s="29" t="inlineStr">
        <is>
          <t>MISO</t>
        </is>
      </c>
      <c r="B37" s="29" t="inlineStr">
        <is>
          <t>Vidhesha &lt;vkumaran@randomtrees.com&gt;</t>
        </is>
      </c>
      <c r="C37" s="29" t="inlineStr">
        <is>
          <t>Sprint 20</t>
        </is>
      </c>
      <c r="D37" s="30">
        <f>IF(A36="","",IF(((S36="Blocked")+(V36="Blocked")+(Y36="Blocked")+(AC36="Blocked")+(AI36="Blocked")+(AL36="Blocked")+(AO36="Blocked")+(AS36="Blocked")+(AY36="Blocked")+(BB36="Blocked")+(BE36="Blocked")+(BI36="Blocked")+(P36="Blocked")+(BN36="Blocked")+(BP36="Blocked")+(BR36="Blocked")+(BS36="Blocked"))&gt;0,"Blocked",IF((ISNUMBER(Q36)+ISNUMBER(T36)+ISNUMBER(W36)+ISNUMBER(AA36)+ISNUMBER(AG36)+ISNUMBER(AJ36)+ISNUMBER(AM36)+ISNUMBER(AQ36)+ISNUMBER(AW36)+ISNUMBER(AZ36)+ISNUMBER(BC36)+ISNUMBER(BG36)+ISNUMBER(O36)+ISNUMBER(BM36)+ISNUMBER(BO36)+ISNUMBER(BQ36))=0,"Yet to start",IF(AND(OR(NOT(ISNUMBER(Q36)),S36="Completed"),OR(NOT(ISNUMBER(T36)),V36="Completed"),OR(NOT(ISNUMBER(W36)),Y36="Completed"),OR(NOT(ISNUMBER(AA36)),AC36="Completed"),OR(NOT(ISNUMBER(AG36)),AI36="Completed"),OR(NOT(ISNUMBER(AJ36)),AL36="Completed"),OR(NOT(ISNUMBER(AM36)),AO36="Completed"),OR(NOT(ISNUMBER(AQ36)),AS36="Completed"),OR(NOT(ISNUMBER(AW36)),AY36="Completed"),OR(NOT(ISNUMBER(AZ36)),BB36="Completed"),OR(NOT(ISNUMBER(BC36)),BE36="Completed"),OR(NOT(ISNUMBER(BG36)),BI36="Completed"),OR(NOT(ISNUMBER(O36)),P36="Completed"),OR(NOT(ISNUMBER(BM36)),BN36="Completed"),OR(NOT(ISNUMBER(BO36)),BP36="Completed"),OR(NOT(ISNUMBER(BQ36)),BR36="Completed"),BS36="Completed"),"Completed",IF(((S36="In Progress")+(V36="In Progress")+(Y36="In Progress")+(AC36="In Progress")+(AI36="In Progress")+(AL36="In Progress")+(AO36="In Progress")+(AS36="In Progress")+(AY36="In Progress")+(BB36="In Progress")+(BE36="In Progress")+(BI36="In Progress")+(P36="In Progress")+(BN36="In Progress")+(BP36="In Progress")+(BR36="In Progress")+(BS36="In Progress"))&gt;0,"In Progress","Yet to start")))))</f>
        <v/>
      </c>
      <c r="E37" s="30">
        <f>IF(A37="","",IF(F37="","All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Review","CAB"},MATCH(F37,BU37:CJ37,0))))</f>
        <v/>
      </c>
      <c r="F37" s="31">
        <f>IF(A37="","",IF(COUNT(BU37:CJ37)=0,"",MIN(BU37:CJ37)))</f>
        <v/>
      </c>
      <c r="G37" s="30">
        <f>IF(A37="","",MAX(0,IF(AND(ISNUMBER(Q37),S37&lt;&gt;"Completed",Q37&lt;TODAY()),TODAY()-Q37,0),IF(AND(ISNUMBER(T37),V37&lt;&gt;"Completed",T37&lt;TODAY()),TODAY()-T37,0),IF(AND(ISNUMBER(W37),Y37&lt;&gt;"Completed",W37&lt;TODAY()),TODAY()-W37,0),IF(AND(ISNUMBER(AA37),AC37&lt;&gt;"Completed",AA37&lt;TODAY()),TODAY()-AA37,0),IF(AND(ISNUMBER(AG37),AI37&lt;&gt;"Completed",AG37&lt;TODAY()),TODAY()-AG37,0),IF(AND(ISNUMBER(AJ37),AL37&lt;&gt;"Completed",AJ37&lt;TODAY()),TODAY()-AJ37,0),IF(AND(ISNUMBER(AM37),AO37&lt;&gt;"Completed",AM37&lt;TODAY()),TODAY()-AM37,0),IF(AND(ISNUMBER(AQ37),AS37&lt;&gt;"Completed",AQ37&lt;TODAY()),TODAY()-AQ37,0),IF(AND(ISNUMBER(AW37),AY37&lt;&gt;"Completed",AW37&lt;TODAY()),TODAY()-AW37,0),IF(AND(ISNUMBER(AZ37),BB37&lt;&gt;"Completed",AZ37&lt;TODAY()),TODAY()-AZ37,0),IF(AND(ISNUMBER(BC37),BE37&lt;&gt;"Completed",BC37&lt;TODAY()),TODAY()-BC37,0),IF(AND(ISNUMBER(BG37),BI37&lt;&gt;"Completed",BG37&lt;TODAY()),TODAY()-BG37,0),IF(AND(ISNUMBER(O37),P37&lt;&gt;"Completed",O37&lt;TODAY()),TODAY()-O37,0),IF(AND(ISNUMBER(BQ37),BR37&lt;&gt;"Completed",BQ37&lt;TODAY()),TODAY()-BQ37,0),IF(AND(ISNUMBER(BO37),BP37&lt;&gt;"Completed",BO37&lt;TODAY()),TODAY()-BO37,0),IF(AND(ISNUMBER(BM37),BN37&lt;&gt;"Completed",BM37&lt;TODAY()),TODAY()-BM37,0)))</f>
        <v/>
      </c>
      <c r="H37" s="32" t="n">
        <v>46274</v>
      </c>
      <c r="I37" s="32" t="n">
        <v>46287</v>
      </c>
      <c r="J37" s="32" t="n"/>
      <c r="K37" s="31">
        <f>IF(ISNUMBER(H37),H37,IF(ISNUMBER(M37),M37-WEEKDAY(M37,2)+1-7,""))</f>
        <v/>
      </c>
      <c r="L37" s="31">
        <f>IF(ISNUMBER(I37),I37,IF(ISNUMBER(H37),WORKDAY(H37,SprintWorkingDays-1),IF(ISNUMBER(K37),WORKDAY(K37,SprintWorkingDays-1),"")))</f>
        <v/>
      </c>
      <c r="M37" s="31">
        <f>IF(ISNUMBER(J37),J37,IF(ISNUMBER(I37),I37-IF(OR(WEEKDAY(I37,2)=2,WEEKDAY(I37,2)=4),0,IF(WEEKDAY(I37,2)=3,1,IF(WEEKDAY(I37,2)=1,4,WEEKDAY(I37,2)-4))),IF(ISNUMBER(H37),WORKDAY(H37,SprintWorkingDays-1)-IF(OR(WEEKDAY(WORKDAY(H37,SprintWorkingDays-1),2)=2,WEEKDAY(WORKDAY(H37,SprintWorkingDays-1),2)=4),0,IF(WEEKDAY(WORKDAY(H37,SprintWorkingDays-1),2)=3,1,IF(WEEKDAY(WORKDAY(H37,SprintWorkingDays-1),2)=1,4,WEEKDAY(WORKDAY(H37,SprintWorkingDays-1),2)-4))),"")))</f>
        <v/>
      </c>
      <c r="N37" s="31">
        <f>IF(NOT(ISNUMBER(K37)),"",WORKDAY(K37,ReadyOffsetWD))</f>
        <v/>
      </c>
      <c r="O37" s="31">
        <f>IF(NOT(ISNUMBER(K37)),"",WORKDAY(K37,SprintReadinessOffsetWD))</f>
        <v/>
      </c>
      <c r="P37" s="29" t="n"/>
      <c r="Q37" s="31">
        <f>IF(NOT(ISNUMBER(T37)),"",WORKDAY(T37,RTSKOffsetFromOUR_WD))</f>
        <v/>
      </c>
      <c r="R37" s="32" t="n"/>
      <c r="S37" s="29" t="n"/>
      <c r="T37" s="31">
        <f>IF(NOT(ISNUMBER(W37)),"",WORKDAY(W37,OUROffsetFromSR_WD))</f>
        <v/>
      </c>
      <c r="U37" s="32" t="n"/>
      <c r="V37" s="29" t="n"/>
      <c r="W37" s="31">
        <f>IF(NOT(ISNUMBER(K37)),"",WORKDAY(K37,SROffsetFromStartWD))</f>
        <v/>
      </c>
      <c r="X37" s="32" t="n"/>
      <c r="Y37" s="29" t="n"/>
      <c r="Z37" s="29" t="n"/>
      <c r="AA37" s="31">
        <f>IF(ISNUMBER(Q37),Q37,"")</f>
        <v/>
      </c>
      <c r="AB37" s="32" t="n"/>
      <c r="AC37" s="29" t="n"/>
      <c r="AD37" s="29" t="n"/>
      <c r="AE37" s="29" t="n"/>
      <c r="AF37" s="29" t="n"/>
      <c r="AG37" s="31">
        <f>IF(NOT(ISNUMBER(Q37)),"",Q37)</f>
        <v/>
      </c>
      <c r="AH37" s="32" t="n"/>
      <c r="AI37" s="29" t="n"/>
      <c r="AJ37" s="31">
        <f>IF(NOT(ISNUMBER(T37)),"",T37)</f>
        <v/>
      </c>
      <c r="AK37" s="32" t="n"/>
      <c r="AL37" s="29" t="n"/>
      <c r="AM37" s="31">
        <f>IF(NOT(ISNUMBER(W37)),"",W37)</f>
        <v/>
      </c>
      <c r="AN37" s="32" t="n"/>
      <c r="AO37" s="29" t="n"/>
      <c r="AP37" s="29" t="n"/>
      <c r="AQ37" s="31">
        <f>IF(ISNUMBER(AG37),AG37,"")</f>
        <v/>
      </c>
      <c r="AR37" s="32" t="n"/>
      <c r="AS37" s="29" t="n"/>
      <c r="AT37" s="29" t="n"/>
      <c r="AU37" s="29" t="n"/>
      <c r="AV37" s="29" t="n"/>
      <c r="AW37" s="31">
        <f>IF(NOT(ISNUMBER(Q37)),"",Q37)</f>
        <v/>
      </c>
      <c r="AX37" s="32" t="n"/>
      <c r="AY37" s="29" t="n"/>
      <c r="AZ37" s="31">
        <f>IF(NOT(ISNUMBER(T37)),"",T37)</f>
        <v/>
      </c>
      <c r="BA37" s="32" t="n"/>
      <c r="BB37" s="29" t="n"/>
      <c r="BC37" s="31">
        <f>IF(NOT(ISNUMBER(W37)),"",W37)</f>
        <v/>
      </c>
      <c r="BD37" s="32" t="n"/>
      <c r="BE37" s="29" t="n"/>
      <c r="BF37" s="29" t="n"/>
      <c r="BG37" s="31">
        <f>IF(ISNUMBER(AW37),AW37,"")</f>
        <v/>
      </c>
      <c r="BH37" s="32" t="n"/>
      <c r="BI37" s="29" t="n"/>
      <c r="BJ37" s="29" t="n"/>
      <c r="BK37" s="29" t="n"/>
      <c r="BL37" s="29" t="n"/>
      <c r="BM37" s="31">
        <f>IF(OR(NOT(ISNUMBER(M37)),AND(WEEKDAY(M37,2)&lt;&gt;2,WEEKDAY(M37,2)&lt;&gt;4)),"",WORKDAY(M37,CABOffsetFromReleaseWD))</f>
        <v/>
      </c>
      <c r="BN37" s="29" t="n"/>
      <c r="BO37" s="31">
        <f>IF(NOT(ISNUMBER(BM37)),"",IF(WEEKDAY(BM37-CodeReviewCalendarDays,2)&gt;5,BM37-CodeReviewCalendarDays-(WEEKDAY(BM37-CodeReviewCalendarDays,2)-5),BM37-CodeReviewCalendarDays))</f>
        <v/>
      </c>
      <c r="BP37" s="29" t="n"/>
      <c r="BQ37" s="31">
        <f>IF(NOT(ISNUMBER(BO37)),"",IF(WEEKDAY(BO37-CodeReviewInviteCalendarDays,2)&gt;5,BO37-CodeReviewInviteCalendarDays-(WEEKDAY(BO37-CodeReviewInviteCalendarDays,2)-5),BO37-CodeReviewInviteCalendarDays))</f>
        <v/>
      </c>
      <c r="BR37" s="29" t="n"/>
      <c r="BS37" s="29" t="n"/>
      <c r="BT37" s="30">
        <f>IF(A37="","",IF(IF(AND(ISNUMBER(J37),WEEKDAY(J37,2)&lt;&gt;2,WEEKDAY(J37,2)&lt;&gt;4)," | Release must be Tuesday or Thursday","")&amp;IF(AND(ISNUMBER(H37),WEEKDAY(H37,2)&lt;&gt;1)," | Sprint Start is not a Monday - dates still calculated from the date entered","")&amp;IF(AND(A37&lt;&gt;"",NOT(ISNUMBER(H37)),NOT(ISNUMBER(J37)))," | Enter Sprint Start or Release Date","")&amp;IF(AND(ISNUMBER(F37),F37&lt;TODAY(),D37&lt;&gt;"Completed")," | One or more raise-by dates are in the past and not completed","")&amp;IF(AND(ISNUMBER(K37),K37-TODAY()&lt;SprintWarningDays,K37&gt;=TODAY(),OR(D37="Yet to start",D37="Blocked"))," | Sprint starts in under 10 days - raise access requests now","")&amp;IF(AND(ISNUMBER(BQ37),BR37&lt;&gt;"Completed",BQ37-TODAY()&lt;CodeReviewInviteCalendarDays)," | Code Review invite should be sent at least 4 days before Code Review","")="","",MID(IF(AND(ISNUMBER(J37),WEEKDAY(J37,2)&lt;&gt;2,WEEKDAY(J37,2)&lt;&gt;4)," | Release must be Tuesday or Thursday","")&amp;IF(AND(ISNUMBER(H37),WEEKDAY(H37,2)&lt;&gt;1)," | Sprint Start is not a Monday - dates still calculated from the date entered","")&amp;IF(AND(A37&lt;&gt;"",NOT(ISNUMBER(H37)),NOT(ISNUMBER(J37)))," | Enter Sprint Start or Release Date","")&amp;IF(AND(ISNUMBER(F37),F37&lt;TODAY(),D37&lt;&gt;"Completed")," | One or more raise-by dates are in the past and not completed","")&amp;IF(AND(ISNUMBER(K37),K37-TODAY()&lt;SprintWarningDays,K37&gt;=TODAY(),OR(D37="Yet to start",D37="Blocked"))," | Sprint starts in under 10 days - raise access requests now","")&amp;IF(AND(ISNUMBER(BQ37),BR37&lt;&gt;"Completed",BQ37-TODAY()&lt;CodeReviewInviteCalendarDays)," | Code Review invite should be sent at least 4 days before Code Review",""),4,500)))</f>
        <v/>
      </c>
      <c r="BU37">
        <f>IF(AND(ISNUMBER(Q37),S37&lt;&gt;"Completed"),Q37,"")</f>
        <v/>
      </c>
      <c r="BV37">
        <f>IF(AND(ISNUMBER(T37),V37&lt;&gt;"Completed"),T37,"")</f>
        <v/>
      </c>
      <c r="BW37">
        <f>IF(AND(ISNUMBER(W37),Y37&lt;&gt;"Completed"),W37,"")</f>
        <v/>
      </c>
      <c r="BX37">
        <f>IF(AND(ISNUMBER(AA37),AC37&lt;&gt;"Completed"),AA37,"")</f>
        <v/>
      </c>
      <c r="BY37">
        <f>IF(AND(ISNUMBER(AG37),AI37&lt;&gt;"Completed"),AG37,"")</f>
        <v/>
      </c>
      <c r="BZ37">
        <f>IF(AND(ISNUMBER(AJ37),AL37&lt;&gt;"Completed"),AJ37,"")</f>
        <v/>
      </c>
      <c r="CA37">
        <f>IF(AND(ISNUMBER(AM37),AO37&lt;&gt;"Completed"),AM37,"")</f>
        <v/>
      </c>
      <c r="CB37">
        <f>IF(AND(ISNUMBER(AQ37),AS37&lt;&gt;"Completed"),AQ37,"")</f>
        <v/>
      </c>
      <c r="CC37">
        <f>IF(AND(ISNUMBER(AW37),AY37&lt;&gt;"Completed"),AW37,"")</f>
        <v/>
      </c>
      <c r="CD37">
        <f>IF(AND(ISNUMBER(AZ37),BB37&lt;&gt;"Completed"),AZ37,"")</f>
        <v/>
      </c>
      <c r="CE37">
        <f>IF(AND(ISNUMBER(BC37),BE37&lt;&gt;"Completed"),BC37,"")</f>
        <v/>
      </c>
      <c r="CF37">
        <f>IF(AND(ISNUMBER(BG37),BI37&lt;&gt;"Completed"),BG37,"")</f>
        <v/>
      </c>
      <c r="CG37">
        <f>IF(AND(ISNUMBER(O37),P37&lt;&gt;"Completed"),O37,"")</f>
        <v/>
      </c>
      <c r="CH37">
        <f>IF(AND(ISNUMBER(BQ37),BR37&lt;&gt;"Completed"),BQ37,"")</f>
        <v/>
      </c>
      <c r="CI37">
        <f>IF(AND(ISNUMBER(BO37),BP37&lt;&gt;"Completed"),BO37,"")</f>
        <v/>
      </c>
      <c r="CJ37">
        <f>IF(AND(ISNUMBER(BM37),BN37&lt;&gt;"Completed"),BM37,"")</f>
        <v/>
      </c>
      <c r="CK37">
        <f>IF(OR(A37="",D37="Completed"),"",IF(N(G37)&gt;0,1/(N(G37)+ROW()/100000),IF(ISNUMBER(F37),1000+F37+ROW()/100000,TODAY()+400+ROW()/100000)))</f>
        <v/>
      </c>
    </row>
    <row r="38" ht="16" customHeight="1" s="39">
      <c r="A38" s="29" t="inlineStr">
        <is>
          <t>Pasta</t>
        </is>
      </c>
      <c r="B38" s="29" t="inlineStr">
        <is>
          <t>Sharath &lt;Skotha1@randomtrees.com&gt;</t>
        </is>
      </c>
      <c r="C38" s="29" t="inlineStr">
        <is>
          <t>Sprint 20</t>
        </is>
      </c>
      <c r="D38" s="30">
        <f>IF(A37="","",IF(((S37="Blocked")+(V37="Blocked")+(Y37="Blocked")+(AC37="Blocked")+(AI37="Blocked")+(AL37="Blocked")+(AO37="Blocked")+(AS37="Blocked")+(AY37="Blocked")+(BB37="Blocked")+(BE37="Blocked")+(BI37="Blocked")+(P37="Blocked")+(BN37="Blocked")+(BP37="Blocked")+(BR37="Blocked")+(BS37="Blocked"))&gt;0,"Blocked",IF((ISNUMBER(Q37)+ISNUMBER(T37)+ISNUMBER(W37)+ISNUMBER(AA37)+ISNUMBER(AG37)+ISNUMBER(AJ37)+ISNUMBER(AM37)+ISNUMBER(AQ37)+ISNUMBER(AW37)+ISNUMBER(AZ37)+ISNUMBER(BC37)+ISNUMBER(BG37)+ISNUMBER(O37)+ISNUMBER(BM37)+ISNUMBER(BO37)+ISNUMBER(BQ37))=0,"Yet to start",IF(AND(OR(NOT(ISNUMBER(Q37)),S37="Completed"),OR(NOT(ISNUMBER(T37)),V37="Completed"),OR(NOT(ISNUMBER(W37)),Y37="Completed"),OR(NOT(ISNUMBER(AA37)),AC37="Completed"),OR(NOT(ISNUMBER(AG37)),AI37="Completed"),OR(NOT(ISNUMBER(AJ37)),AL37="Completed"),OR(NOT(ISNUMBER(AM37)),AO37="Completed"),OR(NOT(ISNUMBER(AQ37)),AS37="Completed"),OR(NOT(ISNUMBER(AW37)),AY37="Completed"),OR(NOT(ISNUMBER(AZ37)),BB37="Completed"),OR(NOT(ISNUMBER(BC37)),BE37="Completed"),OR(NOT(ISNUMBER(BG37)),BI37="Completed"),OR(NOT(ISNUMBER(O37)),P37="Completed"),OR(NOT(ISNUMBER(BM37)),BN37="Completed"),OR(NOT(ISNUMBER(BO37)),BP37="Completed"),OR(NOT(ISNUMBER(BQ37)),BR37="Completed"),BS37="Completed"),"Completed",IF(((S37="In Progress")+(V37="In Progress")+(Y37="In Progress")+(AC37="In Progress")+(AI37="In Progress")+(AL37="In Progress")+(AO37="In Progress")+(AS37="In Progress")+(AY37="In Progress")+(BB37="In Progress")+(BE37="In Progress")+(BI37="In Progress")+(P37="In Progress")+(BN37="In Progress")+(BP37="In Progress")+(BR37="In Progress")+(BS37="In Progress"))&gt;0,"In Progress","Yet to start")))))</f>
        <v/>
      </c>
      <c r="E38" s="30">
        <f>IF(A38="","",IF(F38="","All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Review","CAB"},MATCH(F38,BU38:CJ38,0))))</f>
        <v/>
      </c>
      <c r="F38" s="31">
        <f>IF(A38="","",IF(COUNT(BU38:CJ38)=0,"",MIN(BU38:CJ38)))</f>
        <v/>
      </c>
      <c r="G38" s="30">
        <f>IF(A38="","",MAX(0,IF(AND(ISNUMBER(Q38),S38&lt;&gt;"Completed",Q38&lt;TODAY()),TODAY()-Q38,0),IF(AND(ISNUMBER(T38),V38&lt;&gt;"Completed",T38&lt;TODAY()),TODAY()-T38,0),IF(AND(ISNUMBER(W38),Y38&lt;&gt;"Completed",W38&lt;TODAY()),TODAY()-W38,0),IF(AND(ISNUMBER(AA38),AC38&lt;&gt;"Completed",AA38&lt;TODAY()),TODAY()-AA38,0),IF(AND(ISNUMBER(AG38),AI38&lt;&gt;"Completed",AG38&lt;TODAY()),TODAY()-AG38,0),IF(AND(ISNUMBER(AJ38),AL38&lt;&gt;"Completed",AJ38&lt;TODAY()),TODAY()-AJ38,0),IF(AND(ISNUMBER(AM38),AO38&lt;&gt;"Completed",AM38&lt;TODAY()),TODAY()-AM38,0),IF(AND(ISNUMBER(AQ38),AS38&lt;&gt;"Completed",AQ38&lt;TODAY()),TODAY()-AQ38,0),IF(AND(ISNUMBER(AW38),AY38&lt;&gt;"Completed",AW38&lt;TODAY()),TODAY()-AW38,0),IF(AND(ISNUMBER(AZ38),BB38&lt;&gt;"Completed",AZ38&lt;TODAY()),TODAY()-AZ38,0),IF(AND(ISNUMBER(BC38),BE38&lt;&gt;"Completed",BC38&lt;TODAY()),TODAY()-BC38,0),IF(AND(ISNUMBER(BG38),BI38&lt;&gt;"Completed",BG38&lt;TODAY()),TODAY()-BG38,0),IF(AND(ISNUMBER(O38),P38&lt;&gt;"Completed",O38&lt;TODAY()),TODAY()-O38,0),IF(AND(ISNUMBER(BQ38),BR38&lt;&gt;"Completed",BQ38&lt;TODAY()),TODAY()-BQ38,0),IF(AND(ISNUMBER(BO38),BP38&lt;&gt;"Completed",BO38&lt;TODAY()),TODAY()-BO38,0),IF(AND(ISNUMBER(BM38),BN38&lt;&gt;"Completed",BM38&lt;TODAY()),TODAY()-BM38,0)))</f>
        <v/>
      </c>
      <c r="H38" s="32" t="n">
        <v>46274</v>
      </c>
      <c r="I38" s="32" t="n">
        <v>46287</v>
      </c>
      <c r="J38" s="32" t="n"/>
      <c r="K38" s="31">
        <f>IF(ISNUMBER(H38),H38,IF(ISNUMBER(M38),M38-WEEKDAY(M38,2)+1-7,""))</f>
        <v/>
      </c>
      <c r="L38" s="31">
        <f>IF(ISNUMBER(I38),I38,IF(ISNUMBER(H38),WORKDAY(H38,SprintWorkingDays-1),IF(ISNUMBER(K38),WORKDAY(K38,SprintWorkingDays-1),"")))</f>
        <v/>
      </c>
      <c r="M38" s="31">
        <f>IF(ISNUMBER(J38),J38,IF(ISNUMBER(I38),I38-IF(OR(WEEKDAY(I38,2)=2,WEEKDAY(I38,2)=4),0,IF(WEEKDAY(I38,2)=3,1,IF(WEEKDAY(I38,2)=1,4,WEEKDAY(I38,2)-4))),IF(ISNUMBER(H38),WORKDAY(H38,SprintWorkingDays-1)-IF(OR(WEEKDAY(WORKDAY(H38,SprintWorkingDays-1),2)=2,WEEKDAY(WORKDAY(H38,SprintWorkingDays-1),2)=4),0,IF(WEEKDAY(WORKDAY(H38,SprintWorkingDays-1),2)=3,1,IF(WEEKDAY(WORKDAY(H38,SprintWorkingDays-1),2)=1,4,WEEKDAY(WORKDAY(H38,SprintWorkingDays-1),2)-4))),"")))</f>
        <v/>
      </c>
      <c r="N38" s="31">
        <f>IF(NOT(ISNUMBER(K38)),"",WORKDAY(K38,ReadyOffsetWD))</f>
        <v/>
      </c>
      <c r="O38" s="31">
        <f>IF(NOT(ISNUMBER(K38)),"",WORKDAY(K38,SprintReadinessOffsetWD))</f>
        <v/>
      </c>
      <c r="P38" s="29" t="n"/>
      <c r="Q38" s="31">
        <f>IF(NOT(ISNUMBER(T38)),"",WORKDAY(T38,RTSKOffsetFromOUR_WD))</f>
        <v/>
      </c>
      <c r="R38" s="32" t="n"/>
      <c r="S38" s="29" t="n"/>
      <c r="T38" s="31">
        <f>IF(NOT(ISNUMBER(W38)),"",WORKDAY(W38,OUROffsetFromSR_WD))</f>
        <v/>
      </c>
      <c r="U38" s="32" t="n"/>
      <c r="V38" s="29" t="n"/>
      <c r="W38" s="31">
        <f>IF(NOT(ISNUMBER(K38)),"",WORKDAY(K38,SROffsetFromStartWD))</f>
        <v/>
      </c>
      <c r="X38" s="32" t="n"/>
      <c r="Y38" s="29" t="n"/>
      <c r="Z38" s="29" t="n"/>
      <c r="AA38" s="31">
        <f>IF(ISNUMBER(Q38),Q38,"")</f>
        <v/>
      </c>
      <c r="AB38" s="32" t="n"/>
      <c r="AC38" s="29" t="n"/>
      <c r="AD38" s="29" t="n"/>
      <c r="AE38" s="29" t="n"/>
      <c r="AF38" s="29" t="n"/>
      <c r="AG38" s="31">
        <f>IF(NOT(ISNUMBER(Q38)),"",Q38)</f>
        <v/>
      </c>
      <c r="AH38" s="32" t="n"/>
      <c r="AI38" s="29" t="n"/>
      <c r="AJ38" s="31">
        <f>IF(NOT(ISNUMBER(T38)),"",T38)</f>
        <v/>
      </c>
      <c r="AK38" s="32" t="n"/>
      <c r="AL38" s="29" t="n"/>
      <c r="AM38" s="31">
        <f>IF(NOT(ISNUMBER(W38)),"",W38)</f>
        <v/>
      </c>
      <c r="AN38" s="32" t="n"/>
      <c r="AO38" s="29" t="n"/>
      <c r="AP38" s="29" t="n"/>
      <c r="AQ38" s="31">
        <f>IF(ISNUMBER(AG38),AG38,"")</f>
        <v/>
      </c>
      <c r="AR38" s="32" t="n"/>
      <c r="AS38" s="29" t="n"/>
      <c r="AT38" s="29" t="n"/>
      <c r="AU38" s="29" t="n"/>
      <c r="AV38" s="29" t="n"/>
      <c r="AW38" s="31">
        <f>IF(NOT(ISNUMBER(Q38)),"",Q38)</f>
        <v/>
      </c>
      <c r="AX38" s="32" t="n"/>
      <c r="AY38" s="29" t="n"/>
      <c r="AZ38" s="31">
        <f>IF(NOT(ISNUMBER(T38)),"",T38)</f>
        <v/>
      </c>
      <c r="BA38" s="32" t="n"/>
      <c r="BB38" s="29" t="n"/>
      <c r="BC38" s="31">
        <f>IF(NOT(ISNUMBER(W38)),"",W38)</f>
        <v/>
      </c>
      <c r="BD38" s="32" t="n"/>
      <c r="BE38" s="29" t="n"/>
      <c r="BF38" s="29" t="n"/>
      <c r="BG38" s="31">
        <f>IF(ISNUMBER(AW38),AW38,"")</f>
        <v/>
      </c>
      <c r="BH38" s="32" t="n"/>
      <c r="BI38" s="29" t="n"/>
      <c r="BJ38" s="29" t="n"/>
      <c r="BK38" s="29" t="n"/>
      <c r="BL38" s="29" t="n"/>
      <c r="BM38" s="31">
        <f>IF(OR(NOT(ISNUMBER(M38)),AND(WEEKDAY(M38,2)&lt;&gt;2,WEEKDAY(M38,2)&lt;&gt;4)),"",WORKDAY(M38,CABOffsetFromReleaseWD))</f>
        <v/>
      </c>
      <c r="BN38" s="29" t="n"/>
      <c r="BO38" s="31">
        <f>IF(NOT(ISNUMBER(BM38)),"",IF(WEEKDAY(BM38-CodeReviewCalendarDays,2)&gt;5,BM38-CodeReviewCalendarDays-(WEEKDAY(BM38-CodeReviewCalendarDays,2)-5),BM38-CodeReviewCalendarDays))</f>
        <v/>
      </c>
      <c r="BP38" s="29" t="n"/>
      <c r="BQ38" s="31">
        <f>IF(NOT(ISNUMBER(BO38)),"",IF(WEEKDAY(BO38-CodeReviewInviteCalendarDays,2)&gt;5,BO38-CodeReviewInviteCalendarDays-(WEEKDAY(BO38-CodeReviewInviteCalendarDays,2)-5),BO38-CodeReviewInviteCalendarDays))</f>
        <v/>
      </c>
      <c r="BR38" s="29" t="n"/>
      <c r="BS38" s="29" t="n"/>
      <c r="BT38" s="30">
        <f>IF(A38="","",IF(IF(AND(ISNUMBER(J38),WEEKDAY(J38,2)&lt;&gt;2,WEEKDAY(J38,2)&lt;&gt;4)," | Release must be Tuesday or Thursday","")&amp;IF(AND(ISNUMBER(H38),WEEKDAY(H38,2)&lt;&gt;1)," | Sprint Start is not a Monday - dates still calculated from the date entered","")&amp;IF(AND(A38&lt;&gt;"",NOT(ISNUMBER(H38)),NOT(ISNUMBER(J38)))," | Enter Sprint Start or Release Date","")&amp;IF(AND(ISNUMBER(F38),F38&lt;TODAY(),D38&lt;&gt;"Completed")," | One or more raise-by dates are in the past and not completed","")&amp;IF(AND(ISNUMBER(K38),K38-TODAY()&lt;SprintWarningDays,K38&gt;=TODAY(),OR(D38="Yet to start",D38="Blocked"))," | Sprint starts in under 10 days - raise access requests now","")&amp;IF(AND(ISNUMBER(BQ38),BR38&lt;&gt;"Completed",BQ38-TODAY()&lt;CodeReviewInviteCalendarDays)," | Code Review invite should be sent at least 4 days before Code Review","")="","",MID(IF(AND(ISNUMBER(J38),WEEKDAY(J38,2)&lt;&gt;2,WEEKDAY(J38,2)&lt;&gt;4)," | Release must be Tuesday or Thursday","")&amp;IF(AND(ISNUMBER(H38),WEEKDAY(H38,2)&lt;&gt;1)," | Sprint Start is not a Monday - dates still calculated from the date entered","")&amp;IF(AND(A38&lt;&gt;"",NOT(ISNUMBER(H38)),NOT(ISNUMBER(J38)))," | Enter Sprint Start or Release Date","")&amp;IF(AND(ISNUMBER(F38),F38&lt;TODAY(),D38&lt;&gt;"Completed")," | One or more raise-by dates are in the past and not completed","")&amp;IF(AND(ISNUMBER(K38),K38-TODAY()&lt;SprintWarningDays,K38&gt;=TODAY(),OR(D38="Yet to start",D38="Blocked"))," | Sprint starts in under 10 days - raise access requests now","")&amp;IF(AND(ISNUMBER(BQ38),BR38&lt;&gt;"Completed",BQ38-TODAY()&lt;CodeReviewInviteCalendarDays)," | Code Review invite should be sent at least 4 days before Code Review",""),4,500)))</f>
        <v/>
      </c>
      <c r="BU38">
        <f>IF(AND(ISNUMBER(Q38),S38&lt;&gt;"Completed"),Q38,"")</f>
        <v/>
      </c>
      <c r="BV38">
        <f>IF(AND(ISNUMBER(T38),V38&lt;&gt;"Completed"),T38,"")</f>
        <v/>
      </c>
      <c r="BW38">
        <f>IF(AND(ISNUMBER(W38),Y38&lt;&gt;"Completed"),W38,"")</f>
        <v/>
      </c>
      <c r="BX38">
        <f>IF(AND(ISNUMBER(AA38),AC38&lt;&gt;"Completed"),AA38,"")</f>
        <v/>
      </c>
      <c r="BY38">
        <f>IF(AND(ISNUMBER(AG38),AI38&lt;&gt;"Completed"),AG38,"")</f>
        <v/>
      </c>
      <c r="BZ38">
        <f>IF(AND(ISNUMBER(AJ38),AL38&lt;&gt;"Completed"),AJ38,"")</f>
        <v/>
      </c>
      <c r="CA38">
        <f>IF(AND(ISNUMBER(AM38),AO38&lt;&gt;"Completed"),AM38,"")</f>
        <v/>
      </c>
      <c r="CB38">
        <f>IF(AND(ISNUMBER(AQ38),AS38&lt;&gt;"Completed"),AQ38,"")</f>
        <v/>
      </c>
      <c r="CC38">
        <f>IF(AND(ISNUMBER(AW38),AY38&lt;&gt;"Completed"),AW38,"")</f>
        <v/>
      </c>
      <c r="CD38">
        <f>IF(AND(ISNUMBER(AZ38),BB38&lt;&gt;"Completed"),AZ38,"")</f>
        <v/>
      </c>
      <c r="CE38">
        <f>IF(AND(ISNUMBER(BC38),BE38&lt;&gt;"Completed"),BC38,"")</f>
        <v/>
      </c>
      <c r="CF38">
        <f>IF(AND(ISNUMBER(BG38),BI38&lt;&gt;"Completed"),BG38,"")</f>
        <v/>
      </c>
      <c r="CG38">
        <f>IF(AND(ISNUMBER(O38),P38&lt;&gt;"Completed"),O38,"")</f>
        <v/>
      </c>
      <c r="CH38">
        <f>IF(AND(ISNUMBER(BQ38),BR38&lt;&gt;"Completed"),BQ38,"")</f>
        <v/>
      </c>
      <c r="CI38">
        <f>IF(AND(ISNUMBER(BO38),BP38&lt;&gt;"Completed"),BO38,"")</f>
        <v/>
      </c>
      <c r="CJ38">
        <f>IF(AND(ISNUMBER(BM38),BN38&lt;&gt;"Completed"),BM38,"")</f>
        <v/>
      </c>
      <c r="CK38">
        <f>IF(OR(A38="",D38="Completed"),"",IF(N(G38)&gt;0,1/(N(G38)+ROW()/100000),IF(ISNUMBER(F38),1000+F38+ROW()/100000,TODAY()+400+ROW()/100000)))</f>
        <v/>
      </c>
    </row>
    <row r="39" ht="16" customHeight="1" s="39">
      <c r="A39" s="29" t="inlineStr">
        <is>
          <t>GADS</t>
        </is>
      </c>
      <c r="B39" s="29" t="inlineStr">
        <is>
          <t>Santhosh &lt;skoyalkar@randomtrees.com&gt;</t>
        </is>
      </c>
      <c r="C39" s="29" t="inlineStr">
        <is>
          <t>Sprint 20</t>
        </is>
      </c>
      <c r="D39" s="30">
        <f>IF(A38="","",IF(((S38="Blocked")+(V38="Blocked")+(Y38="Blocked")+(AC38="Blocked")+(AI38="Blocked")+(AL38="Blocked")+(AO38="Blocked")+(AS38="Blocked")+(AY38="Blocked")+(BB38="Blocked")+(BE38="Blocked")+(BI38="Blocked")+(P38="Blocked")+(BN38="Blocked")+(BP38="Blocked")+(BR38="Blocked")+(BS38="Blocked"))&gt;0,"Blocked",IF((ISNUMBER(Q38)+ISNUMBER(T38)+ISNUMBER(W38)+ISNUMBER(AA38)+ISNUMBER(AG38)+ISNUMBER(AJ38)+ISNUMBER(AM38)+ISNUMBER(AQ38)+ISNUMBER(AW38)+ISNUMBER(AZ38)+ISNUMBER(BC38)+ISNUMBER(BG38)+ISNUMBER(O38)+ISNUMBER(BM38)+ISNUMBER(BO38)+ISNUMBER(BQ38))=0,"Yet to start",IF(AND(OR(NOT(ISNUMBER(Q38)),S38="Completed"),OR(NOT(ISNUMBER(T38)),V38="Completed"),OR(NOT(ISNUMBER(W38)),Y38="Completed"),OR(NOT(ISNUMBER(AA38)),AC38="Completed"),OR(NOT(ISNUMBER(AG38)),AI38="Completed"),OR(NOT(ISNUMBER(AJ38)),AL38="Completed"),OR(NOT(ISNUMBER(AM38)),AO38="Completed"),OR(NOT(ISNUMBER(AQ38)),AS38="Completed"),OR(NOT(ISNUMBER(AW38)),AY38="Completed"),OR(NOT(ISNUMBER(AZ38)),BB38="Completed"),OR(NOT(ISNUMBER(BC38)),BE38="Completed"),OR(NOT(ISNUMBER(BG38)),BI38="Completed"),OR(NOT(ISNUMBER(O38)),P38="Completed"),OR(NOT(ISNUMBER(BM38)),BN38="Completed"),OR(NOT(ISNUMBER(BO38)),BP38="Completed"),OR(NOT(ISNUMBER(BQ38)),BR38="Completed"),BS38="Completed"),"Completed",IF(((S38="In Progress")+(V38="In Progress")+(Y38="In Progress")+(AC38="In Progress")+(AI38="In Progress")+(AL38="In Progress")+(AO38="In Progress")+(AS38="In Progress")+(AY38="In Progress")+(BB38="In Progress")+(BE38="In Progress")+(BI38="In Progress")+(P38="In Progress")+(BN38="In Progress")+(BP38="In Progress")+(BR38="In Progress")+(BS38="In Progress"))&gt;0,"In Progress","Yet to start")))))</f>
        <v/>
      </c>
      <c r="E39" s="30">
        <f>IF(A39="","",IF(F39="","All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Review","CAB"},MATCH(F39,BU39:CJ39,0))))</f>
        <v/>
      </c>
      <c r="F39" s="31">
        <f>IF(A39="","",IF(COUNT(BU39:CJ39)=0,"",MIN(BU39:CJ39)))</f>
        <v/>
      </c>
      <c r="G39" s="30">
        <f>IF(A39="","",MAX(0,IF(AND(ISNUMBER(Q39),S39&lt;&gt;"Completed",Q39&lt;TODAY()),TODAY()-Q39,0),IF(AND(ISNUMBER(T39),V39&lt;&gt;"Completed",T39&lt;TODAY()),TODAY()-T39,0),IF(AND(ISNUMBER(W39),Y39&lt;&gt;"Completed",W39&lt;TODAY()),TODAY()-W39,0),IF(AND(ISNUMBER(AA39),AC39&lt;&gt;"Completed",AA39&lt;TODAY()),TODAY()-AA39,0),IF(AND(ISNUMBER(AG39),AI39&lt;&gt;"Completed",AG39&lt;TODAY()),TODAY()-AG39,0),IF(AND(ISNUMBER(AJ39),AL39&lt;&gt;"Completed",AJ39&lt;TODAY()),TODAY()-AJ39,0),IF(AND(ISNUMBER(AM39),AO39&lt;&gt;"Completed",AM39&lt;TODAY()),TODAY()-AM39,0),IF(AND(ISNUMBER(AQ39),AS39&lt;&gt;"Completed",AQ39&lt;TODAY()),TODAY()-AQ39,0),IF(AND(ISNUMBER(AW39),AY39&lt;&gt;"Completed",AW39&lt;TODAY()),TODAY()-AW39,0),IF(AND(ISNUMBER(AZ39),BB39&lt;&gt;"Completed",AZ39&lt;TODAY()),TODAY()-AZ39,0),IF(AND(ISNUMBER(BC39),BE39&lt;&gt;"Completed",BC39&lt;TODAY()),TODAY()-BC39,0),IF(AND(ISNUMBER(BG39),BI39&lt;&gt;"Completed",BG39&lt;TODAY()),TODAY()-BG39,0),IF(AND(ISNUMBER(O39),P39&lt;&gt;"Completed",O39&lt;TODAY()),TODAY()-O39,0),IF(AND(ISNUMBER(BQ39),BR39&lt;&gt;"Completed",BQ39&lt;TODAY()),TODAY()-BQ39,0),IF(AND(ISNUMBER(BO39),BP39&lt;&gt;"Completed",BO39&lt;TODAY()),TODAY()-BO39,0),IF(AND(ISNUMBER(BM39),BN39&lt;&gt;"Completed",BM39&lt;TODAY()),TODAY()-BM39,0)))</f>
        <v/>
      </c>
      <c r="H39" s="32" t="n">
        <v>46274</v>
      </c>
      <c r="I39" s="32" t="n">
        <v>46287</v>
      </c>
      <c r="J39" s="32" t="n"/>
      <c r="K39" s="31">
        <f>IF(ISNUMBER(H39),H39,IF(ISNUMBER(M39),M39-WEEKDAY(M39,2)+1-7,""))</f>
        <v/>
      </c>
      <c r="L39" s="31">
        <f>IF(ISNUMBER(I39),I39,IF(ISNUMBER(H39),WORKDAY(H39,SprintWorkingDays-1),IF(ISNUMBER(K39),WORKDAY(K39,SprintWorkingDays-1),"")))</f>
        <v/>
      </c>
      <c r="M39" s="31">
        <f>IF(ISNUMBER(J39),J39,IF(ISNUMBER(I39),I39-IF(OR(WEEKDAY(I39,2)=2,WEEKDAY(I39,2)=4),0,IF(WEEKDAY(I39,2)=3,1,IF(WEEKDAY(I39,2)=1,4,WEEKDAY(I39,2)-4))),IF(ISNUMBER(H39),WORKDAY(H39,SprintWorkingDays-1)-IF(OR(WEEKDAY(WORKDAY(H39,SprintWorkingDays-1),2)=2,WEEKDAY(WORKDAY(H39,SprintWorkingDays-1),2)=4),0,IF(WEEKDAY(WORKDAY(H39,SprintWorkingDays-1),2)=3,1,IF(WEEKDAY(WORKDAY(H39,SprintWorkingDays-1),2)=1,4,WEEKDAY(WORKDAY(H39,SprintWorkingDays-1),2)-4))),"")))</f>
        <v/>
      </c>
      <c r="N39" s="31">
        <f>IF(NOT(ISNUMBER(K39)),"",WORKDAY(K39,ReadyOffsetWD))</f>
        <v/>
      </c>
      <c r="O39" s="31">
        <f>IF(NOT(ISNUMBER(K39)),"",WORKDAY(K39,SprintReadinessOffsetWD))</f>
        <v/>
      </c>
      <c r="P39" s="29" t="n"/>
      <c r="Q39" s="31">
        <f>IF(NOT(ISNUMBER(T39)),"",WORKDAY(T39,RTSKOffsetFromOUR_WD))</f>
        <v/>
      </c>
      <c r="R39" s="32" t="n"/>
      <c r="S39" s="29" t="n"/>
      <c r="T39" s="31">
        <f>IF(NOT(ISNUMBER(W39)),"",WORKDAY(W39,OUROffsetFromSR_WD))</f>
        <v/>
      </c>
      <c r="U39" s="32" t="n"/>
      <c r="V39" s="29" t="n"/>
      <c r="W39" s="31">
        <f>IF(NOT(ISNUMBER(K39)),"",WORKDAY(K39,SROffsetFromStartWD))</f>
        <v/>
      </c>
      <c r="X39" s="32" t="n"/>
      <c r="Y39" s="29" t="n"/>
      <c r="Z39" s="29" t="n"/>
      <c r="AA39" s="31">
        <f>IF(ISNUMBER(Q39),Q39,"")</f>
        <v/>
      </c>
      <c r="AB39" s="32" t="n"/>
      <c r="AC39" s="29" t="n"/>
      <c r="AD39" s="29" t="n"/>
      <c r="AE39" s="29" t="n"/>
      <c r="AF39" s="29" t="n"/>
      <c r="AG39" s="31">
        <f>IF(NOT(ISNUMBER(Q39)),"",Q39)</f>
        <v/>
      </c>
      <c r="AH39" s="32" t="n"/>
      <c r="AI39" s="29" t="n"/>
      <c r="AJ39" s="31">
        <f>IF(NOT(ISNUMBER(T39)),"",T39)</f>
        <v/>
      </c>
      <c r="AK39" s="32" t="n"/>
      <c r="AL39" s="29" t="n"/>
      <c r="AM39" s="31">
        <f>IF(NOT(ISNUMBER(W39)),"",W39)</f>
        <v/>
      </c>
      <c r="AN39" s="32" t="n"/>
      <c r="AO39" s="29" t="n"/>
      <c r="AP39" s="29" t="n"/>
      <c r="AQ39" s="31">
        <f>IF(ISNUMBER(AG39),AG39,"")</f>
        <v/>
      </c>
      <c r="AR39" s="32" t="n"/>
      <c r="AS39" s="29" t="n"/>
      <c r="AT39" s="29" t="n"/>
      <c r="AU39" s="29" t="n"/>
      <c r="AV39" s="29" t="n"/>
      <c r="AW39" s="31">
        <f>IF(NOT(ISNUMBER(Q39)),"",Q39)</f>
        <v/>
      </c>
      <c r="AX39" s="32" t="n"/>
      <c r="AY39" s="29" t="n"/>
      <c r="AZ39" s="31">
        <f>IF(NOT(ISNUMBER(T39)),"",T39)</f>
        <v/>
      </c>
      <c r="BA39" s="32" t="n"/>
      <c r="BB39" s="29" t="n"/>
      <c r="BC39" s="31">
        <f>IF(NOT(ISNUMBER(W39)),"",W39)</f>
        <v/>
      </c>
      <c r="BD39" s="32" t="n"/>
      <c r="BE39" s="29" t="n"/>
      <c r="BF39" s="29" t="n"/>
      <c r="BG39" s="31">
        <f>IF(ISNUMBER(AW39),AW39,"")</f>
        <v/>
      </c>
      <c r="BH39" s="32" t="n"/>
      <c r="BI39" s="29" t="n"/>
      <c r="BJ39" s="29" t="n"/>
      <c r="BK39" s="29" t="n"/>
      <c r="BL39" s="29" t="n"/>
      <c r="BM39" s="31">
        <f>IF(OR(NOT(ISNUMBER(M39)),AND(WEEKDAY(M39,2)&lt;&gt;2,WEEKDAY(M39,2)&lt;&gt;4)),"",WORKDAY(M39,CABOffsetFromReleaseWD))</f>
        <v/>
      </c>
      <c r="BN39" s="29" t="n"/>
      <c r="BO39" s="31">
        <f>IF(NOT(ISNUMBER(BM39)),"",IF(WEEKDAY(BM39-CodeReviewCalendarDays,2)&gt;5,BM39-CodeReviewCalendarDays-(WEEKDAY(BM39-CodeReviewCalendarDays,2)-5),BM39-CodeReviewCalendarDays))</f>
        <v/>
      </c>
      <c r="BP39" s="29" t="n"/>
      <c r="BQ39" s="31">
        <f>IF(NOT(ISNUMBER(BO39)),"",IF(WEEKDAY(BO39-CodeReviewInviteCalendarDays,2)&gt;5,BO39-CodeReviewInviteCalendarDays-(WEEKDAY(BO39-CodeReviewInviteCalendarDays,2)-5),BO39-CodeReviewInviteCalendarDays))</f>
        <v/>
      </c>
      <c r="BR39" s="29" t="n"/>
      <c r="BS39" s="29" t="n"/>
      <c r="BT39" s="30">
        <f>IF(A39="","",IF(IF(AND(ISNUMBER(J39),WEEKDAY(J39,2)&lt;&gt;2,WEEKDAY(J39,2)&lt;&gt;4)," | Release must be Tuesday or Thursday","")&amp;IF(AND(ISNUMBER(H39),WEEKDAY(H39,2)&lt;&gt;1)," | Sprint Start is not a Monday - dates still calculated from the date entered","")&amp;IF(AND(A39&lt;&gt;"",NOT(ISNUMBER(H39)),NOT(ISNUMBER(J39)))," | Enter Sprint Start or Release Date","")&amp;IF(AND(ISNUMBER(F39),F39&lt;TODAY(),D39&lt;&gt;"Completed")," | One or more raise-by dates are in the past and not completed","")&amp;IF(AND(ISNUMBER(K39),K39-TODAY()&lt;SprintWarningDays,K39&gt;=TODAY(),OR(D39="Yet to start",D39="Blocked"))," | Sprint starts in under 10 days - raise access requests now","")&amp;IF(AND(ISNUMBER(BQ39),BR39&lt;&gt;"Completed",BQ39-TODAY()&lt;CodeReviewInviteCalendarDays)," | Code Review invite should be sent at least 4 days before Code Review","")="","",MID(IF(AND(ISNUMBER(J39),WEEKDAY(J39,2)&lt;&gt;2,WEEKDAY(J39,2)&lt;&gt;4)," | Release must be Tuesday or Thursday","")&amp;IF(AND(ISNUMBER(H39),WEEKDAY(H39,2)&lt;&gt;1)," | Sprint Start is not a Monday - dates still calculated from the date entered","")&amp;IF(AND(A39&lt;&gt;"",NOT(ISNUMBER(H39)),NOT(ISNUMBER(J39)))," | Enter Sprint Start or Release Date","")&amp;IF(AND(ISNUMBER(F39),F39&lt;TODAY(),D39&lt;&gt;"Completed")," | One or more raise-by dates are in the past and not completed","")&amp;IF(AND(ISNUMBER(K39),K39-TODAY()&lt;SprintWarningDays,K39&gt;=TODAY(),OR(D39="Yet to start",D39="Blocked"))," | Sprint starts in under 10 days - raise access requests now","")&amp;IF(AND(ISNUMBER(BQ39),BR39&lt;&gt;"Completed",BQ39-TODAY()&lt;CodeReviewInviteCalendarDays)," | Code Review invite should be sent at least 4 days before Code Review",""),4,500)))</f>
        <v/>
      </c>
      <c r="BU39">
        <f>IF(AND(ISNUMBER(Q39),S39&lt;&gt;"Completed"),Q39,"")</f>
        <v/>
      </c>
      <c r="BV39">
        <f>IF(AND(ISNUMBER(T39),V39&lt;&gt;"Completed"),T39,"")</f>
        <v/>
      </c>
      <c r="BW39">
        <f>IF(AND(ISNUMBER(W39),Y39&lt;&gt;"Completed"),W39,"")</f>
        <v/>
      </c>
      <c r="BX39">
        <f>IF(AND(ISNUMBER(AA39),AC39&lt;&gt;"Completed"),AA39,"")</f>
        <v/>
      </c>
      <c r="BY39">
        <f>IF(AND(ISNUMBER(AG39),AI39&lt;&gt;"Completed"),AG39,"")</f>
        <v/>
      </c>
      <c r="BZ39">
        <f>IF(AND(ISNUMBER(AJ39),AL39&lt;&gt;"Completed"),AJ39,"")</f>
        <v/>
      </c>
      <c r="CA39">
        <f>IF(AND(ISNUMBER(AM39),AO39&lt;&gt;"Completed"),AM39,"")</f>
        <v/>
      </c>
      <c r="CB39">
        <f>IF(AND(ISNUMBER(AQ39),AS39&lt;&gt;"Completed"),AQ39,"")</f>
        <v/>
      </c>
      <c r="CC39">
        <f>IF(AND(ISNUMBER(AW39),AY39&lt;&gt;"Completed"),AW39,"")</f>
        <v/>
      </c>
      <c r="CD39">
        <f>IF(AND(ISNUMBER(AZ39),BB39&lt;&gt;"Completed"),AZ39,"")</f>
        <v/>
      </c>
      <c r="CE39">
        <f>IF(AND(ISNUMBER(BC39),BE39&lt;&gt;"Completed"),BC39,"")</f>
        <v/>
      </c>
      <c r="CF39">
        <f>IF(AND(ISNUMBER(BG39),BI39&lt;&gt;"Completed"),BG39,"")</f>
        <v/>
      </c>
      <c r="CG39">
        <f>IF(AND(ISNUMBER(O39),P39&lt;&gt;"Completed"),O39,"")</f>
        <v/>
      </c>
      <c r="CH39">
        <f>IF(AND(ISNUMBER(BQ39),BR39&lt;&gt;"Completed"),BQ39,"")</f>
        <v/>
      </c>
      <c r="CI39">
        <f>IF(AND(ISNUMBER(BO39),BP39&lt;&gt;"Completed"),BO39,"")</f>
        <v/>
      </c>
      <c r="CJ39">
        <f>IF(AND(ISNUMBER(BM39),BN39&lt;&gt;"Completed"),BM39,"")</f>
        <v/>
      </c>
      <c r="CK39">
        <f>IF(OR(A39="",D39="Completed"),"",IF(N(G39)&gt;0,1/(N(G39)+ROW()/100000),IF(ISNUMBER(F39),1000+F39+ROW()/100000,TODAY()+400+ROW()/100000)))</f>
        <v/>
      </c>
    </row>
    <row r="40" ht="16" customHeight="1" s="39">
      <c r="A40" s="29" t="inlineStr">
        <is>
          <t>GENMART</t>
        </is>
      </c>
      <c r="B40" s="29" t="inlineStr">
        <is>
          <t>Sandeep &lt;sgodi@randomtrees.com&gt;</t>
        </is>
      </c>
      <c r="C40" s="29" t="inlineStr">
        <is>
          <t>Sprint 20</t>
        </is>
      </c>
      <c r="D40" s="30">
        <f>IF(A39="","",IF(((S39="Blocked")+(V39="Blocked")+(Y39="Blocked")+(AC39="Blocked")+(AI39="Blocked")+(AL39="Blocked")+(AO39="Blocked")+(AS39="Blocked")+(AY39="Blocked")+(BB39="Blocked")+(BE39="Blocked")+(BI39="Blocked")+(P39="Blocked")+(BN39="Blocked")+(BP39="Blocked")+(BR39="Blocked")+(BS39="Blocked"))&gt;0,"Blocked",IF((ISNUMBER(Q39)+ISNUMBER(T39)+ISNUMBER(W39)+ISNUMBER(AA39)+ISNUMBER(AG39)+ISNUMBER(AJ39)+ISNUMBER(AM39)+ISNUMBER(AQ39)+ISNUMBER(AW39)+ISNUMBER(AZ39)+ISNUMBER(BC39)+ISNUMBER(BG39)+ISNUMBER(O39)+ISNUMBER(BM39)+ISNUMBER(BO39)+ISNUMBER(BQ39))=0,"Yet to start",IF(AND(OR(NOT(ISNUMBER(Q39)),S39="Completed"),OR(NOT(ISNUMBER(T39)),V39="Completed"),OR(NOT(ISNUMBER(W39)),Y39="Completed"),OR(NOT(ISNUMBER(AA39)),AC39="Completed"),OR(NOT(ISNUMBER(AG39)),AI39="Completed"),OR(NOT(ISNUMBER(AJ39)),AL39="Completed"),OR(NOT(ISNUMBER(AM39)),AO39="Completed"),OR(NOT(ISNUMBER(AQ39)),AS39="Completed"),OR(NOT(ISNUMBER(AW39)),AY39="Completed"),OR(NOT(ISNUMBER(AZ39)),BB39="Completed"),OR(NOT(ISNUMBER(BC39)),BE39="Completed"),OR(NOT(ISNUMBER(BG39)),BI39="Completed"),OR(NOT(ISNUMBER(O39)),P39="Completed"),OR(NOT(ISNUMBER(BM39)),BN39="Completed"),OR(NOT(ISNUMBER(BO39)),BP39="Completed"),OR(NOT(ISNUMBER(BQ39)),BR39="Completed"),BS39="Completed"),"Completed",IF(((S39="In Progress")+(V39="In Progress")+(Y39="In Progress")+(AC39="In Progress")+(AI39="In Progress")+(AL39="In Progress")+(AO39="In Progress")+(AS39="In Progress")+(AY39="In Progress")+(BB39="In Progress")+(BE39="In Progress")+(BI39="In Progress")+(P39="In Progress")+(BN39="In Progress")+(BP39="In Progress")+(BR39="In Progress")+(BS39="In Progress"))&gt;0,"In Progress","Yet to start")))))</f>
        <v/>
      </c>
      <c r="E40" s="30">
        <f>IF(A40="","",IF(F40="","All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Review","CAB"},MATCH(F40,BU40:CJ40,0))))</f>
        <v/>
      </c>
      <c r="F40" s="31">
        <f>IF(A40="","",IF(COUNT(BU40:CJ40)=0,"",MIN(BU40:CJ40)))</f>
        <v/>
      </c>
      <c r="G40" s="30">
        <f>IF(A40="","",MAX(0,IF(AND(ISNUMBER(Q40),S40&lt;&gt;"Completed",Q40&lt;TODAY()),TODAY()-Q40,0),IF(AND(ISNUMBER(T40),V40&lt;&gt;"Completed",T40&lt;TODAY()),TODAY()-T40,0),IF(AND(ISNUMBER(W40),Y40&lt;&gt;"Completed",W40&lt;TODAY()),TODAY()-W40,0),IF(AND(ISNUMBER(AA40),AC40&lt;&gt;"Completed",AA40&lt;TODAY()),TODAY()-AA40,0),IF(AND(ISNUMBER(AG40),AI40&lt;&gt;"Completed",AG40&lt;TODAY()),TODAY()-AG40,0),IF(AND(ISNUMBER(AJ40),AL40&lt;&gt;"Completed",AJ40&lt;TODAY()),TODAY()-AJ40,0),IF(AND(ISNUMBER(AM40),AO40&lt;&gt;"Completed",AM40&lt;TODAY()),TODAY()-AM40,0),IF(AND(ISNUMBER(AQ40),AS40&lt;&gt;"Completed",AQ40&lt;TODAY()),TODAY()-AQ40,0),IF(AND(ISNUMBER(AW40),AY40&lt;&gt;"Completed",AW40&lt;TODAY()),TODAY()-AW40,0),IF(AND(ISNUMBER(AZ40),BB40&lt;&gt;"Completed",AZ40&lt;TODAY()),TODAY()-AZ40,0),IF(AND(ISNUMBER(BC40),BE40&lt;&gt;"Completed",BC40&lt;TODAY()),TODAY()-BC40,0),IF(AND(ISNUMBER(BG40),BI40&lt;&gt;"Completed",BG40&lt;TODAY()),TODAY()-BG40,0),IF(AND(ISNUMBER(O40),P40&lt;&gt;"Completed",O40&lt;TODAY()),TODAY()-O40,0),IF(AND(ISNUMBER(BQ40),BR40&lt;&gt;"Completed",BQ40&lt;TODAY()),TODAY()-BQ40,0),IF(AND(ISNUMBER(BO40),BP40&lt;&gt;"Completed",BO40&lt;TODAY()),TODAY()-BO40,0),IF(AND(ISNUMBER(BM40),BN40&lt;&gt;"Completed",BM40&lt;TODAY()),TODAY()-BM40,0)))</f>
        <v/>
      </c>
      <c r="H40" s="32" t="n">
        <v>46274</v>
      </c>
      <c r="I40" s="32" t="n">
        <v>46287</v>
      </c>
      <c r="J40" s="32" t="n"/>
      <c r="K40" s="31">
        <f>IF(ISNUMBER(H40),H40,IF(ISNUMBER(M40),M40-WEEKDAY(M40,2)+1-7,""))</f>
        <v/>
      </c>
      <c r="L40" s="31">
        <f>IF(ISNUMBER(I40),I40,IF(ISNUMBER(H40),WORKDAY(H40,SprintWorkingDays-1),IF(ISNUMBER(K40),WORKDAY(K40,SprintWorkingDays-1),"")))</f>
        <v/>
      </c>
      <c r="M40" s="31">
        <f>IF(ISNUMBER(J40),J40,IF(ISNUMBER(I40),I40-IF(OR(WEEKDAY(I40,2)=2,WEEKDAY(I40,2)=4),0,IF(WEEKDAY(I40,2)=3,1,IF(WEEKDAY(I40,2)=1,4,WEEKDAY(I40,2)-4))),IF(ISNUMBER(H40),WORKDAY(H40,SprintWorkingDays-1)-IF(OR(WEEKDAY(WORKDAY(H40,SprintWorkingDays-1),2)=2,WEEKDAY(WORKDAY(H40,SprintWorkingDays-1),2)=4),0,IF(WEEKDAY(WORKDAY(H40,SprintWorkingDays-1),2)=3,1,IF(WEEKDAY(WORKDAY(H40,SprintWorkingDays-1),2)=1,4,WEEKDAY(WORKDAY(H40,SprintWorkingDays-1),2)-4))),"")))</f>
        <v/>
      </c>
      <c r="N40" s="31">
        <f>IF(NOT(ISNUMBER(K40)),"",WORKDAY(K40,ReadyOffsetWD))</f>
        <v/>
      </c>
      <c r="O40" s="31">
        <f>IF(NOT(ISNUMBER(K40)),"",WORKDAY(K40,SprintReadinessOffsetWD))</f>
        <v/>
      </c>
      <c r="P40" s="29" t="n"/>
      <c r="Q40" s="31">
        <f>IF(NOT(ISNUMBER(T40)),"",WORKDAY(T40,RTSKOffsetFromOUR_WD))</f>
        <v/>
      </c>
      <c r="R40" s="32" t="n"/>
      <c r="S40" s="29" t="n"/>
      <c r="T40" s="31">
        <f>IF(NOT(ISNUMBER(W40)),"",WORKDAY(W40,OUROffsetFromSR_WD))</f>
        <v/>
      </c>
      <c r="U40" s="32" t="n"/>
      <c r="V40" s="29" t="n"/>
      <c r="W40" s="31">
        <f>IF(NOT(ISNUMBER(K40)),"",WORKDAY(K40,SROffsetFromStartWD))</f>
        <v/>
      </c>
      <c r="X40" s="32" t="n"/>
      <c r="Y40" s="29" t="n"/>
      <c r="Z40" s="29" t="n"/>
      <c r="AA40" s="31">
        <f>IF(ISNUMBER(Q40),Q40,"")</f>
        <v/>
      </c>
      <c r="AB40" s="32" t="n"/>
      <c r="AC40" s="29" t="n"/>
      <c r="AD40" s="29" t="n"/>
      <c r="AE40" s="29" t="n"/>
      <c r="AF40" s="29" t="n"/>
      <c r="AG40" s="31">
        <f>IF(NOT(ISNUMBER(Q40)),"",Q40)</f>
        <v/>
      </c>
      <c r="AH40" s="32" t="n"/>
      <c r="AI40" s="29" t="n"/>
      <c r="AJ40" s="31">
        <f>IF(NOT(ISNUMBER(T40)),"",T40)</f>
        <v/>
      </c>
      <c r="AK40" s="32" t="n"/>
      <c r="AL40" s="29" t="n"/>
      <c r="AM40" s="31">
        <f>IF(NOT(ISNUMBER(W40)),"",W40)</f>
        <v/>
      </c>
      <c r="AN40" s="32" t="n"/>
      <c r="AO40" s="29" t="n"/>
      <c r="AP40" s="29" t="n"/>
      <c r="AQ40" s="31">
        <f>IF(ISNUMBER(AG40),AG40,"")</f>
        <v/>
      </c>
      <c r="AR40" s="32" t="n"/>
      <c r="AS40" s="29" t="n"/>
      <c r="AT40" s="29" t="n"/>
      <c r="AU40" s="29" t="n"/>
      <c r="AV40" s="29" t="n"/>
      <c r="AW40" s="31">
        <f>IF(NOT(ISNUMBER(Q40)),"",Q40)</f>
        <v/>
      </c>
      <c r="AX40" s="32" t="n"/>
      <c r="AY40" s="29" t="n"/>
      <c r="AZ40" s="31">
        <f>IF(NOT(ISNUMBER(T40)),"",T40)</f>
        <v/>
      </c>
      <c r="BA40" s="32" t="n"/>
      <c r="BB40" s="29" t="n"/>
      <c r="BC40" s="31">
        <f>IF(NOT(ISNUMBER(W40)),"",W40)</f>
        <v/>
      </c>
      <c r="BD40" s="32" t="n"/>
      <c r="BE40" s="29" t="n"/>
      <c r="BF40" s="29" t="n"/>
      <c r="BG40" s="31">
        <f>IF(ISNUMBER(AW40),AW40,"")</f>
        <v/>
      </c>
      <c r="BH40" s="32" t="n"/>
      <c r="BI40" s="29" t="n"/>
      <c r="BJ40" s="29" t="n"/>
      <c r="BK40" s="29" t="n"/>
      <c r="BL40" s="29" t="n"/>
      <c r="BM40" s="31">
        <f>IF(OR(NOT(ISNUMBER(M40)),AND(WEEKDAY(M40,2)&lt;&gt;2,WEEKDAY(M40,2)&lt;&gt;4)),"",WORKDAY(M40,CABOffsetFromReleaseWD))</f>
        <v/>
      </c>
      <c r="BN40" s="29" t="n"/>
      <c r="BO40" s="31">
        <f>IF(NOT(ISNUMBER(BM40)),"",IF(WEEKDAY(BM40-CodeReviewCalendarDays,2)&gt;5,BM40-CodeReviewCalendarDays-(WEEKDAY(BM40-CodeReviewCalendarDays,2)-5),BM40-CodeReviewCalendarDays))</f>
        <v/>
      </c>
      <c r="BP40" s="29" t="n"/>
      <c r="BQ40" s="31">
        <f>IF(NOT(ISNUMBER(BO40)),"",IF(WEEKDAY(BO40-CodeReviewInviteCalendarDays,2)&gt;5,BO40-CodeReviewInviteCalendarDays-(WEEKDAY(BO40-CodeReviewInviteCalendarDays,2)-5),BO40-CodeReviewInviteCalendarDays))</f>
        <v/>
      </c>
      <c r="BR40" s="29" t="n"/>
      <c r="BS40" s="29" t="n"/>
      <c r="BT40" s="30">
        <f>IF(A40="","",IF(IF(AND(ISNUMBER(J40),WEEKDAY(J40,2)&lt;&gt;2,WEEKDAY(J40,2)&lt;&gt;4)," | Release must be Tuesday or Thursday","")&amp;IF(AND(ISNUMBER(H40),WEEKDAY(H40,2)&lt;&gt;1)," | Sprint Start is not a Monday - dates still calculated from the date entered","")&amp;IF(AND(A40&lt;&gt;"",NOT(ISNUMBER(H40)),NOT(ISNUMBER(J40)))," | Enter Sprint Start or Release Date","")&amp;IF(AND(ISNUMBER(F40),F40&lt;TODAY(),D40&lt;&gt;"Completed")," | One or more raise-by dates are in the past and not completed","")&amp;IF(AND(ISNUMBER(K40),K40-TODAY()&lt;SprintWarningDays,K40&gt;=TODAY(),OR(D40="Yet to start",D40="Blocked"))," | Sprint starts in under 10 days - raise access requests now","")&amp;IF(AND(ISNUMBER(BQ40),BR40&lt;&gt;"Completed",BQ40-TODAY()&lt;CodeReviewInviteCalendarDays)," | Code Review invite should be sent at least 4 days before Code Review","")="","",MID(IF(AND(ISNUMBER(J40),WEEKDAY(J40,2)&lt;&gt;2,WEEKDAY(J40,2)&lt;&gt;4)," | Release must be Tuesday or Thursday","")&amp;IF(AND(ISNUMBER(H40),WEEKDAY(H40,2)&lt;&gt;1)," | Sprint Start is not a Monday - dates still calculated from the date entered","")&amp;IF(AND(A40&lt;&gt;"",NOT(ISNUMBER(H40)),NOT(ISNUMBER(J40)))," | Enter Sprint Start or Release Date","")&amp;IF(AND(ISNUMBER(F40),F40&lt;TODAY(),D40&lt;&gt;"Completed")," | One or more raise-by dates are in the past and not completed","")&amp;IF(AND(ISNUMBER(K40),K40-TODAY()&lt;SprintWarningDays,K40&gt;=TODAY(),OR(D40="Yet to start",D40="Blocked"))," | Sprint starts in under 10 days - raise access requests now","")&amp;IF(AND(ISNUMBER(BQ40),BR40&lt;&gt;"Completed",BQ40-TODAY()&lt;CodeReviewInviteCalendarDays)," | Code Review invite should be sent at least 4 days before Code Review",""),4,500)))</f>
        <v/>
      </c>
      <c r="BU40">
        <f>IF(AND(ISNUMBER(Q40),S40&lt;&gt;"Completed"),Q40,"")</f>
        <v/>
      </c>
      <c r="BV40">
        <f>IF(AND(ISNUMBER(T40),V40&lt;&gt;"Completed"),T40,"")</f>
        <v/>
      </c>
      <c r="BW40">
        <f>IF(AND(ISNUMBER(W40),Y40&lt;&gt;"Completed"),W40,"")</f>
        <v/>
      </c>
      <c r="BX40">
        <f>IF(AND(ISNUMBER(AA40),AC40&lt;&gt;"Completed"),AA40,"")</f>
        <v/>
      </c>
      <c r="BY40">
        <f>IF(AND(ISNUMBER(AG40),AI40&lt;&gt;"Completed"),AG40,"")</f>
        <v/>
      </c>
      <c r="BZ40">
        <f>IF(AND(ISNUMBER(AJ40),AL40&lt;&gt;"Completed"),AJ40,"")</f>
        <v/>
      </c>
      <c r="CA40">
        <f>IF(AND(ISNUMBER(AM40),AO40&lt;&gt;"Completed"),AM40,"")</f>
        <v/>
      </c>
      <c r="CB40">
        <f>IF(AND(ISNUMBER(AQ40),AS40&lt;&gt;"Completed"),AQ40,"")</f>
        <v/>
      </c>
      <c r="CC40">
        <f>IF(AND(ISNUMBER(AW40),AY40&lt;&gt;"Completed"),AW40,"")</f>
        <v/>
      </c>
      <c r="CD40">
        <f>IF(AND(ISNUMBER(AZ40),BB40&lt;&gt;"Completed"),AZ40,"")</f>
        <v/>
      </c>
      <c r="CE40">
        <f>IF(AND(ISNUMBER(BC40),BE40&lt;&gt;"Completed"),BC40,"")</f>
        <v/>
      </c>
      <c r="CF40">
        <f>IF(AND(ISNUMBER(BG40),BI40&lt;&gt;"Completed"),BG40,"")</f>
        <v/>
      </c>
      <c r="CG40">
        <f>IF(AND(ISNUMBER(O40),P40&lt;&gt;"Completed"),O40,"")</f>
        <v/>
      </c>
      <c r="CH40">
        <f>IF(AND(ISNUMBER(BQ40),BR40&lt;&gt;"Completed"),BQ40,"")</f>
        <v/>
      </c>
      <c r="CI40">
        <f>IF(AND(ISNUMBER(BO40),BP40&lt;&gt;"Completed"),BO40,"")</f>
        <v/>
      </c>
      <c r="CJ40">
        <f>IF(AND(ISNUMBER(BM40),BN40&lt;&gt;"Completed"),BM40,"")</f>
        <v/>
      </c>
      <c r="CK40">
        <f>IF(OR(A40="",D40="Completed"),"",IF(N(G40)&gt;0,1/(N(G40)+ROW()/100000),IF(ISNUMBER(F40),1000+F40+ROW()/100000,TODAY()+400+ROW()/100000)))</f>
        <v/>
      </c>
    </row>
    <row r="41" ht="16" customHeight="1" s="39">
      <c r="A41" s="29" t="inlineStr">
        <is>
          <t>TELECOM_CEB</t>
        </is>
      </c>
      <c r="B41" s="29" t="inlineStr">
        <is>
          <t>Ragavendhar &lt;aragavendhar@randomtrees.com&gt;</t>
        </is>
      </c>
      <c r="C41" s="29" t="inlineStr">
        <is>
          <t>Sprint 20</t>
        </is>
      </c>
      <c r="D41" s="30">
        <f>IF(A40="","",IF(((S40="Blocked")+(V40="Blocked")+(Y40="Blocked")+(AC40="Blocked")+(AI40="Blocked")+(AL40="Blocked")+(AO40="Blocked")+(AS40="Blocked")+(AY40="Blocked")+(BB40="Blocked")+(BE40="Blocked")+(BI40="Blocked")+(P40="Blocked")+(BN40="Blocked")+(BP40="Blocked")+(BR40="Blocked")+(BS40="Blocked"))&gt;0,"Blocked",IF((ISNUMBER(Q40)+ISNUMBER(T40)+ISNUMBER(W40)+ISNUMBER(AA40)+ISNUMBER(AG40)+ISNUMBER(AJ40)+ISNUMBER(AM40)+ISNUMBER(AQ40)+ISNUMBER(AW40)+ISNUMBER(AZ40)+ISNUMBER(BC40)+ISNUMBER(BG40)+ISNUMBER(O40)+ISNUMBER(BM40)+ISNUMBER(BO40)+ISNUMBER(BQ40))=0,"Yet to start",IF(AND(OR(NOT(ISNUMBER(Q40)),S40="Completed"),OR(NOT(ISNUMBER(T40)),V40="Completed"),OR(NOT(ISNUMBER(W40)),Y40="Completed"),OR(NOT(ISNUMBER(AA40)),AC40="Completed"),OR(NOT(ISNUMBER(AG40)),AI40="Completed"),OR(NOT(ISNUMBER(AJ40)),AL40="Completed"),OR(NOT(ISNUMBER(AM40)),AO40="Completed"),OR(NOT(ISNUMBER(AQ40)),AS40="Completed"),OR(NOT(ISNUMBER(AW40)),AY40="Completed"),OR(NOT(ISNUMBER(AZ40)),BB40="Completed"),OR(NOT(ISNUMBER(BC40)),BE40="Completed"),OR(NOT(ISNUMBER(BG40)),BI40="Completed"),OR(NOT(ISNUMBER(O40)),P40="Completed"),OR(NOT(ISNUMBER(BM40)),BN40="Completed"),OR(NOT(ISNUMBER(BO40)),BP40="Completed"),OR(NOT(ISNUMBER(BQ40)),BR40="Completed"),BS40="Completed"),"Completed",IF(((S40="In Progress")+(V40="In Progress")+(Y40="In Progress")+(AC40="In Progress")+(AI40="In Progress")+(AL40="In Progress")+(AO40="In Progress")+(AS40="In Progress")+(AY40="In Progress")+(BB40="In Progress")+(BE40="In Progress")+(BI40="In Progress")+(P40="In Progress")+(BN40="In Progress")+(BP40="In Progress")+(BR40="In Progress")+(BS40="In Progress"))&gt;0,"In Progress","Yet to start")))))</f>
        <v/>
      </c>
      <c r="E41" s="30">
        <f>IF(A41="","",IF(F41="","All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Review","CAB"},MATCH(F41,BU41:CJ41,0))))</f>
        <v/>
      </c>
      <c r="F41" s="31">
        <f>IF(A41="","",IF(COUNT(BU41:CJ41)=0,"",MIN(BU41:CJ41)))</f>
        <v/>
      </c>
      <c r="G41" s="30">
        <f>IF(A41="","",MAX(0,IF(AND(ISNUMBER(Q41),S41&lt;&gt;"Completed",Q41&lt;TODAY()),TODAY()-Q41,0),IF(AND(ISNUMBER(T41),V41&lt;&gt;"Completed",T41&lt;TODAY()),TODAY()-T41,0),IF(AND(ISNUMBER(W41),Y41&lt;&gt;"Completed",W41&lt;TODAY()),TODAY()-W41,0),IF(AND(ISNUMBER(AA41),AC41&lt;&gt;"Completed",AA41&lt;TODAY()),TODAY()-AA41,0),IF(AND(ISNUMBER(AG41),AI41&lt;&gt;"Completed",AG41&lt;TODAY()),TODAY()-AG41,0),IF(AND(ISNUMBER(AJ41),AL41&lt;&gt;"Completed",AJ41&lt;TODAY()),TODAY()-AJ41,0),IF(AND(ISNUMBER(AM41),AO41&lt;&gt;"Completed",AM41&lt;TODAY()),TODAY()-AM41,0),IF(AND(ISNUMBER(AQ41),AS41&lt;&gt;"Completed",AQ41&lt;TODAY()),TODAY()-AQ41,0),IF(AND(ISNUMBER(AW41),AY41&lt;&gt;"Completed",AW41&lt;TODAY()),TODAY()-AW41,0),IF(AND(ISNUMBER(AZ41),BB41&lt;&gt;"Completed",AZ41&lt;TODAY()),TODAY()-AZ41,0),IF(AND(ISNUMBER(BC41),BE41&lt;&gt;"Completed",BC41&lt;TODAY()),TODAY()-BC41,0),IF(AND(ISNUMBER(BG41),BI41&lt;&gt;"Completed",BG41&lt;TODAY()),TODAY()-BG41,0),IF(AND(ISNUMBER(O41),P41&lt;&gt;"Completed",O41&lt;TODAY()),TODAY()-O41,0),IF(AND(ISNUMBER(BQ41),BR41&lt;&gt;"Completed",BQ41&lt;TODAY()),TODAY()-BQ41,0),IF(AND(ISNUMBER(BO41),BP41&lt;&gt;"Completed",BO41&lt;TODAY()),TODAY()-BO41,0),IF(AND(ISNUMBER(BM41),BN41&lt;&gt;"Completed",BM41&lt;TODAY()),TODAY()-BM41,0)))</f>
        <v/>
      </c>
      <c r="H41" s="32" t="n">
        <v>46274</v>
      </c>
      <c r="I41" s="32" t="n">
        <v>46287</v>
      </c>
      <c r="J41" s="32" t="n"/>
      <c r="K41" s="31">
        <f>IF(ISNUMBER(H41),H41,IF(ISNUMBER(M41),M41-WEEKDAY(M41,2)+1-7,""))</f>
        <v/>
      </c>
      <c r="L41" s="31">
        <f>IF(ISNUMBER(I41),I41,IF(ISNUMBER(H41),WORKDAY(H41,SprintWorkingDays-1),IF(ISNUMBER(K41),WORKDAY(K41,SprintWorkingDays-1),"")))</f>
        <v/>
      </c>
      <c r="M41" s="31">
        <f>IF(ISNUMBER(J41),J41,IF(ISNUMBER(I41),I41-IF(OR(WEEKDAY(I41,2)=2,WEEKDAY(I41,2)=4),0,IF(WEEKDAY(I41,2)=3,1,IF(WEEKDAY(I41,2)=1,4,WEEKDAY(I41,2)-4))),IF(ISNUMBER(H41),WORKDAY(H41,SprintWorkingDays-1)-IF(OR(WEEKDAY(WORKDAY(H41,SprintWorkingDays-1),2)=2,WEEKDAY(WORKDAY(H41,SprintWorkingDays-1),2)=4),0,IF(WEEKDAY(WORKDAY(H41,SprintWorkingDays-1),2)=3,1,IF(WEEKDAY(WORKDAY(H41,SprintWorkingDays-1),2)=1,4,WEEKDAY(WORKDAY(H41,SprintWorkingDays-1),2)-4))),"")))</f>
        <v/>
      </c>
      <c r="N41" s="31">
        <f>IF(NOT(ISNUMBER(K41)),"",WORKDAY(K41,ReadyOffsetWD))</f>
        <v/>
      </c>
      <c r="O41" s="31">
        <f>IF(NOT(ISNUMBER(K41)),"",WORKDAY(K41,SprintReadinessOffsetWD))</f>
        <v/>
      </c>
      <c r="P41" s="29" t="n"/>
      <c r="Q41" s="31">
        <f>IF(NOT(ISNUMBER(T41)),"",WORKDAY(T41,RTSKOffsetFromOUR_WD))</f>
        <v/>
      </c>
      <c r="R41" s="32" t="n"/>
      <c r="S41" s="29" t="n"/>
      <c r="T41" s="31">
        <f>IF(NOT(ISNUMBER(W41)),"",WORKDAY(W41,OUROffsetFromSR_WD))</f>
        <v/>
      </c>
      <c r="U41" s="32" t="n"/>
      <c r="V41" s="29" t="n"/>
      <c r="W41" s="31">
        <f>IF(NOT(ISNUMBER(K41)),"",WORKDAY(K41,SROffsetFromStartWD))</f>
        <v/>
      </c>
      <c r="X41" s="32" t="n"/>
      <c r="Y41" s="29" t="n"/>
      <c r="Z41" s="29" t="n"/>
      <c r="AA41" s="31">
        <f>IF(ISNUMBER(Q41),Q41,"")</f>
        <v/>
      </c>
      <c r="AB41" s="32" t="n"/>
      <c r="AC41" s="29" t="n"/>
      <c r="AD41" s="29" t="n"/>
      <c r="AE41" s="29" t="n"/>
      <c r="AF41" s="29" t="n"/>
      <c r="AG41" s="31">
        <f>IF(NOT(ISNUMBER(Q41)),"",Q41)</f>
        <v/>
      </c>
      <c r="AH41" s="32" t="n"/>
      <c r="AI41" s="29" t="n"/>
      <c r="AJ41" s="31">
        <f>IF(NOT(ISNUMBER(T41)),"",T41)</f>
        <v/>
      </c>
      <c r="AK41" s="32" t="n"/>
      <c r="AL41" s="29" t="n"/>
      <c r="AM41" s="31">
        <f>IF(NOT(ISNUMBER(W41)),"",W41)</f>
        <v/>
      </c>
      <c r="AN41" s="32" t="n"/>
      <c r="AO41" s="29" t="n"/>
      <c r="AP41" s="29" t="n"/>
      <c r="AQ41" s="31">
        <f>IF(ISNUMBER(AG41),AG41,"")</f>
        <v/>
      </c>
      <c r="AR41" s="32" t="n"/>
      <c r="AS41" s="29" t="n"/>
      <c r="AT41" s="29" t="n"/>
      <c r="AU41" s="29" t="n"/>
      <c r="AV41" s="29" t="n"/>
      <c r="AW41" s="31">
        <f>IF(NOT(ISNUMBER(Q41)),"",Q41)</f>
        <v/>
      </c>
      <c r="AX41" s="32" t="n"/>
      <c r="AY41" s="29" t="n"/>
      <c r="AZ41" s="31">
        <f>IF(NOT(ISNUMBER(T41)),"",T41)</f>
        <v/>
      </c>
      <c r="BA41" s="32" t="n"/>
      <c r="BB41" s="29" t="n"/>
      <c r="BC41" s="31">
        <f>IF(NOT(ISNUMBER(W41)),"",W41)</f>
        <v/>
      </c>
      <c r="BD41" s="32" t="n"/>
      <c r="BE41" s="29" t="n"/>
      <c r="BF41" s="29" t="n"/>
      <c r="BG41" s="31">
        <f>IF(ISNUMBER(AW41),AW41,"")</f>
        <v/>
      </c>
      <c r="BH41" s="32" t="n"/>
      <c r="BI41" s="29" t="n"/>
      <c r="BJ41" s="29" t="n"/>
      <c r="BK41" s="29" t="n"/>
      <c r="BL41" s="29" t="n"/>
      <c r="BM41" s="31">
        <f>IF(OR(NOT(ISNUMBER(M41)),AND(WEEKDAY(M41,2)&lt;&gt;2,WEEKDAY(M41,2)&lt;&gt;4)),"",WORKDAY(M41,CABOffsetFromReleaseWD))</f>
        <v/>
      </c>
      <c r="BN41" s="29" t="n"/>
      <c r="BO41" s="31">
        <f>IF(NOT(ISNUMBER(BM41)),"",IF(WEEKDAY(BM41-CodeReviewCalendarDays,2)&gt;5,BM41-CodeReviewCalendarDays-(WEEKDAY(BM41-CodeReviewCalendarDays,2)-5),BM41-CodeReviewCalendarDays))</f>
        <v/>
      </c>
      <c r="BP41" s="29" t="n"/>
      <c r="BQ41" s="31">
        <f>IF(NOT(ISNUMBER(BO41)),"",IF(WEEKDAY(BO41-CodeReviewInviteCalendarDays,2)&gt;5,BO41-CodeReviewInviteCalendarDays-(WEEKDAY(BO41-CodeReviewInviteCalendarDays,2)-5),BO41-CodeReviewInviteCalendarDays))</f>
        <v/>
      </c>
      <c r="BR41" s="29" t="n"/>
      <c r="BS41" s="29" t="n"/>
      <c r="BT41" s="30">
        <f>IF(A41="","",IF(IF(AND(ISNUMBER(J41),WEEKDAY(J41,2)&lt;&gt;2,WEEKDAY(J41,2)&lt;&gt;4)," | Release must be Tuesday or Thursday","")&amp;IF(AND(ISNUMBER(H41),WEEKDAY(H41,2)&lt;&gt;1)," | Sprint Start is not a Monday - dates still calculated from the date entered","")&amp;IF(AND(A41&lt;&gt;"",NOT(ISNUMBER(H41)),NOT(ISNUMBER(J41)))," | Enter Sprint Start or Release Date","")&amp;IF(AND(ISNUMBER(F41),F41&lt;TODAY(),D41&lt;&gt;"Completed")," | One or more raise-by dates are in the past and not completed","")&amp;IF(AND(ISNUMBER(K41),K41-TODAY()&lt;SprintWarningDays,K41&gt;=TODAY(),OR(D41="Yet to start",D41="Blocked"))," | Sprint starts in under 10 days - raise access requests now","")&amp;IF(AND(ISNUMBER(BQ41),BR41&lt;&gt;"Completed",BQ41-TODAY()&lt;CodeReviewInviteCalendarDays)," | Code Review invite should be sent at least 4 days before Code Review","")="","",MID(IF(AND(ISNUMBER(J41),WEEKDAY(J41,2)&lt;&gt;2,WEEKDAY(J41,2)&lt;&gt;4)," | Release must be Tuesday or Thursday","")&amp;IF(AND(ISNUMBER(H41),WEEKDAY(H41,2)&lt;&gt;1)," | Sprint Start is not a Monday - dates still calculated from the date entered","")&amp;IF(AND(A41&lt;&gt;"",NOT(ISNUMBER(H41)),NOT(ISNUMBER(J41)))," | Enter Sprint Start or Release Date","")&amp;IF(AND(ISNUMBER(F41),F41&lt;TODAY(),D41&lt;&gt;"Completed")," | One or more raise-by dates are in the past and not completed","")&amp;IF(AND(ISNUMBER(K41),K41-TODAY()&lt;SprintWarningDays,K41&gt;=TODAY(),OR(D41="Yet to start",D41="Blocked"))," | Sprint starts in under 10 days - raise access requests now","")&amp;IF(AND(ISNUMBER(BQ41),BR41&lt;&gt;"Completed",BQ41-TODAY()&lt;CodeReviewInviteCalendarDays)," | Code Review invite should be sent at least 4 days before Code Review",""),4,500)))</f>
        <v/>
      </c>
      <c r="BU41">
        <f>IF(AND(ISNUMBER(Q41),S41&lt;&gt;"Completed"),Q41,"")</f>
        <v/>
      </c>
      <c r="BV41">
        <f>IF(AND(ISNUMBER(T41),V41&lt;&gt;"Completed"),T41,"")</f>
        <v/>
      </c>
      <c r="BW41">
        <f>IF(AND(ISNUMBER(W41),Y41&lt;&gt;"Completed"),W41,"")</f>
        <v/>
      </c>
      <c r="BX41">
        <f>IF(AND(ISNUMBER(AA41),AC41&lt;&gt;"Completed"),AA41,"")</f>
        <v/>
      </c>
      <c r="BY41">
        <f>IF(AND(ISNUMBER(AG41),AI41&lt;&gt;"Completed"),AG41,"")</f>
        <v/>
      </c>
      <c r="BZ41">
        <f>IF(AND(ISNUMBER(AJ41),AL41&lt;&gt;"Completed"),AJ41,"")</f>
        <v/>
      </c>
      <c r="CA41">
        <f>IF(AND(ISNUMBER(AM41),AO41&lt;&gt;"Completed"),AM41,"")</f>
        <v/>
      </c>
      <c r="CB41">
        <f>IF(AND(ISNUMBER(AQ41),AS41&lt;&gt;"Completed"),AQ41,"")</f>
        <v/>
      </c>
      <c r="CC41">
        <f>IF(AND(ISNUMBER(AW41),AY41&lt;&gt;"Completed"),AW41,"")</f>
        <v/>
      </c>
      <c r="CD41">
        <f>IF(AND(ISNUMBER(AZ41),BB41&lt;&gt;"Completed"),AZ41,"")</f>
        <v/>
      </c>
      <c r="CE41">
        <f>IF(AND(ISNUMBER(BC41),BE41&lt;&gt;"Completed"),BC41,"")</f>
        <v/>
      </c>
      <c r="CF41">
        <f>IF(AND(ISNUMBER(BG41),BI41&lt;&gt;"Completed"),BG41,"")</f>
        <v/>
      </c>
      <c r="CG41">
        <f>IF(AND(ISNUMBER(O41),P41&lt;&gt;"Completed"),O41,"")</f>
        <v/>
      </c>
      <c r="CH41">
        <f>IF(AND(ISNUMBER(BQ41),BR41&lt;&gt;"Completed"),BQ41,"")</f>
        <v/>
      </c>
      <c r="CI41">
        <f>IF(AND(ISNUMBER(BO41),BP41&lt;&gt;"Completed"),BO41,"")</f>
        <v/>
      </c>
      <c r="CJ41">
        <f>IF(AND(ISNUMBER(BM41),BN41&lt;&gt;"Completed"),BM41,"")</f>
        <v/>
      </c>
      <c r="CK41">
        <f>IF(OR(A41="",D41="Completed"),"",IF(N(G41)&gt;0,1/(N(G41)+ROW()/100000),IF(ISNUMBER(F41),1000+F41+ROW()/100000,TODAY()+400+ROW()/100000)))</f>
        <v/>
      </c>
    </row>
    <row r="42" ht="16" customHeight="1" s="39">
      <c r="A42" s="29" t="inlineStr">
        <is>
          <t>TPD</t>
        </is>
      </c>
      <c r="B42" s="29" t="inlineStr">
        <is>
          <t>Vidhesha &lt;vkumaran@randomtrees.com&gt;</t>
        </is>
      </c>
      <c r="C42" s="29" t="inlineStr">
        <is>
          <t>Sprint 20</t>
        </is>
      </c>
      <c r="D42" s="30">
        <f>IF(A41="","",IF(((S41="Blocked")+(V41="Blocked")+(Y41="Blocked")+(AC41="Blocked")+(AI41="Blocked")+(AL41="Blocked")+(AO41="Blocked")+(AS41="Blocked")+(AY41="Blocked")+(BB41="Blocked")+(BE41="Blocked")+(BI41="Blocked")+(P41="Blocked")+(BN41="Blocked")+(BP41="Blocked")+(BR41="Blocked")+(BS41="Blocked"))&gt;0,"Blocked",IF((ISNUMBER(Q41)+ISNUMBER(T41)+ISNUMBER(W41)+ISNUMBER(AA41)+ISNUMBER(AG41)+ISNUMBER(AJ41)+ISNUMBER(AM41)+ISNUMBER(AQ41)+ISNUMBER(AW41)+ISNUMBER(AZ41)+ISNUMBER(BC41)+ISNUMBER(BG41)+ISNUMBER(O41)+ISNUMBER(BM41)+ISNUMBER(BO41)+ISNUMBER(BQ41))=0,"Yet to start",IF(AND(OR(NOT(ISNUMBER(Q41)),S41="Completed"),OR(NOT(ISNUMBER(T41)),V41="Completed"),OR(NOT(ISNUMBER(W41)),Y41="Completed"),OR(NOT(ISNUMBER(AA41)),AC41="Completed"),OR(NOT(ISNUMBER(AG41)),AI41="Completed"),OR(NOT(ISNUMBER(AJ41)),AL41="Completed"),OR(NOT(ISNUMBER(AM41)),AO41="Completed"),OR(NOT(ISNUMBER(AQ41)),AS41="Completed"),OR(NOT(ISNUMBER(AW41)),AY41="Completed"),OR(NOT(ISNUMBER(AZ41)),BB41="Completed"),OR(NOT(ISNUMBER(BC41)),BE41="Completed"),OR(NOT(ISNUMBER(BG41)),BI41="Completed"),OR(NOT(ISNUMBER(O41)),P41="Completed"),OR(NOT(ISNUMBER(BM41)),BN41="Completed"),OR(NOT(ISNUMBER(BO41)),BP41="Completed"),OR(NOT(ISNUMBER(BQ41)),BR41="Completed"),BS41="Completed"),"Completed",IF(((S41="In Progress")+(V41="In Progress")+(Y41="In Progress")+(AC41="In Progress")+(AI41="In Progress")+(AL41="In Progress")+(AO41="In Progress")+(AS41="In Progress")+(AY41="In Progress")+(BB41="In Progress")+(BE41="In Progress")+(BI41="In Progress")+(P41="In Progress")+(BN41="In Progress")+(BP41="In Progress")+(BR41="In Progress")+(BS41="In Progress"))&gt;0,"In Progress","Yet to start")))))</f>
        <v/>
      </c>
      <c r="E42" s="30">
        <f>IF(A42="","",IF(F42="","All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Review","CAB"},MATCH(F42,BU42:CJ42,0))))</f>
        <v/>
      </c>
      <c r="F42" s="31">
        <f>IF(A42="","",IF(COUNT(BU42:CJ42)=0,"",MIN(BU42:CJ42)))</f>
        <v/>
      </c>
      <c r="G42" s="30">
        <f>IF(A42="","",MAX(0,IF(AND(ISNUMBER(Q42),S42&lt;&gt;"Completed",Q42&lt;TODAY()),TODAY()-Q42,0),IF(AND(ISNUMBER(T42),V42&lt;&gt;"Completed",T42&lt;TODAY()),TODAY()-T42,0),IF(AND(ISNUMBER(W42),Y42&lt;&gt;"Completed",W42&lt;TODAY()),TODAY()-W42,0),IF(AND(ISNUMBER(AA42),AC42&lt;&gt;"Completed",AA42&lt;TODAY()),TODAY()-AA42,0),IF(AND(ISNUMBER(AG42),AI42&lt;&gt;"Completed",AG42&lt;TODAY()),TODAY()-AG42,0),IF(AND(ISNUMBER(AJ42),AL42&lt;&gt;"Completed",AJ42&lt;TODAY()),TODAY()-AJ42,0),IF(AND(ISNUMBER(AM42),AO42&lt;&gt;"Completed",AM42&lt;TODAY()),TODAY()-AM42,0),IF(AND(ISNUMBER(AQ42),AS42&lt;&gt;"Completed",AQ42&lt;TODAY()),TODAY()-AQ42,0),IF(AND(ISNUMBER(AW42),AY42&lt;&gt;"Completed",AW42&lt;TODAY()),TODAY()-AW42,0),IF(AND(ISNUMBER(AZ42),BB42&lt;&gt;"Completed",AZ42&lt;TODAY()),TODAY()-AZ42,0),IF(AND(ISNUMBER(BC42),BE42&lt;&gt;"Completed",BC42&lt;TODAY()),TODAY()-BC42,0),IF(AND(ISNUMBER(BG42),BI42&lt;&gt;"Completed",BG42&lt;TODAY()),TODAY()-BG42,0),IF(AND(ISNUMBER(O42),P42&lt;&gt;"Completed",O42&lt;TODAY()),TODAY()-O42,0),IF(AND(ISNUMBER(BQ42),BR42&lt;&gt;"Completed",BQ42&lt;TODAY()),TODAY()-BQ42,0),IF(AND(ISNUMBER(BO42),BP42&lt;&gt;"Completed",BO42&lt;TODAY()),TODAY()-BO42,0),IF(AND(ISNUMBER(BM42),BN42&lt;&gt;"Completed",BM42&lt;TODAY()),TODAY()-BM42,0)))</f>
        <v/>
      </c>
      <c r="H42" s="32" t="n">
        <v>46274</v>
      </c>
      <c r="I42" s="32" t="n">
        <v>46287</v>
      </c>
      <c r="J42" s="32" t="n"/>
      <c r="K42" s="31">
        <f>IF(ISNUMBER(H42),H42,IF(ISNUMBER(M42),M42-WEEKDAY(M42,2)+1-7,""))</f>
        <v/>
      </c>
      <c r="L42" s="31">
        <f>IF(ISNUMBER(I42),I42,IF(ISNUMBER(H42),WORKDAY(H42,SprintWorkingDays-1),IF(ISNUMBER(K42),WORKDAY(K42,SprintWorkingDays-1),"")))</f>
        <v/>
      </c>
      <c r="M42" s="31">
        <f>IF(ISNUMBER(J42),J42,IF(ISNUMBER(I42),I42-IF(OR(WEEKDAY(I42,2)=2,WEEKDAY(I42,2)=4),0,IF(WEEKDAY(I42,2)=3,1,IF(WEEKDAY(I42,2)=1,4,WEEKDAY(I42,2)-4))),IF(ISNUMBER(H42),WORKDAY(H42,SprintWorkingDays-1)-IF(OR(WEEKDAY(WORKDAY(H42,SprintWorkingDays-1),2)=2,WEEKDAY(WORKDAY(H42,SprintWorkingDays-1),2)=4),0,IF(WEEKDAY(WORKDAY(H42,SprintWorkingDays-1),2)=3,1,IF(WEEKDAY(WORKDAY(H42,SprintWorkingDays-1),2)=1,4,WEEKDAY(WORKDAY(H42,SprintWorkingDays-1),2)-4))),"")))</f>
        <v/>
      </c>
      <c r="N42" s="31">
        <f>IF(NOT(ISNUMBER(K42)),"",WORKDAY(K42,ReadyOffsetWD))</f>
        <v/>
      </c>
      <c r="O42" s="31">
        <f>IF(NOT(ISNUMBER(K42)),"",WORKDAY(K42,SprintReadinessOffsetWD))</f>
        <v/>
      </c>
      <c r="P42" s="29" t="n"/>
      <c r="Q42" s="31">
        <f>IF(NOT(ISNUMBER(T42)),"",WORKDAY(T42,RTSKOffsetFromOUR_WD))</f>
        <v/>
      </c>
      <c r="R42" s="32" t="n"/>
      <c r="S42" s="29" t="n"/>
      <c r="T42" s="31">
        <f>IF(NOT(ISNUMBER(W42)),"",WORKDAY(W42,OUROffsetFromSR_WD))</f>
        <v/>
      </c>
      <c r="U42" s="32" t="n"/>
      <c r="V42" s="29" t="n"/>
      <c r="W42" s="31">
        <f>IF(NOT(ISNUMBER(K42)),"",WORKDAY(K42,SROffsetFromStartWD))</f>
        <v/>
      </c>
      <c r="X42" s="32" t="n"/>
      <c r="Y42" s="29" t="n"/>
      <c r="Z42" s="29" t="n"/>
      <c r="AA42" s="31">
        <f>IF(ISNUMBER(Q42),Q42,"")</f>
        <v/>
      </c>
      <c r="AB42" s="32" t="n"/>
      <c r="AC42" s="29" t="n"/>
      <c r="AD42" s="29" t="n"/>
      <c r="AE42" s="29" t="n"/>
      <c r="AF42" s="29" t="n"/>
      <c r="AG42" s="31">
        <f>IF(NOT(ISNUMBER(Q42)),"",Q42)</f>
        <v/>
      </c>
      <c r="AH42" s="32" t="n"/>
      <c r="AI42" s="29" t="n"/>
      <c r="AJ42" s="31">
        <f>IF(NOT(ISNUMBER(T42)),"",T42)</f>
        <v/>
      </c>
      <c r="AK42" s="32" t="n"/>
      <c r="AL42" s="29" t="n"/>
      <c r="AM42" s="31">
        <f>IF(NOT(ISNUMBER(W42)),"",W42)</f>
        <v/>
      </c>
      <c r="AN42" s="32" t="n"/>
      <c r="AO42" s="29" t="n"/>
      <c r="AP42" s="29" t="n"/>
      <c r="AQ42" s="31">
        <f>IF(ISNUMBER(AG42),AG42,"")</f>
        <v/>
      </c>
      <c r="AR42" s="32" t="n"/>
      <c r="AS42" s="29" t="n"/>
      <c r="AT42" s="29" t="n"/>
      <c r="AU42" s="29" t="n"/>
      <c r="AV42" s="29" t="n"/>
      <c r="AW42" s="31">
        <f>IF(NOT(ISNUMBER(Q42)),"",Q42)</f>
        <v/>
      </c>
      <c r="AX42" s="32" t="n"/>
      <c r="AY42" s="29" t="n"/>
      <c r="AZ42" s="31">
        <f>IF(NOT(ISNUMBER(T42)),"",T42)</f>
        <v/>
      </c>
      <c r="BA42" s="32" t="n"/>
      <c r="BB42" s="29" t="n"/>
      <c r="BC42" s="31">
        <f>IF(NOT(ISNUMBER(W42)),"",W42)</f>
        <v/>
      </c>
      <c r="BD42" s="32" t="n"/>
      <c r="BE42" s="29" t="n"/>
      <c r="BF42" s="29" t="n"/>
      <c r="BG42" s="31">
        <f>IF(ISNUMBER(AW42),AW42,"")</f>
        <v/>
      </c>
      <c r="BH42" s="32" t="n"/>
      <c r="BI42" s="29" t="n"/>
      <c r="BJ42" s="29" t="n"/>
      <c r="BK42" s="29" t="n"/>
      <c r="BL42" s="29" t="n"/>
      <c r="BM42" s="31">
        <f>IF(OR(NOT(ISNUMBER(M42)),AND(WEEKDAY(M42,2)&lt;&gt;2,WEEKDAY(M42,2)&lt;&gt;4)),"",WORKDAY(M42,CABOffsetFromReleaseWD))</f>
        <v/>
      </c>
      <c r="BN42" s="29" t="n"/>
      <c r="BO42" s="31">
        <f>IF(NOT(ISNUMBER(BM42)),"",IF(WEEKDAY(BM42-CodeReviewCalendarDays,2)&gt;5,BM42-CodeReviewCalendarDays-(WEEKDAY(BM42-CodeReviewCalendarDays,2)-5),BM42-CodeReviewCalendarDays))</f>
        <v/>
      </c>
      <c r="BP42" s="29" t="n"/>
      <c r="BQ42" s="31">
        <f>IF(NOT(ISNUMBER(BO42)),"",IF(WEEKDAY(BO42-CodeReviewInviteCalendarDays,2)&gt;5,BO42-CodeReviewInviteCalendarDays-(WEEKDAY(BO42-CodeReviewInviteCalendarDays,2)-5),BO42-CodeReviewInviteCalendarDays))</f>
        <v/>
      </c>
      <c r="BR42" s="29" t="n"/>
      <c r="BS42" s="29" t="n"/>
      <c r="BT42" s="30">
        <f>IF(A42="","",IF(IF(AND(ISNUMBER(J42),WEEKDAY(J42,2)&lt;&gt;2,WEEKDAY(J42,2)&lt;&gt;4)," | Release must be Tuesday or Thursday","")&amp;IF(AND(ISNUMBER(H42),WEEKDAY(H42,2)&lt;&gt;1)," | Sprint Start is not a Monday - dates still calculated from the date entered","")&amp;IF(AND(A42&lt;&gt;"",NOT(ISNUMBER(H42)),NOT(ISNUMBER(J42)))," | Enter Sprint Start or Release Date","")&amp;IF(AND(ISNUMBER(F42),F42&lt;TODAY(),D42&lt;&gt;"Completed")," | One or more raise-by dates are in the past and not completed","")&amp;IF(AND(ISNUMBER(K42),K42-TODAY()&lt;SprintWarningDays,K42&gt;=TODAY(),OR(D42="Yet to start",D42="Blocked"))," | Sprint starts in under 10 days - raise access requests now","")&amp;IF(AND(ISNUMBER(BQ42),BR42&lt;&gt;"Completed",BQ42-TODAY()&lt;CodeReviewInviteCalendarDays)," | Code Review invite should be sent at least 4 days before Code Review","")="","",MID(IF(AND(ISNUMBER(J42),WEEKDAY(J42,2)&lt;&gt;2,WEEKDAY(J42,2)&lt;&gt;4)," | Release must be Tuesday or Thursday","")&amp;IF(AND(ISNUMBER(H42),WEEKDAY(H42,2)&lt;&gt;1)," | Sprint Start is not a Monday - dates still calculated from the date entered","")&amp;IF(AND(A42&lt;&gt;"",NOT(ISNUMBER(H42)),NOT(ISNUMBER(J42)))," | Enter Sprint Start or Release Date","")&amp;IF(AND(ISNUMBER(F42),F42&lt;TODAY(),D42&lt;&gt;"Completed")," | One or more raise-by dates are in the past and not completed","")&amp;IF(AND(ISNUMBER(K42),K42-TODAY()&lt;SprintWarningDays,K42&gt;=TODAY(),OR(D42="Yet to start",D42="Blocked"))," | Sprint starts in under 10 days - raise access requests now","")&amp;IF(AND(ISNUMBER(BQ42),BR42&lt;&gt;"Completed",BQ42-TODAY()&lt;CodeReviewInviteCalendarDays)," | Code Review invite should be sent at least 4 days before Code Review",""),4,500)))</f>
        <v/>
      </c>
      <c r="BU42">
        <f>IF(AND(ISNUMBER(Q42),S42&lt;&gt;"Completed"),Q42,"")</f>
        <v/>
      </c>
      <c r="BV42">
        <f>IF(AND(ISNUMBER(T42),V42&lt;&gt;"Completed"),T42,"")</f>
        <v/>
      </c>
      <c r="BW42">
        <f>IF(AND(ISNUMBER(W42),Y42&lt;&gt;"Completed"),W42,"")</f>
        <v/>
      </c>
      <c r="BX42">
        <f>IF(AND(ISNUMBER(AA42),AC42&lt;&gt;"Completed"),AA42,"")</f>
        <v/>
      </c>
      <c r="BY42">
        <f>IF(AND(ISNUMBER(AG42),AI42&lt;&gt;"Completed"),AG42,"")</f>
        <v/>
      </c>
      <c r="BZ42">
        <f>IF(AND(ISNUMBER(AJ42),AL42&lt;&gt;"Completed"),AJ42,"")</f>
        <v/>
      </c>
      <c r="CA42">
        <f>IF(AND(ISNUMBER(AM42),AO42&lt;&gt;"Completed"),AM42,"")</f>
        <v/>
      </c>
      <c r="CB42">
        <f>IF(AND(ISNUMBER(AQ42),AS42&lt;&gt;"Completed"),AQ42,"")</f>
        <v/>
      </c>
      <c r="CC42">
        <f>IF(AND(ISNUMBER(AW42),AY42&lt;&gt;"Completed"),AW42,"")</f>
        <v/>
      </c>
      <c r="CD42">
        <f>IF(AND(ISNUMBER(AZ42),BB42&lt;&gt;"Completed"),AZ42,"")</f>
        <v/>
      </c>
      <c r="CE42">
        <f>IF(AND(ISNUMBER(BC42),BE42&lt;&gt;"Completed"),BC42,"")</f>
        <v/>
      </c>
      <c r="CF42">
        <f>IF(AND(ISNUMBER(BG42),BI42&lt;&gt;"Completed"),BG42,"")</f>
        <v/>
      </c>
      <c r="CG42">
        <f>IF(AND(ISNUMBER(O42),P42&lt;&gt;"Completed"),O42,"")</f>
        <v/>
      </c>
      <c r="CH42">
        <f>IF(AND(ISNUMBER(BQ42),BR42&lt;&gt;"Completed"),BQ42,"")</f>
        <v/>
      </c>
      <c r="CI42">
        <f>IF(AND(ISNUMBER(BO42),BP42&lt;&gt;"Completed"),BO42,"")</f>
        <v/>
      </c>
      <c r="CJ42">
        <f>IF(AND(ISNUMBER(BM42),BN42&lt;&gt;"Completed"),BM42,"")</f>
        <v/>
      </c>
      <c r="CK42">
        <f>IF(OR(A42="",D42="Completed"),"",IF(N(G42)&gt;0,1/(N(G42)+ROW()/100000),IF(ISNUMBER(F42),1000+F42+ROW()/100000,TODAY()+400+ROW()/100000)))</f>
        <v/>
      </c>
    </row>
    <row r="43" ht="16" customHeight="1" s="39">
      <c r="A43" s="29" t="inlineStr">
        <is>
          <t>FIELD_MOBILITY</t>
        </is>
      </c>
      <c r="B43" s="29" t="inlineStr">
        <is>
          <t>Sharath &lt;Skotha1@randomtrees.com&gt;</t>
        </is>
      </c>
      <c r="C43" s="29" t="inlineStr">
        <is>
          <t>Sprint 20</t>
        </is>
      </c>
      <c r="D43" s="30">
        <f>IF(A42="","",IF(((S42="Blocked")+(V42="Blocked")+(Y42="Blocked")+(AC42="Blocked")+(AI42="Blocked")+(AL42="Blocked")+(AO42="Blocked")+(AS42="Blocked")+(AY42="Blocked")+(BB42="Blocked")+(BE42="Blocked")+(BI42="Blocked")+(P42="Blocked")+(BN42="Blocked")+(BP42="Blocked")+(BR42="Blocked")+(BS42="Blocked"))&gt;0,"Blocked",IF((ISNUMBER(Q42)+ISNUMBER(T42)+ISNUMBER(W42)+ISNUMBER(AA42)+ISNUMBER(AG42)+ISNUMBER(AJ42)+ISNUMBER(AM42)+ISNUMBER(AQ42)+ISNUMBER(AW42)+ISNUMBER(AZ42)+ISNUMBER(BC42)+ISNUMBER(BG42)+ISNUMBER(O42)+ISNUMBER(BM42)+ISNUMBER(BO42)+ISNUMBER(BQ42))=0,"Yet to start",IF(AND(OR(NOT(ISNUMBER(Q42)),S42="Completed"),OR(NOT(ISNUMBER(T42)),V42="Completed"),OR(NOT(ISNUMBER(W42)),Y42="Completed"),OR(NOT(ISNUMBER(AA42)),AC42="Completed"),OR(NOT(ISNUMBER(AG42)),AI42="Completed"),OR(NOT(ISNUMBER(AJ42)),AL42="Completed"),OR(NOT(ISNUMBER(AM42)),AO42="Completed"),OR(NOT(ISNUMBER(AQ42)),AS42="Completed"),OR(NOT(ISNUMBER(AW42)),AY42="Completed"),OR(NOT(ISNUMBER(AZ42)),BB42="Completed"),OR(NOT(ISNUMBER(BC42)),BE42="Completed"),OR(NOT(ISNUMBER(BG42)),BI42="Completed"),OR(NOT(ISNUMBER(O42)),P42="Completed"),OR(NOT(ISNUMBER(BM42)),BN42="Completed"),OR(NOT(ISNUMBER(BO42)),BP42="Completed"),OR(NOT(ISNUMBER(BQ42)),BR42="Completed"),BS42="Completed"),"Completed",IF(((S42="In Progress")+(V42="In Progress")+(Y42="In Progress")+(AC42="In Progress")+(AI42="In Progress")+(AL42="In Progress")+(AO42="In Progress")+(AS42="In Progress")+(AY42="In Progress")+(BB42="In Progress")+(BE42="In Progress")+(BI42="In Progress")+(P42="In Progress")+(BN42="In Progress")+(BP42="In Progress")+(BR42="In Progress")+(BS42="In Progress"))&gt;0,"In Progress","Yet to start")))))</f>
        <v/>
      </c>
      <c r="E43" s="30">
        <f>IF(A43="","",IF(F43="","All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Review","CAB"},MATCH(F43,BU43:CJ43,0))))</f>
        <v/>
      </c>
      <c r="F43" s="31">
        <f>IF(A43="","",IF(COUNT(BU43:CJ43)=0,"",MIN(BU43:CJ43)))</f>
        <v/>
      </c>
      <c r="G43" s="30">
        <f>IF(A43="","",MAX(0,IF(AND(ISNUMBER(Q43),S43&lt;&gt;"Completed",Q43&lt;TODAY()),TODAY()-Q43,0),IF(AND(ISNUMBER(T43),V43&lt;&gt;"Completed",T43&lt;TODAY()),TODAY()-T43,0),IF(AND(ISNUMBER(W43),Y43&lt;&gt;"Completed",W43&lt;TODAY()),TODAY()-W43,0),IF(AND(ISNUMBER(AA43),AC43&lt;&gt;"Completed",AA43&lt;TODAY()),TODAY()-AA43,0),IF(AND(ISNUMBER(AG43),AI43&lt;&gt;"Completed",AG43&lt;TODAY()),TODAY()-AG43,0),IF(AND(ISNUMBER(AJ43),AL43&lt;&gt;"Completed",AJ43&lt;TODAY()),TODAY()-AJ43,0),IF(AND(ISNUMBER(AM43),AO43&lt;&gt;"Completed",AM43&lt;TODAY()),TODAY()-AM43,0),IF(AND(ISNUMBER(AQ43),AS43&lt;&gt;"Completed",AQ43&lt;TODAY()),TODAY()-AQ43,0),IF(AND(ISNUMBER(AW43),AY43&lt;&gt;"Completed",AW43&lt;TODAY()),TODAY()-AW43,0),IF(AND(ISNUMBER(AZ43),BB43&lt;&gt;"Completed",AZ43&lt;TODAY()),TODAY()-AZ43,0),IF(AND(ISNUMBER(BC43),BE43&lt;&gt;"Completed",BC43&lt;TODAY()),TODAY()-BC43,0),IF(AND(ISNUMBER(BG43),BI43&lt;&gt;"Completed",BG43&lt;TODAY()),TODAY()-BG43,0),IF(AND(ISNUMBER(O43),P43&lt;&gt;"Completed",O43&lt;TODAY()),TODAY()-O43,0),IF(AND(ISNUMBER(BQ43),BR43&lt;&gt;"Completed",BQ43&lt;TODAY()),TODAY()-BQ43,0),IF(AND(ISNUMBER(BO43),BP43&lt;&gt;"Completed",BO43&lt;TODAY()),TODAY()-BO43,0),IF(AND(ISNUMBER(BM43),BN43&lt;&gt;"Completed",BM43&lt;TODAY()),TODAY()-BM43,0)))</f>
        <v/>
      </c>
      <c r="H43" s="32" t="n">
        <v>46274</v>
      </c>
      <c r="I43" s="32" t="n">
        <v>46287</v>
      </c>
      <c r="J43" s="32" t="n"/>
      <c r="K43" s="31">
        <f>IF(ISNUMBER(H43),H43,IF(ISNUMBER(M43),M43-WEEKDAY(M43,2)+1-7,""))</f>
        <v/>
      </c>
      <c r="L43" s="31">
        <f>IF(ISNUMBER(I43),I43,IF(ISNUMBER(H43),WORKDAY(H43,SprintWorkingDays-1),IF(ISNUMBER(K43),WORKDAY(K43,SprintWorkingDays-1),"")))</f>
        <v/>
      </c>
      <c r="M43" s="31">
        <f>IF(ISNUMBER(J43),J43,IF(ISNUMBER(I43),I43-IF(OR(WEEKDAY(I43,2)=2,WEEKDAY(I43,2)=4),0,IF(WEEKDAY(I43,2)=3,1,IF(WEEKDAY(I43,2)=1,4,WEEKDAY(I43,2)-4))),IF(ISNUMBER(H43),WORKDAY(H43,SprintWorkingDays-1)-IF(OR(WEEKDAY(WORKDAY(H43,SprintWorkingDays-1),2)=2,WEEKDAY(WORKDAY(H43,SprintWorkingDays-1),2)=4),0,IF(WEEKDAY(WORKDAY(H43,SprintWorkingDays-1),2)=3,1,IF(WEEKDAY(WORKDAY(H43,SprintWorkingDays-1),2)=1,4,WEEKDAY(WORKDAY(H43,SprintWorkingDays-1),2)-4))),"")))</f>
        <v/>
      </c>
      <c r="N43" s="31">
        <f>IF(NOT(ISNUMBER(K43)),"",WORKDAY(K43,ReadyOffsetWD))</f>
        <v/>
      </c>
      <c r="O43" s="31">
        <f>IF(NOT(ISNUMBER(K43)),"",WORKDAY(K43,SprintReadinessOffsetWD))</f>
        <v/>
      </c>
      <c r="P43" s="29" t="n"/>
      <c r="Q43" s="31">
        <f>IF(NOT(ISNUMBER(T43)),"",WORKDAY(T43,RTSKOffsetFromOUR_WD))</f>
        <v/>
      </c>
      <c r="R43" s="32" t="n"/>
      <c r="S43" s="29" t="n"/>
      <c r="T43" s="31">
        <f>IF(NOT(ISNUMBER(W43)),"",WORKDAY(W43,OUROffsetFromSR_WD))</f>
        <v/>
      </c>
      <c r="U43" s="32" t="n"/>
      <c r="V43" s="29" t="n"/>
      <c r="W43" s="31">
        <f>IF(NOT(ISNUMBER(K43)),"",WORKDAY(K43,SROffsetFromStartWD))</f>
        <v/>
      </c>
      <c r="X43" s="32" t="n"/>
      <c r="Y43" s="29" t="n"/>
      <c r="Z43" s="29" t="n"/>
      <c r="AA43" s="31">
        <f>IF(ISNUMBER(Q43),Q43,"")</f>
        <v/>
      </c>
      <c r="AB43" s="32" t="n"/>
      <c r="AC43" s="29" t="n"/>
      <c r="AD43" s="29" t="n"/>
      <c r="AE43" s="29" t="n"/>
      <c r="AF43" s="29" t="n"/>
      <c r="AG43" s="31">
        <f>IF(NOT(ISNUMBER(Q43)),"",Q43)</f>
        <v/>
      </c>
      <c r="AH43" s="32" t="n"/>
      <c r="AI43" s="29" t="n"/>
      <c r="AJ43" s="31">
        <f>IF(NOT(ISNUMBER(T43)),"",T43)</f>
        <v/>
      </c>
      <c r="AK43" s="32" t="n"/>
      <c r="AL43" s="29" t="n"/>
      <c r="AM43" s="31">
        <f>IF(NOT(ISNUMBER(W43)),"",W43)</f>
        <v/>
      </c>
      <c r="AN43" s="32" t="n"/>
      <c r="AO43" s="29" t="n"/>
      <c r="AP43" s="29" t="n"/>
      <c r="AQ43" s="31">
        <f>IF(ISNUMBER(AG43),AG43,"")</f>
        <v/>
      </c>
      <c r="AR43" s="32" t="n"/>
      <c r="AS43" s="29" t="n"/>
      <c r="AT43" s="29" t="n"/>
      <c r="AU43" s="29" t="n"/>
      <c r="AV43" s="29" t="n"/>
      <c r="AW43" s="31">
        <f>IF(NOT(ISNUMBER(Q43)),"",Q43)</f>
        <v/>
      </c>
      <c r="AX43" s="32" t="n"/>
      <c r="AY43" s="29" t="n"/>
      <c r="AZ43" s="31">
        <f>IF(NOT(ISNUMBER(T43)),"",T43)</f>
        <v/>
      </c>
      <c r="BA43" s="32" t="n"/>
      <c r="BB43" s="29" t="n"/>
      <c r="BC43" s="31">
        <f>IF(NOT(ISNUMBER(W43)),"",W43)</f>
        <v/>
      </c>
      <c r="BD43" s="32" t="n"/>
      <c r="BE43" s="29" t="n"/>
      <c r="BF43" s="29" t="n"/>
      <c r="BG43" s="31">
        <f>IF(ISNUMBER(AW43),AW43,"")</f>
        <v/>
      </c>
      <c r="BH43" s="32" t="n"/>
      <c r="BI43" s="29" t="n"/>
      <c r="BJ43" s="29" t="n"/>
      <c r="BK43" s="29" t="n"/>
      <c r="BL43" s="29" t="n"/>
      <c r="BM43" s="31">
        <f>IF(OR(NOT(ISNUMBER(M43)),AND(WEEKDAY(M43,2)&lt;&gt;2,WEEKDAY(M43,2)&lt;&gt;4)),"",WORKDAY(M43,CABOffsetFromReleaseWD))</f>
        <v/>
      </c>
      <c r="BN43" s="29" t="n"/>
      <c r="BO43" s="31">
        <f>IF(NOT(ISNUMBER(BM43)),"",IF(WEEKDAY(BM43-CodeReviewCalendarDays,2)&gt;5,BM43-CodeReviewCalendarDays-(WEEKDAY(BM43-CodeReviewCalendarDays,2)-5),BM43-CodeReviewCalendarDays))</f>
        <v/>
      </c>
      <c r="BP43" s="29" t="n"/>
      <c r="BQ43" s="31">
        <f>IF(NOT(ISNUMBER(BO43)),"",IF(WEEKDAY(BO43-CodeReviewInviteCalendarDays,2)&gt;5,BO43-CodeReviewInviteCalendarDays-(WEEKDAY(BO43-CodeReviewInviteCalendarDays,2)-5),BO43-CodeReviewInviteCalendarDays))</f>
        <v/>
      </c>
      <c r="BR43" s="29" t="n"/>
      <c r="BS43" s="29" t="n"/>
      <c r="BT43" s="30">
        <f>IF(A43="","",IF(IF(AND(ISNUMBER(J43),WEEKDAY(J43,2)&lt;&gt;2,WEEKDAY(J43,2)&lt;&gt;4)," | Release must be Tuesday or Thursday","")&amp;IF(AND(ISNUMBER(H43),WEEKDAY(H43,2)&lt;&gt;1)," | Sprint Start is not a Monday - dates still calculated from the date entered","")&amp;IF(AND(A43&lt;&gt;"",NOT(ISNUMBER(H43)),NOT(ISNUMBER(J43)))," | Enter Sprint Start or Release Date","")&amp;IF(AND(ISNUMBER(F43),F43&lt;TODAY(),D43&lt;&gt;"Completed")," | One or more raise-by dates are in the past and not completed","")&amp;IF(AND(ISNUMBER(K43),K43-TODAY()&lt;SprintWarningDays,K43&gt;=TODAY(),OR(D43="Yet to start",D43="Blocked"))," | Sprint starts in under 10 days - raise access requests now","")&amp;IF(AND(ISNUMBER(BQ43),BR43&lt;&gt;"Completed",BQ43-TODAY()&lt;CodeReviewInviteCalendarDays)," | Code Review invite should be sent at least 4 days before Code Review","")="","",MID(IF(AND(ISNUMBER(J43),WEEKDAY(J43,2)&lt;&gt;2,WEEKDAY(J43,2)&lt;&gt;4)," | Release must be Tuesday or Thursday","")&amp;IF(AND(ISNUMBER(H43),WEEKDAY(H43,2)&lt;&gt;1)," | Sprint Start is not a Monday - dates still calculated from the date entered","")&amp;IF(AND(A43&lt;&gt;"",NOT(ISNUMBER(H43)),NOT(ISNUMBER(J43)))," | Enter Sprint Start or Release Date","")&amp;IF(AND(ISNUMBER(F43),F43&lt;TODAY(),D43&lt;&gt;"Completed")," | One or more raise-by dates are in the past and not completed","")&amp;IF(AND(ISNUMBER(K43),K43-TODAY()&lt;SprintWarningDays,K43&gt;=TODAY(),OR(D43="Yet to start",D43="Blocked"))," | Sprint starts in under 10 days - raise access requests now","")&amp;IF(AND(ISNUMBER(BQ43),BR43&lt;&gt;"Completed",BQ43-TODAY()&lt;CodeReviewInviteCalendarDays)," | Code Review invite should be sent at least 4 days before Code Review",""),4,500)))</f>
        <v/>
      </c>
      <c r="BU43">
        <f>IF(AND(ISNUMBER(Q43),S43&lt;&gt;"Completed"),Q43,"")</f>
        <v/>
      </c>
      <c r="BV43">
        <f>IF(AND(ISNUMBER(T43),V43&lt;&gt;"Completed"),T43,"")</f>
        <v/>
      </c>
      <c r="BW43">
        <f>IF(AND(ISNUMBER(W43),Y43&lt;&gt;"Completed"),W43,"")</f>
        <v/>
      </c>
      <c r="BX43">
        <f>IF(AND(ISNUMBER(AA43),AC43&lt;&gt;"Completed"),AA43,"")</f>
        <v/>
      </c>
      <c r="BY43">
        <f>IF(AND(ISNUMBER(AG43),AI43&lt;&gt;"Completed"),AG43,"")</f>
        <v/>
      </c>
      <c r="BZ43">
        <f>IF(AND(ISNUMBER(AJ43),AL43&lt;&gt;"Completed"),AJ43,"")</f>
        <v/>
      </c>
      <c r="CA43">
        <f>IF(AND(ISNUMBER(AM43),AO43&lt;&gt;"Completed"),AM43,"")</f>
        <v/>
      </c>
      <c r="CB43">
        <f>IF(AND(ISNUMBER(AQ43),AS43&lt;&gt;"Completed"),AQ43,"")</f>
        <v/>
      </c>
      <c r="CC43">
        <f>IF(AND(ISNUMBER(AW43),AY43&lt;&gt;"Completed"),AW43,"")</f>
        <v/>
      </c>
      <c r="CD43">
        <f>IF(AND(ISNUMBER(AZ43),BB43&lt;&gt;"Completed"),AZ43,"")</f>
        <v/>
      </c>
      <c r="CE43">
        <f>IF(AND(ISNUMBER(BC43),BE43&lt;&gt;"Completed"),BC43,"")</f>
        <v/>
      </c>
      <c r="CF43">
        <f>IF(AND(ISNUMBER(BG43),BI43&lt;&gt;"Completed"),BG43,"")</f>
        <v/>
      </c>
      <c r="CG43">
        <f>IF(AND(ISNUMBER(O43),P43&lt;&gt;"Completed"),O43,"")</f>
        <v/>
      </c>
      <c r="CH43">
        <f>IF(AND(ISNUMBER(BQ43),BR43&lt;&gt;"Completed"),BQ43,"")</f>
        <v/>
      </c>
      <c r="CI43">
        <f>IF(AND(ISNUMBER(BO43),BP43&lt;&gt;"Completed"),BO43,"")</f>
        <v/>
      </c>
      <c r="CJ43">
        <f>IF(AND(ISNUMBER(BM43),BN43&lt;&gt;"Completed"),BM43,"")</f>
        <v/>
      </c>
      <c r="CK43">
        <f>IF(OR(A43="",D43="Completed"),"",IF(N(G43)&gt;0,1/(N(G43)+ROW()/100000),IF(ISNUMBER(F43),1000+F43+ROW()/100000,TODAY()+400+ROW()/100000)))</f>
        <v/>
      </c>
    </row>
    <row r="44" ht="32" customHeight="1" s="39">
      <c r="A44" s="29" t="inlineStr">
        <is>
          <t>Conformed_Dimensions</t>
        </is>
      </c>
      <c r="B44" s="29" t="inlineStr">
        <is>
          <t>Santhosh &lt;skoyalkar@randomtrees.com&gt;</t>
        </is>
      </c>
      <c r="C44" s="29" t="inlineStr">
        <is>
          <t>Sprint 20</t>
        </is>
      </c>
      <c r="D44" s="30">
        <f>IF(A43="","",IF(((S43="Blocked")+(V43="Blocked")+(Y43="Blocked")+(AC43="Blocked")+(AI43="Blocked")+(AL43="Blocked")+(AO43="Blocked")+(AS43="Blocked")+(AY43="Blocked")+(BB43="Blocked")+(BE43="Blocked")+(BI43="Blocked")+(P43="Blocked")+(BN43="Blocked")+(BP43="Blocked")+(BR43="Blocked")+(BS43="Blocked"))&gt;0,"Blocked",IF((ISNUMBER(Q43)+ISNUMBER(T43)+ISNUMBER(W43)+ISNUMBER(AA43)+ISNUMBER(AG43)+ISNUMBER(AJ43)+ISNUMBER(AM43)+ISNUMBER(AQ43)+ISNUMBER(AW43)+ISNUMBER(AZ43)+ISNUMBER(BC43)+ISNUMBER(BG43)+ISNUMBER(O43)+ISNUMBER(BM43)+ISNUMBER(BO43)+ISNUMBER(BQ43))=0,"Yet to start",IF(AND(OR(NOT(ISNUMBER(Q43)),S43="Completed"),OR(NOT(ISNUMBER(T43)),V43="Completed"),OR(NOT(ISNUMBER(W43)),Y43="Completed"),OR(NOT(ISNUMBER(AA43)),AC43="Completed"),OR(NOT(ISNUMBER(AG43)),AI43="Completed"),OR(NOT(ISNUMBER(AJ43)),AL43="Completed"),OR(NOT(ISNUMBER(AM43)),AO43="Completed"),OR(NOT(ISNUMBER(AQ43)),AS43="Completed"),OR(NOT(ISNUMBER(AW43)),AY43="Completed"),OR(NOT(ISNUMBER(AZ43)),BB43="Completed"),OR(NOT(ISNUMBER(BC43)),BE43="Completed"),OR(NOT(ISNUMBER(BG43)),BI43="Completed"),OR(NOT(ISNUMBER(O43)),P43="Completed"),OR(NOT(ISNUMBER(BM43)),BN43="Completed"),OR(NOT(ISNUMBER(BO43)),BP43="Completed"),OR(NOT(ISNUMBER(BQ43)),BR43="Completed"),BS43="Completed"),"Completed",IF(((S43="In Progress")+(V43="In Progress")+(Y43="In Progress")+(AC43="In Progress")+(AI43="In Progress")+(AL43="In Progress")+(AO43="In Progress")+(AS43="In Progress")+(AY43="In Progress")+(BB43="In Progress")+(BE43="In Progress")+(BI43="In Progress")+(P43="In Progress")+(BN43="In Progress")+(BP43="In Progress")+(BR43="In Progress")+(BS43="In Progress"))&gt;0,"In Progress","Yet to start")))))</f>
        <v/>
      </c>
      <c r="E44" s="30">
        <f>IF(A44="","",IF(F44="","All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Review","CAB"},MATCH(F44,BU44:CJ44,0))))</f>
        <v/>
      </c>
      <c r="F44" s="31">
        <f>IF(A44="","",IF(COUNT(BU44:CJ44)=0,"",MIN(BU44:CJ44)))</f>
        <v/>
      </c>
      <c r="G44" s="30">
        <f>IF(A44="","",MAX(0,IF(AND(ISNUMBER(Q44),S44&lt;&gt;"Completed",Q44&lt;TODAY()),TODAY()-Q44,0),IF(AND(ISNUMBER(T44),V44&lt;&gt;"Completed",T44&lt;TODAY()),TODAY()-T44,0),IF(AND(ISNUMBER(W44),Y44&lt;&gt;"Completed",W44&lt;TODAY()),TODAY()-W44,0),IF(AND(ISNUMBER(AA44),AC44&lt;&gt;"Completed",AA44&lt;TODAY()),TODAY()-AA44,0),IF(AND(ISNUMBER(AG44),AI44&lt;&gt;"Completed",AG44&lt;TODAY()),TODAY()-AG44,0),IF(AND(ISNUMBER(AJ44),AL44&lt;&gt;"Completed",AJ44&lt;TODAY()),TODAY()-AJ44,0),IF(AND(ISNUMBER(AM44),AO44&lt;&gt;"Completed",AM44&lt;TODAY()),TODAY()-AM44,0),IF(AND(ISNUMBER(AQ44),AS44&lt;&gt;"Completed",AQ44&lt;TODAY()),TODAY()-AQ44,0),IF(AND(ISNUMBER(AW44),AY44&lt;&gt;"Completed",AW44&lt;TODAY()),TODAY()-AW44,0),IF(AND(ISNUMBER(AZ44),BB44&lt;&gt;"Completed",AZ44&lt;TODAY()),TODAY()-AZ44,0),IF(AND(ISNUMBER(BC44),BE44&lt;&gt;"Completed",BC44&lt;TODAY()),TODAY()-BC44,0),IF(AND(ISNUMBER(BG44),BI44&lt;&gt;"Completed",BG44&lt;TODAY()),TODAY()-BG44,0),IF(AND(ISNUMBER(O44),P44&lt;&gt;"Completed",O44&lt;TODAY()),TODAY()-O44,0),IF(AND(ISNUMBER(BQ44),BR44&lt;&gt;"Completed",BQ44&lt;TODAY()),TODAY()-BQ44,0),IF(AND(ISNUMBER(BO44),BP44&lt;&gt;"Completed",BO44&lt;TODAY()),TODAY()-BO44,0),IF(AND(ISNUMBER(BM44),BN44&lt;&gt;"Completed",BM44&lt;TODAY()),TODAY()-BM44,0)))</f>
        <v/>
      </c>
      <c r="H44" s="32" t="n">
        <v>46274</v>
      </c>
      <c r="I44" s="32" t="n">
        <v>46287</v>
      </c>
      <c r="J44" s="32" t="n"/>
      <c r="K44" s="31">
        <f>IF(ISNUMBER(H44),H44,IF(ISNUMBER(M44),M44-WEEKDAY(M44,2)+1-7,""))</f>
        <v/>
      </c>
      <c r="L44" s="31">
        <f>IF(ISNUMBER(I44),I44,IF(ISNUMBER(H44),WORKDAY(H44,SprintWorkingDays-1),IF(ISNUMBER(K44),WORKDAY(K44,SprintWorkingDays-1),"")))</f>
        <v/>
      </c>
      <c r="M44" s="31">
        <f>IF(ISNUMBER(J44),J44,IF(ISNUMBER(I44),I44-IF(OR(WEEKDAY(I44,2)=2,WEEKDAY(I44,2)=4),0,IF(WEEKDAY(I44,2)=3,1,IF(WEEKDAY(I44,2)=1,4,WEEKDAY(I44,2)-4))),IF(ISNUMBER(H44),WORKDAY(H44,SprintWorkingDays-1)-IF(OR(WEEKDAY(WORKDAY(H44,SprintWorkingDays-1),2)=2,WEEKDAY(WORKDAY(H44,SprintWorkingDays-1),2)=4),0,IF(WEEKDAY(WORKDAY(H44,SprintWorkingDays-1),2)=3,1,IF(WEEKDAY(WORKDAY(H44,SprintWorkingDays-1),2)=1,4,WEEKDAY(WORKDAY(H44,SprintWorkingDays-1),2)-4))),"")))</f>
        <v/>
      </c>
      <c r="N44" s="31">
        <f>IF(NOT(ISNUMBER(K44)),"",WORKDAY(K44,ReadyOffsetWD))</f>
        <v/>
      </c>
      <c r="O44" s="31">
        <f>IF(NOT(ISNUMBER(K44)),"",WORKDAY(K44,SprintReadinessOffsetWD))</f>
        <v/>
      </c>
      <c r="P44" s="29" t="n"/>
      <c r="Q44" s="31">
        <f>IF(NOT(ISNUMBER(T44)),"",WORKDAY(T44,RTSKOffsetFromOUR_WD))</f>
        <v/>
      </c>
      <c r="R44" s="32" t="n"/>
      <c r="S44" s="29" t="n"/>
      <c r="T44" s="31">
        <f>IF(NOT(ISNUMBER(W44)),"",WORKDAY(W44,OUROffsetFromSR_WD))</f>
        <v/>
      </c>
      <c r="U44" s="32" t="n"/>
      <c r="V44" s="29" t="n"/>
      <c r="W44" s="31">
        <f>IF(NOT(ISNUMBER(K44)),"",WORKDAY(K44,SROffsetFromStartWD))</f>
        <v/>
      </c>
      <c r="X44" s="32" t="n"/>
      <c r="Y44" s="29" t="n"/>
      <c r="Z44" s="29" t="n"/>
      <c r="AA44" s="31">
        <f>IF(ISNUMBER(Q44),Q44,"")</f>
        <v/>
      </c>
      <c r="AB44" s="32" t="n"/>
      <c r="AC44" s="29" t="n"/>
      <c r="AD44" s="29" t="n"/>
      <c r="AE44" s="29" t="n"/>
      <c r="AF44" s="29" t="n"/>
      <c r="AG44" s="31">
        <f>IF(NOT(ISNUMBER(Q44)),"",Q44)</f>
        <v/>
      </c>
      <c r="AH44" s="32" t="n"/>
      <c r="AI44" s="29" t="n"/>
      <c r="AJ44" s="31">
        <f>IF(NOT(ISNUMBER(T44)),"",T44)</f>
        <v/>
      </c>
      <c r="AK44" s="32" t="n"/>
      <c r="AL44" s="29" t="n"/>
      <c r="AM44" s="31">
        <f>IF(NOT(ISNUMBER(W44)),"",W44)</f>
        <v/>
      </c>
      <c r="AN44" s="32" t="n"/>
      <c r="AO44" s="29" t="n"/>
      <c r="AP44" s="29" t="n"/>
      <c r="AQ44" s="31">
        <f>IF(ISNUMBER(AG44),AG44,"")</f>
        <v/>
      </c>
      <c r="AR44" s="32" t="n"/>
      <c r="AS44" s="29" t="n"/>
      <c r="AT44" s="29" t="n"/>
      <c r="AU44" s="29" t="n"/>
      <c r="AV44" s="29" t="n"/>
      <c r="AW44" s="31">
        <f>IF(NOT(ISNUMBER(Q44)),"",Q44)</f>
        <v/>
      </c>
      <c r="AX44" s="32" t="n"/>
      <c r="AY44" s="29" t="n"/>
      <c r="AZ44" s="31">
        <f>IF(NOT(ISNUMBER(T44)),"",T44)</f>
        <v/>
      </c>
      <c r="BA44" s="32" t="n"/>
      <c r="BB44" s="29" t="n"/>
      <c r="BC44" s="31">
        <f>IF(NOT(ISNUMBER(W44)),"",W44)</f>
        <v/>
      </c>
      <c r="BD44" s="32" t="n"/>
      <c r="BE44" s="29" t="n"/>
      <c r="BF44" s="29" t="n"/>
      <c r="BG44" s="31">
        <f>IF(ISNUMBER(AW44),AW44,"")</f>
        <v/>
      </c>
      <c r="BH44" s="32" t="n"/>
      <c r="BI44" s="29" t="n"/>
      <c r="BJ44" s="29" t="n"/>
      <c r="BK44" s="29" t="n"/>
      <c r="BL44" s="29" t="n"/>
      <c r="BM44" s="31">
        <f>IF(OR(NOT(ISNUMBER(M44)),AND(WEEKDAY(M44,2)&lt;&gt;2,WEEKDAY(M44,2)&lt;&gt;4)),"",WORKDAY(M44,CABOffsetFromReleaseWD))</f>
        <v/>
      </c>
      <c r="BN44" s="29" t="n"/>
      <c r="BO44" s="31">
        <f>IF(NOT(ISNUMBER(BM44)),"",IF(WEEKDAY(BM44-CodeReviewCalendarDays,2)&gt;5,BM44-CodeReviewCalendarDays-(WEEKDAY(BM44-CodeReviewCalendarDays,2)-5),BM44-CodeReviewCalendarDays))</f>
        <v/>
      </c>
      <c r="BP44" s="29" t="n"/>
      <c r="BQ44" s="31">
        <f>IF(NOT(ISNUMBER(BO44)),"",IF(WEEKDAY(BO44-CodeReviewInviteCalendarDays,2)&gt;5,BO44-CodeReviewInviteCalendarDays-(WEEKDAY(BO44-CodeReviewInviteCalendarDays,2)-5),BO44-CodeReviewInviteCalendarDays))</f>
        <v/>
      </c>
      <c r="BR44" s="29" t="n"/>
      <c r="BS44" s="29" t="n"/>
      <c r="BT44" s="30">
        <f>IF(A44="","",IF(IF(AND(ISNUMBER(J44),WEEKDAY(J44,2)&lt;&gt;2,WEEKDAY(J44,2)&lt;&gt;4)," | Release must be Tuesday or Thursday","")&amp;IF(AND(ISNUMBER(H44),WEEKDAY(H44,2)&lt;&gt;1)," | Sprint Start is not a Monday - dates still calculated from the date entered","")&amp;IF(AND(A44&lt;&gt;"",NOT(ISNUMBER(H44)),NOT(ISNUMBER(J44)))," | Enter Sprint Start or Release Date","")&amp;IF(AND(ISNUMBER(F44),F44&lt;TODAY(),D44&lt;&gt;"Completed")," | One or more raise-by dates are in the past and not completed","")&amp;IF(AND(ISNUMBER(K44),K44-TODAY()&lt;SprintWarningDays,K44&gt;=TODAY(),OR(D44="Yet to start",D44="Blocked"))," | Sprint starts in under 10 days - raise access requests now","")&amp;IF(AND(ISNUMBER(BQ44),BR44&lt;&gt;"Completed",BQ44-TODAY()&lt;CodeReviewInviteCalendarDays)," | Code Review invite should be sent at least 4 days before Code Review","")="","",MID(IF(AND(ISNUMBER(J44),WEEKDAY(J44,2)&lt;&gt;2,WEEKDAY(J44,2)&lt;&gt;4)," | Release must be Tuesday or Thursday","")&amp;IF(AND(ISNUMBER(H44),WEEKDAY(H44,2)&lt;&gt;1)," | Sprint Start is not a Monday - dates still calculated from the date entered","")&amp;IF(AND(A44&lt;&gt;"",NOT(ISNUMBER(H44)),NOT(ISNUMBER(J44)))," | Enter Sprint Start or Release Date","")&amp;IF(AND(ISNUMBER(F44),F44&lt;TODAY(),D44&lt;&gt;"Completed")," | One or more raise-by dates are in the past and not completed","")&amp;IF(AND(ISNUMBER(K44),K44-TODAY()&lt;SprintWarningDays,K44&gt;=TODAY(),OR(D44="Yet to start",D44="Blocked"))," | Sprint starts in under 10 days - raise access requests now","")&amp;IF(AND(ISNUMBER(BQ44),BR44&lt;&gt;"Completed",BQ44-TODAY()&lt;CodeReviewInviteCalendarDays)," | Code Review invite should be sent at least 4 days before Code Review",""),4,500)))</f>
        <v/>
      </c>
      <c r="BU44">
        <f>IF(AND(ISNUMBER(Q44),S44&lt;&gt;"Completed"),Q44,"")</f>
        <v/>
      </c>
      <c r="BV44">
        <f>IF(AND(ISNUMBER(T44),V44&lt;&gt;"Completed"),T44,"")</f>
        <v/>
      </c>
      <c r="BW44">
        <f>IF(AND(ISNUMBER(W44),Y44&lt;&gt;"Completed"),W44,"")</f>
        <v/>
      </c>
      <c r="BX44">
        <f>IF(AND(ISNUMBER(AA44),AC44&lt;&gt;"Completed"),AA44,"")</f>
        <v/>
      </c>
      <c r="BY44">
        <f>IF(AND(ISNUMBER(AG44),AI44&lt;&gt;"Completed"),AG44,"")</f>
        <v/>
      </c>
      <c r="BZ44">
        <f>IF(AND(ISNUMBER(AJ44),AL44&lt;&gt;"Completed"),AJ44,"")</f>
        <v/>
      </c>
      <c r="CA44">
        <f>IF(AND(ISNUMBER(AM44),AO44&lt;&gt;"Completed"),AM44,"")</f>
        <v/>
      </c>
      <c r="CB44">
        <f>IF(AND(ISNUMBER(AQ44),AS44&lt;&gt;"Completed"),AQ44,"")</f>
        <v/>
      </c>
      <c r="CC44">
        <f>IF(AND(ISNUMBER(AW44),AY44&lt;&gt;"Completed"),AW44,"")</f>
        <v/>
      </c>
      <c r="CD44">
        <f>IF(AND(ISNUMBER(AZ44),BB44&lt;&gt;"Completed"),AZ44,"")</f>
        <v/>
      </c>
      <c r="CE44">
        <f>IF(AND(ISNUMBER(BC44),BE44&lt;&gt;"Completed"),BC44,"")</f>
        <v/>
      </c>
      <c r="CF44">
        <f>IF(AND(ISNUMBER(BG44),BI44&lt;&gt;"Completed"),BG44,"")</f>
        <v/>
      </c>
      <c r="CG44">
        <f>IF(AND(ISNUMBER(O44),P44&lt;&gt;"Completed"),O44,"")</f>
        <v/>
      </c>
      <c r="CH44">
        <f>IF(AND(ISNUMBER(BQ44),BR44&lt;&gt;"Completed"),BQ44,"")</f>
        <v/>
      </c>
      <c r="CI44">
        <f>IF(AND(ISNUMBER(BO44),BP44&lt;&gt;"Completed"),BO44,"")</f>
        <v/>
      </c>
      <c r="CJ44">
        <f>IF(AND(ISNUMBER(BM44),BN44&lt;&gt;"Completed"),BM44,"")</f>
        <v/>
      </c>
      <c r="CK44">
        <f>IF(OR(A44="",D44="Completed"),"",IF(N(G44)&gt;0,1/(N(G44)+ROW()/100000),IF(ISNUMBER(F44),1000+F44+ROW()/100000,TODAY()+400+ROW()/100000)))</f>
        <v/>
      </c>
    </row>
    <row r="45" ht="16" customHeight="1" s="39">
      <c r="A45" s="29" t="inlineStr">
        <is>
          <t>Maximo_EDW-TDC</t>
        </is>
      </c>
      <c r="B45" s="29" t="inlineStr">
        <is>
          <t>Sandeep &lt;sgodi@randomtrees.com&gt;</t>
        </is>
      </c>
      <c r="C45" s="29" t="inlineStr">
        <is>
          <t>Sprint 20</t>
        </is>
      </c>
      <c r="D45" s="30">
        <f>IF(A44="","",IF(((S44="Blocked")+(V44="Blocked")+(Y44="Blocked")+(AC44="Blocked")+(AI44="Blocked")+(AL44="Blocked")+(AO44="Blocked")+(AS44="Blocked")+(AY44="Blocked")+(BB44="Blocked")+(BE44="Blocked")+(BI44="Blocked")+(P44="Blocked")+(BN44="Blocked")+(BP44="Blocked")+(BR44="Blocked")+(BS44="Blocked"))&gt;0,"Blocked",IF((ISNUMBER(Q44)+ISNUMBER(T44)+ISNUMBER(W44)+ISNUMBER(AA44)+ISNUMBER(AG44)+ISNUMBER(AJ44)+ISNUMBER(AM44)+ISNUMBER(AQ44)+ISNUMBER(AW44)+ISNUMBER(AZ44)+ISNUMBER(BC44)+ISNUMBER(BG44)+ISNUMBER(O44)+ISNUMBER(BM44)+ISNUMBER(BO44)+ISNUMBER(BQ44))=0,"Yet to start",IF(AND(OR(NOT(ISNUMBER(Q44)),S44="Completed"),OR(NOT(ISNUMBER(T44)),V44="Completed"),OR(NOT(ISNUMBER(W44)),Y44="Completed"),OR(NOT(ISNUMBER(AA44)),AC44="Completed"),OR(NOT(ISNUMBER(AG44)),AI44="Completed"),OR(NOT(ISNUMBER(AJ44)),AL44="Completed"),OR(NOT(ISNUMBER(AM44)),AO44="Completed"),OR(NOT(ISNUMBER(AQ44)),AS44="Completed"),OR(NOT(ISNUMBER(AW44)),AY44="Completed"),OR(NOT(ISNUMBER(AZ44)),BB44="Completed"),OR(NOT(ISNUMBER(BC44)),BE44="Completed"),OR(NOT(ISNUMBER(BG44)),BI44="Completed"),OR(NOT(ISNUMBER(O44)),P44="Completed"),OR(NOT(ISNUMBER(BM44)),BN44="Completed"),OR(NOT(ISNUMBER(BO44)),BP44="Completed"),OR(NOT(ISNUMBER(BQ44)),BR44="Completed"),BS44="Completed"),"Completed",IF(((S44="In Progress")+(V44="In Progress")+(Y44="In Progress")+(AC44="In Progress")+(AI44="In Progress")+(AL44="In Progress")+(AO44="In Progress")+(AS44="In Progress")+(AY44="In Progress")+(BB44="In Progress")+(BE44="In Progress")+(BI44="In Progress")+(P44="In Progress")+(BN44="In Progress")+(BP44="In Progress")+(BR44="In Progress")+(BS44="In Progress"))&gt;0,"In Progress","Yet to start")))))</f>
        <v/>
      </c>
      <c r="E45" s="30">
        <f>IF(A45="","",IF(F45="","All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Review","CAB"},MATCH(F45,BU45:CJ45,0))))</f>
        <v/>
      </c>
      <c r="F45" s="31">
        <f>IF(A45="","",IF(COUNT(BU45:CJ45)=0,"",MIN(BU45:CJ45)))</f>
        <v/>
      </c>
      <c r="G45" s="30">
        <f>IF(A45="","",MAX(0,IF(AND(ISNUMBER(Q45),S45&lt;&gt;"Completed",Q45&lt;TODAY()),TODAY()-Q45,0),IF(AND(ISNUMBER(T45),V45&lt;&gt;"Completed",T45&lt;TODAY()),TODAY()-T45,0),IF(AND(ISNUMBER(W45),Y45&lt;&gt;"Completed",W45&lt;TODAY()),TODAY()-W45,0),IF(AND(ISNUMBER(AA45),AC45&lt;&gt;"Completed",AA45&lt;TODAY()),TODAY()-AA45,0),IF(AND(ISNUMBER(AG45),AI45&lt;&gt;"Completed",AG45&lt;TODAY()),TODAY()-AG45,0),IF(AND(ISNUMBER(AJ45),AL45&lt;&gt;"Completed",AJ45&lt;TODAY()),TODAY()-AJ45,0),IF(AND(ISNUMBER(AM45),AO45&lt;&gt;"Completed",AM45&lt;TODAY()),TODAY()-AM45,0),IF(AND(ISNUMBER(AQ45),AS45&lt;&gt;"Completed",AQ45&lt;TODAY()),TODAY()-AQ45,0),IF(AND(ISNUMBER(AW45),AY45&lt;&gt;"Completed",AW45&lt;TODAY()),TODAY()-AW45,0),IF(AND(ISNUMBER(AZ45),BB45&lt;&gt;"Completed",AZ45&lt;TODAY()),TODAY()-AZ45,0),IF(AND(ISNUMBER(BC45),BE45&lt;&gt;"Completed",BC45&lt;TODAY()),TODAY()-BC45,0),IF(AND(ISNUMBER(BG45),BI45&lt;&gt;"Completed",BG45&lt;TODAY()),TODAY()-BG45,0),IF(AND(ISNUMBER(O45),P45&lt;&gt;"Completed",O45&lt;TODAY()),TODAY()-O45,0),IF(AND(ISNUMBER(BQ45),BR45&lt;&gt;"Completed",BQ45&lt;TODAY()),TODAY()-BQ45,0),IF(AND(ISNUMBER(BO45),BP45&lt;&gt;"Completed",BO45&lt;TODAY()),TODAY()-BO45,0),IF(AND(ISNUMBER(BM45),BN45&lt;&gt;"Completed",BM45&lt;TODAY()),TODAY()-BM45,0)))</f>
        <v/>
      </c>
      <c r="H45" s="32" t="n">
        <v>46274</v>
      </c>
      <c r="I45" s="32" t="n">
        <v>46287</v>
      </c>
      <c r="J45" s="32" t="n"/>
      <c r="K45" s="31">
        <f>IF(ISNUMBER(H45),H45,IF(ISNUMBER(M45),M45-WEEKDAY(M45,2)+1-7,""))</f>
        <v/>
      </c>
      <c r="L45" s="31">
        <f>IF(ISNUMBER(I45),I45,IF(ISNUMBER(H45),WORKDAY(H45,SprintWorkingDays-1),IF(ISNUMBER(K45),WORKDAY(K45,SprintWorkingDays-1),"")))</f>
        <v/>
      </c>
      <c r="M45" s="31">
        <f>IF(ISNUMBER(J45),J45,IF(ISNUMBER(I45),I45-IF(OR(WEEKDAY(I45,2)=2,WEEKDAY(I45,2)=4),0,IF(WEEKDAY(I45,2)=3,1,IF(WEEKDAY(I45,2)=1,4,WEEKDAY(I45,2)-4))),IF(ISNUMBER(H45),WORKDAY(H45,SprintWorkingDays-1)-IF(OR(WEEKDAY(WORKDAY(H45,SprintWorkingDays-1),2)=2,WEEKDAY(WORKDAY(H45,SprintWorkingDays-1),2)=4),0,IF(WEEKDAY(WORKDAY(H45,SprintWorkingDays-1),2)=3,1,IF(WEEKDAY(WORKDAY(H45,SprintWorkingDays-1),2)=1,4,WEEKDAY(WORKDAY(H45,SprintWorkingDays-1),2)-4))),"")))</f>
        <v/>
      </c>
      <c r="N45" s="31">
        <f>IF(NOT(ISNUMBER(K45)),"",WORKDAY(K45,ReadyOffsetWD))</f>
        <v/>
      </c>
      <c r="O45" s="31">
        <f>IF(NOT(ISNUMBER(K45)),"",WORKDAY(K45,SprintReadinessOffsetWD))</f>
        <v/>
      </c>
      <c r="P45" s="29" t="n"/>
      <c r="Q45" s="31">
        <f>IF(NOT(ISNUMBER(T45)),"",WORKDAY(T45,RTSKOffsetFromOUR_WD))</f>
        <v/>
      </c>
      <c r="R45" s="32" t="n"/>
      <c r="S45" s="29" t="n"/>
      <c r="T45" s="31">
        <f>IF(NOT(ISNUMBER(W45)),"",WORKDAY(W45,OUROffsetFromSR_WD))</f>
        <v/>
      </c>
      <c r="U45" s="32" t="n"/>
      <c r="V45" s="29" t="n"/>
      <c r="W45" s="31">
        <f>IF(NOT(ISNUMBER(K45)),"",WORKDAY(K45,SROffsetFromStartWD))</f>
        <v/>
      </c>
      <c r="X45" s="32" t="n"/>
      <c r="Y45" s="29" t="n"/>
      <c r="Z45" s="29" t="n"/>
      <c r="AA45" s="31">
        <f>IF(ISNUMBER(Q45),Q45,"")</f>
        <v/>
      </c>
      <c r="AB45" s="32" t="n"/>
      <c r="AC45" s="29" t="n"/>
      <c r="AD45" s="29" t="n"/>
      <c r="AE45" s="29" t="n"/>
      <c r="AF45" s="29" t="n"/>
      <c r="AG45" s="31">
        <f>IF(NOT(ISNUMBER(Q45)),"",Q45)</f>
        <v/>
      </c>
      <c r="AH45" s="32" t="n"/>
      <c r="AI45" s="29" t="n"/>
      <c r="AJ45" s="31">
        <f>IF(NOT(ISNUMBER(T45)),"",T45)</f>
        <v/>
      </c>
      <c r="AK45" s="32" t="n"/>
      <c r="AL45" s="29" t="n"/>
      <c r="AM45" s="31">
        <f>IF(NOT(ISNUMBER(W45)),"",W45)</f>
        <v/>
      </c>
      <c r="AN45" s="32" t="n"/>
      <c r="AO45" s="29" t="n"/>
      <c r="AP45" s="29" t="n"/>
      <c r="AQ45" s="31">
        <f>IF(ISNUMBER(AG45),AG45,"")</f>
        <v/>
      </c>
      <c r="AR45" s="32" t="n"/>
      <c r="AS45" s="29" t="n"/>
      <c r="AT45" s="29" t="n"/>
      <c r="AU45" s="29" t="n"/>
      <c r="AV45" s="29" t="n"/>
      <c r="AW45" s="31">
        <f>IF(NOT(ISNUMBER(Q45)),"",Q45)</f>
        <v/>
      </c>
      <c r="AX45" s="32" t="n"/>
      <c r="AY45" s="29" t="n"/>
      <c r="AZ45" s="31">
        <f>IF(NOT(ISNUMBER(T45)),"",T45)</f>
        <v/>
      </c>
      <c r="BA45" s="32" t="n"/>
      <c r="BB45" s="29" t="n"/>
      <c r="BC45" s="31">
        <f>IF(NOT(ISNUMBER(W45)),"",W45)</f>
        <v/>
      </c>
      <c r="BD45" s="32" t="n"/>
      <c r="BE45" s="29" t="n"/>
      <c r="BF45" s="29" t="n"/>
      <c r="BG45" s="31">
        <f>IF(ISNUMBER(AW45),AW45,"")</f>
        <v/>
      </c>
      <c r="BH45" s="32" t="n"/>
      <c r="BI45" s="29" t="n"/>
      <c r="BJ45" s="29" t="n"/>
      <c r="BK45" s="29" t="n"/>
      <c r="BL45" s="29" t="n"/>
      <c r="BM45" s="31">
        <f>IF(OR(NOT(ISNUMBER(M45)),AND(WEEKDAY(M45,2)&lt;&gt;2,WEEKDAY(M45,2)&lt;&gt;4)),"",WORKDAY(M45,CABOffsetFromReleaseWD))</f>
        <v/>
      </c>
      <c r="BN45" s="29" t="n"/>
      <c r="BO45" s="31">
        <f>IF(NOT(ISNUMBER(BM45)),"",IF(WEEKDAY(BM45-CodeReviewCalendarDays,2)&gt;5,BM45-CodeReviewCalendarDays-(WEEKDAY(BM45-CodeReviewCalendarDays,2)-5),BM45-CodeReviewCalendarDays))</f>
        <v/>
      </c>
      <c r="BP45" s="29" t="n"/>
      <c r="BQ45" s="31">
        <f>IF(NOT(ISNUMBER(BO45)),"",IF(WEEKDAY(BO45-CodeReviewInviteCalendarDays,2)&gt;5,BO45-CodeReviewInviteCalendarDays-(WEEKDAY(BO45-CodeReviewInviteCalendarDays,2)-5),BO45-CodeReviewInviteCalendarDays))</f>
        <v/>
      </c>
      <c r="BR45" s="29" t="n"/>
      <c r="BS45" s="29" t="n"/>
      <c r="BT45" s="30">
        <f>IF(A45="","",IF(IF(AND(ISNUMBER(J45),WEEKDAY(J45,2)&lt;&gt;2,WEEKDAY(J45,2)&lt;&gt;4)," | Release must be Tuesday or Thursday","")&amp;IF(AND(ISNUMBER(H45),WEEKDAY(H45,2)&lt;&gt;1)," | Sprint Start is not a Monday - dates still calculated from the date entered","")&amp;IF(AND(A45&lt;&gt;"",NOT(ISNUMBER(H45)),NOT(ISNUMBER(J45)))," | Enter Sprint Start or Release Date","")&amp;IF(AND(ISNUMBER(F45),F45&lt;TODAY(),D45&lt;&gt;"Completed")," | One or more raise-by dates are in the past and not completed","")&amp;IF(AND(ISNUMBER(K45),K45-TODAY()&lt;SprintWarningDays,K45&gt;=TODAY(),OR(D45="Yet to start",D45="Blocked"))," | Sprint starts in under 10 days - raise access requests now","")&amp;IF(AND(ISNUMBER(BQ45),BR45&lt;&gt;"Completed",BQ45-TODAY()&lt;CodeReviewInviteCalendarDays)," | Code Review invite should be sent at least 4 days before Code Review","")="","",MID(IF(AND(ISNUMBER(J45),WEEKDAY(J45,2)&lt;&gt;2,WEEKDAY(J45,2)&lt;&gt;4)," | Release must be Tuesday or Thursday","")&amp;IF(AND(ISNUMBER(H45),WEEKDAY(H45,2)&lt;&gt;1)," | Sprint Start is not a Monday - dates still calculated from the date entered","")&amp;IF(AND(A45&lt;&gt;"",NOT(ISNUMBER(H45)),NOT(ISNUMBER(J45)))," | Enter Sprint Start or Release Date","")&amp;IF(AND(ISNUMBER(F45),F45&lt;TODAY(),D45&lt;&gt;"Completed")," | One or more raise-by dates are in the past and not completed","")&amp;IF(AND(ISNUMBER(K45),K45-TODAY()&lt;SprintWarningDays,K45&gt;=TODAY(),OR(D45="Yet to start",D45="Blocked"))," | Sprint starts in under 10 days - raise access requests now","")&amp;IF(AND(ISNUMBER(BQ45),BR45&lt;&gt;"Completed",BQ45-TODAY()&lt;CodeReviewInviteCalendarDays)," | Code Review invite should be sent at least 4 days before Code Review",""),4,500)))</f>
        <v/>
      </c>
      <c r="BU45">
        <f>IF(AND(ISNUMBER(Q45),S45&lt;&gt;"Completed"),Q45,"")</f>
        <v/>
      </c>
      <c r="BV45">
        <f>IF(AND(ISNUMBER(T45),V45&lt;&gt;"Completed"),T45,"")</f>
        <v/>
      </c>
      <c r="BW45">
        <f>IF(AND(ISNUMBER(W45),Y45&lt;&gt;"Completed"),W45,"")</f>
        <v/>
      </c>
      <c r="BX45">
        <f>IF(AND(ISNUMBER(AA45),AC45&lt;&gt;"Completed"),AA45,"")</f>
        <v/>
      </c>
      <c r="BY45">
        <f>IF(AND(ISNUMBER(AG45),AI45&lt;&gt;"Completed"),AG45,"")</f>
        <v/>
      </c>
      <c r="BZ45">
        <f>IF(AND(ISNUMBER(AJ45),AL45&lt;&gt;"Completed"),AJ45,"")</f>
        <v/>
      </c>
      <c r="CA45">
        <f>IF(AND(ISNUMBER(AM45),AO45&lt;&gt;"Completed"),AM45,"")</f>
        <v/>
      </c>
      <c r="CB45">
        <f>IF(AND(ISNUMBER(AQ45),AS45&lt;&gt;"Completed"),AQ45,"")</f>
        <v/>
      </c>
      <c r="CC45">
        <f>IF(AND(ISNUMBER(AW45),AY45&lt;&gt;"Completed"),AW45,"")</f>
        <v/>
      </c>
      <c r="CD45">
        <f>IF(AND(ISNUMBER(AZ45),BB45&lt;&gt;"Completed"),AZ45,"")</f>
        <v/>
      </c>
      <c r="CE45">
        <f>IF(AND(ISNUMBER(BC45),BE45&lt;&gt;"Completed"),BC45,"")</f>
        <v/>
      </c>
      <c r="CF45">
        <f>IF(AND(ISNUMBER(BG45),BI45&lt;&gt;"Completed"),BG45,"")</f>
        <v/>
      </c>
      <c r="CG45">
        <f>IF(AND(ISNUMBER(O45),P45&lt;&gt;"Completed"),O45,"")</f>
        <v/>
      </c>
      <c r="CH45">
        <f>IF(AND(ISNUMBER(BQ45),BR45&lt;&gt;"Completed"),BQ45,"")</f>
        <v/>
      </c>
      <c r="CI45">
        <f>IF(AND(ISNUMBER(BO45),BP45&lt;&gt;"Completed"),BO45,"")</f>
        <v/>
      </c>
      <c r="CJ45">
        <f>IF(AND(ISNUMBER(BM45),BN45&lt;&gt;"Completed"),BM45,"")</f>
        <v/>
      </c>
      <c r="CK45">
        <f>IF(OR(A45="",D45="Completed"),"",IF(N(G45)&gt;0,1/(N(G45)+ROW()/100000),IF(ISNUMBER(F45),1000+F45+ROW()/100000,TODAY()+400+ROW()/100000)))</f>
        <v/>
      </c>
    </row>
    <row r="46" ht="16" customHeight="1" s="39">
      <c r="A46" s="29" t="inlineStr">
        <is>
          <t>geoAMPS</t>
        </is>
      </c>
      <c r="B46" s="29" t="inlineStr">
        <is>
          <t>Ragavendhar &lt;aragavendhar@randomtrees.com&gt;</t>
        </is>
      </c>
      <c r="C46" s="29" t="inlineStr">
        <is>
          <t>Sprint 20</t>
        </is>
      </c>
      <c r="D46" s="30">
        <f>IF(A46="","",IF(((S46="Blocked")+(V46="Blocked")+(Y46="Blocked")+(AC46="Blocked")+(AI46="Blocked")+(AL46="Blocked")+(AO46="Blocked")+(AS46="Blocked")+(AY46="Blocked")+(BB46="Blocked")+(BE46="Blocked")+(BI46="Blocked")+(P46="Blocked")+(BN46="Blocked")+(BP46="Blocked")+(BR46="Blocked")+(BS46="Blocked"))&gt;0,"Blocked",IF((ISNUMBER(Q46)+ISNUMBER(T46)+ISNUMBER(W46)+ISNUMBER(AA46)+ISNUMBER(AG46)+ISNUMBER(AJ46)+ISNUMBER(AM46)+ISNUMBER(AQ46)+ISNUMBER(AW46)+ISNUMBER(AZ46)+ISNUMBER(BC46)+ISNUMBER(BG46)+ISNUMBER(O46)+ISNUMBER(BM46)+ISNUMBER(BO46)+ISNUMBER(BQ46))=0,"Yet to start",IF(AND(OR(NOT(ISNUMBER(Q46)),S46="Completed"),OR(NOT(ISNUMBER(T46)),V46="Completed"),OR(NOT(ISNUMBER(W46)),Y46="Completed"),OR(NOT(ISNUMBER(AA46)),AC46="Completed"),OR(NOT(ISNUMBER(AG46)),AI46="Completed"),OR(NOT(ISNUMBER(AJ46)),AL46="Completed"),OR(NOT(ISNUMBER(AM46)),AO46="Completed"),OR(NOT(ISNUMBER(AQ46)),AS46="Completed"),OR(NOT(ISNUMBER(AW46)),AY46="Completed"),OR(NOT(ISNUMBER(AZ46)),BB46="Completed"),OR(NOT(ISNUMBER(BC46)),BE46="Completed"),OR(NOT(ISNUMBER(BG46)),BI46="Completed"),OR(NOT(ISNUMBER(O46)),P46="Completed"),OR(NOT(ISNUMBER(BM46)),BN46="Completed"),OR(NOT(ISNUMBER(BO46)),BP46="Completed"),OR(NOT(ISNUMBER(BQ46)),BR46="Completed"),BS46="Completed"),"Completed",IF(((S46="In Progress")+(V46="In Progress")+(Y46="In Progress")+(AC46="In Progress")+(AI46="In Progress")+(AL46="In Progress")+(AO46="In Progress")+(AS46="In Progress")+(AY46="In Progress")+(BB46="In Progress")+(BE46="In Progress")+(BI46="In Progress")+(P46="In Progress")+(BN46="In Progress")+(BP46="In Progress")+(BR46="In Progress")+(BS46="In Progress"))&gt;0,"In Progress","Yet to start")))))</f>
        <v/>
      </c>
      <c r="E46" s="30">
        <f>IF(A46="","",IF(F46="","All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Review","CAB"},MATCH(F46,BU46:CJ46,0))))</f>
        <v/>
      </c>
      <c r="F46" s="31">
        <f>IF(A46="","",IF(COUNT(BU46:CJ46)=0,"",MIN(BU46:CJ46)))</f>
        <v/>
      </c>
      <c r="G46" s="30">
        <f>IF(A46="","",MAX(0,IF(AND(ISNUMBER(Q46),S46&lt;&gt;"Completed",Q46&lt;TODAY()),TODAY()-Q46,0),IF(AND(ISNUMBER(T46),V46&lt;&gt;"Completed",T46&lt;TODAY()),TODAY()-T46,0),IF(AND(ISNUMBER(W46),Y46&lt;&gt;"Completed",W46&lt;TODAY()),TODAY()-W46,0),IF(AND(ISNUMBER(AA46),AC46&lt;&gt;"Completed",AA46&lt;TODAY()),TODAY()-AA46,0),IF(AND(ISNUMBER(AG46),AI46&lt;&gt;"Completed",AG46&lt;TODAY()),TODAY()-AG46,0),IF(AND(ISNUMBER(AJ46),AL46&lt;&gt;"Completed",AJ46&lt;TODAY()),TODAY()-AJ46,0),IF(AND(ISNUMBER(AM46),AO46&lt;&gt;"Completed",AM46&lt;TODAY()),TODAY()-AM46,0),IF(AND(ISNUMBER(AQ46),AS46&lt;&gt;"Completed",AQ46&lt;TODAY()),TODAY()-AQ46,0),IF(AND(ISNUMBER(AW46),AY46&lt;&gt;"Completed",AW46&lt;TODAY()),TODAY()-AW46,0),IF(AND(ISNUMBER(AZ46),BB46&lt;&gt;"Completed",AZ46&lt;TODAY()),TODAY()-AZ46,0),IF(AND(ISNUMBER(BC46),BE46&lt;&gt;"Completed",BC46&lt;TODAY()),TODAY()-BC46,0),IF(AND(ISNUMBER(BG46),BI46&lt;&gt;"Completed",BG46&lt;TODAY()),TODAY()-BG46,0),IF(AND(ISNUMBER(O46),P46&lt;&gt;"Completed",O46&lt;TODAY()),TODAY()-O46,0),IF(AND(ISNUMBER(BQ46),BR46&lt;&gt;"Completed",BQ46&lt;TODAY()),TODAY()-BQ46,0),IF(AND(ISNUMBER(BO46),BP46&lt;&gt;"Completed",BO46&lt;TODAY()),TODAY()-BO46,0),IF(AND(ISNUMBER(BM46),BN46&lt;&gt;"Completed",BM46&lt;TODAY()),TODAY()-BM46,0)))</f>
        <v/>
      </c>
      <c r="H46" s="32" t="n">
        <v>46274</v>
      </c>
      <c r="I46" s="32" t="n">
        <v>46287</v>
      </c>
      <c r="J46" s="32" t="n"/>
      <c r="K46" s="31">
        <f>IF(ISNUMBER(H46),H46,IF(ISNUMBER(M46),M46-WEEKDAY(M46,2)+1-7,""))</f>
        <v/>
      </c>
      <c r="L46" s="31">
        <f>IF(ISNUMBER(I46),I46,IF(ISNUMBER(H46),WORKDAY(H46,SprintWorkingDays-1),IF(ISNUMBER(K46),WORKDAY(K46,SprintWorkingDays-1),"")))</f>
        <v/>
      </c>
      <c r="M46" s="31">
        <f>IF(ISNUMBER(J46),J46,IF(ISNUMBER(I46),I46-IF(OR(WEEKDAY(I46,2)=2,WEEKDAY(I46,2)=4),0,IF(WEEKDAY(I46,2)=3,1,IF(WEEKDAY(I46,2)=1,4,WEEKDAY(I46,2)-4))),IF(ISNUMBER(H46),WORKDAY(H46,SprintWorkingDays-1)-IF(OR(WEEKDAY(WORKDAY(H46,SprintWorkingDays-1),2)=2,WEEKDAY(WORKDAY(H46,SprintWorkingDays-1),2)=4),0,IF(WEEKDAY(WORKDAY(H46,SprintWorkingDays-1),2)=3,1,IF(WEEKDAY(WORKDAY(H46,SprintWorkingDays-1),2)=1,4,WEEKDAY(WORKDAY(H46,SprintWorkingDays-1),2)-4))),"")))</f>
        <v/>
      </c>
      <c r="N46" s="31">
        <f>IF(NOT(ISNUMBER(K46)),"",WORKDAY(K46,ReadyOffsetWD))</f>
        <v/>
      </c>
      <c r="O46" s="31">
        <f>IF(NOT(ISNUMBER(K46)),"",WORKDAY(K46,SprintReadinessOffsetWD))</f>
        <v/>
      </c>
      <c r="P46" s="29" t="n"/>
      <c r="Q46" s="31">
        <f>IF(NOT(ISNUMBER(T46)),"",WORKDAY(T46,RTSKOffsetFromOUR_WD))</f>
        <v/>
      </c>
      <c r="R46" s="32" t="n"/>
      <c r="S46" s="29" t="n"/>
      <c r="T46" s="31">
        <f>IF(NOT(ISNUMBER(W46)),"",WORKDAY(W46,OUROffsetFromSR_WD))</f>
        <v/>
      </c>
      <c r="U46" s="32" t="n"/>
      <c r="V46" s="29" t="n"/>
      <c r="W46" s="31">
        <f>IF(NOT(ISNUMBER(K46)),"",WORKDAY(K46,SROffsetFromStartWD))</f>
        <v/>
      </c>
      <c r="X46" s="32" t="n"/>
      <c r="Y46" s="29" t="n"/>
      <c r="Z46" s="29" t="n"/>
      <c r="AA46" s="31">
        <f>IF(ISNUMBER(Q46),Q46,"")</f>
        <v/>
      </c>
      <c r="AB46" s="32" t="n"/>
      <c r="AC46" s="29" t="n"/>
      <c r="AD46" s="29" t="n"/>
      <c r="AE46" s="29" t="n"/>
      <c r="AF46" s="29" t="n"/>
      <c r="AG46" s="31">
        <f>IF(NOT(ISNUMBER(Q46)),"",Q46)</f>
        <v/>
      </c>
      <c r="AH46" s="32" t="n"/>
      <c r="AI46" s="29" t="n"/>
      <c r="AJ46" s="31">
        <f>IF(NOT(ISNUMBER(T46)),"",T46)</f>
        <v/>
      </c>
      <c r="AK46" s="32" t="n"/>
      <c r="AL46" s="29" t="n"/>
      <c r="AM46" s="31">
        <f>IF(NOT(ISNUMBER(W46)),"",W46)</f>
        <v/>
      </c>
      <c r="AN46" s="32" t="n"/>
      <c r="AO46" s="29" t="n"/>
      <c r="AP46" s="29" t="n"/>
      <c r="AQ46" s="31">
        <f>IF(ISNUMBER(AG46),AG46,"")</f>
        <v/>
      </c>
      <c r="AR46" s="32" t="n"/>
      <c r="AS46" s="29" t="n"/>
      <c r="AT46" s="29" t="n"/>
      <c r="AU46" s="29" t="n"/>
      <c r="AV46" s="29" t="n"/>
      <c r="AW46" s="31">
        <f>IF(NOT(ISNUMBER(Q46)),"",Q46)</f>
        <v/>
      </c>
      <c r="AX46" s="32" t="n"/>
      <c r="AY46" s="29" t="n"/>
      <c r="AZ46" s="31">
        <f>IF(NOT(ISNUMBER(T46)),"",T46)</f>
        <v/>
      </c>
      <c r="BA46" s="32" t="n"/>
      <c r="BB46" s="29" t="n"/>
      <c r="BC46" s="31">
        <f>IF(NOT(ISNUMBER(W46)),"",W46)</f>
        <v/>
      </c>
      <c r="BD46" s="32" t="n"/>
      <c r="BE46" s="29" t="n"/>
      <c r="BF46" s="29" t="n"/>
      <c r="BG46" s="31">
        <f>IF(ISNUMBER(AW46),AW46,"")</f>
        <v/>
      </c>
      <c r="BH46" s="32" t="n"/>
      <c r="BI46" s="29" t="n"/>
      <c r="BJ46" s="29" t="n"/>
      <c r="BK46" s="29" t="n"/>
      <c r="BL46" s="29" t="n"/>
      <c r="BM46" s="31">
        <f>IF(OR(NOT(ISNUMBER(M46)),AND(WEEKDAY(M46,2)&lt;&gt;2,WEEKDAY(M46,2)&lt;&gt;4)),"",WORKDAY(M46,CABOffsetFromReleaseWD))</f>
        <v/>
      </c>
      <c r="BN46" s="29" t="n"/>
      <c r="BO46" s="31">
        <f>IF(NOT(ISNUMBER(BM46)),"",IF(WEEKDAY(BM46-CodeReviewCalendarDays,2)&gt;5,BM46-CodeReviewCalendarDays-(WEEKDAY(BM46-CodeReviewCalendarDays,2)-5),BM46-CodeReviewCalendarDays))</f>
        <v/>
      </c>
      <c r="BP46" s="29" t="n"/>
      <c r="BQ46" s="31">
        <f>IF(NOT(ISNUMBER(BO46)),"",IF(WEEKDAY(BO46-CodeReviewInviteCalendarDays,2)&gt;5,BO46-CodeReviewInviteCalendarDays-(WEEKDAY(BO46-CodeReviewInviteCalendarDays,2)-5),BO46-CodeReviewInviteCalendarDays))</f>
        <v/>
      </c>
      <c r="BR46" s="29" t="n"/>
      <c r="BS46" s="29" t="n"/>
      <c r="BT46" s="30">
        <f>IF(A46="","",IF(IF(AND(ISNUMBER(J46),WEEKDAY(J46,2)&lt;&gt;2,WEEKDAY(J46,2)&lt;&gt;4)," | Release must be Tuesday or Thursday","")&amp;IF(AND(ISNUMBER(H46),WEEKDAY(H46,2)&lt;&gt;1)," | Sprint Start is not a Monday - dates still calculated from the date entered","")&amp;IF(AND(A46&lt;&gt;"",NOT(ISNUMBER(H46)),NOT(ISNUMBER(J46)))," | Enter Sprint Start or Release Date","")&amp;IF(AND(ISNUMBER(F46),F46&lt;TODAY(),D46&lt;&gt;"Completed")," | One or more raise-by dates are in the past and not completed","")&amp;IF(AND(ISNUMBER(K46),K46-TODAY()&lt;SprintWarningDays,K46&gt;=TODAY(),OR(D46="Yet to start",D46="Blocked"))," | Sprint starts in under 10 days - raise access requests now","")&amp;IF(AND(ISNUMBER(BQ46),BR46&lt;&gt;"Completed",BQ46-TODAY()&lt;CodeReviewInviteCalendarDays)," | Code Review invite should be sent at least 4 days before Code Review","")="","",MID(IF(AND(ISNUMBER(J46),WEEKDAY(J46,2)&lt;&gt;2,WEEKDAY(J46,2)&lt;&gt;4)," | Release must be Tuesday or Thursday","")&amp;IF(AND(ISNUMBER(H46),WEEKDAY(H46,2)&lt;&gt;1)," | Sprint Start is not a Monday - dates still calculated from the date entered","")&amp;IF(AND(A46&lt;&gt;"",NOT(ISNUMBER(H46)),NOT(ISNUMBER(J46)))," | Enter Sprint Start or Release Date","")&amp;IF(AND(ISNUMBER(F46),F46&lt;TODAY(),D46&lt;&gt;"Completed")," | One or more raise-by dates are in the past and not completed","")&amp;IF(AND(ISNUMBER(K46),K46-TODAY()&lt;SprintWarningDays,K46&gt;=TODAY(),OR(D46="Yet to start",D46="Blocked"))," | Sprint starts in under 10 days - raise access requests now","")&amp;IF(AND(ISNUMBER(BQ46),BR46&lt;&gt;"Completed",BQ46-TODAY()&lt;CodeReviewInviteCalendarDays)," | Code Review invite should be sent at least 4 days before Code Review",""),4,500)))</f>
        <v/>
      </c>
      <c r="BU46">
        <f>IF(AND(ISNUMBER(Q46),S46&lt;&gt;"Completed"),Q46,"")</f>
        <v/>
      </c>
      <c r="BV46">
        <f>IF(AND(ISNUMBER(T46),V46&lt;&gt;"Completed"),T46,"")</f>
        <v/>
      </c>
      <c r="BW46">
        <f>IF(AND(ISNUMBER(W46),Y46&lt;&gt;"Completed"),W46,"")</f>
        <v/>
      </c>
      <c r="BX46">
        <f>IF(AND(ISNUMBER(AA46),AC46&lt;&gt;"Completed"),AA46,"")</f>
        <v/>
      </c>
      <c r="BY46">
        <f>IF(AND(ISNUMBER(AG46),AI46&lt;&gt;"Completed"),AG46,"")</f>
        <v/>
      </c>
      <c r="BZ46">
        <f>IF(AND(ISNUMBER(AJ46),AL46&lt;&gt;"Completed"),AJ46,"")</f>
        <v/>
      </c>
      <c r="CA46">
        <f>IF(AND(ISNUMBER(AM46),AO46&lt;&gt;"Completed"),AM46,"")</f>
        <v/>
      </c>
      <c r="CB46">
        <f>IF(AND(ISNUMBER(AQ46),AS46&lt;&gt;"Completed"),AQ46,"")</f>
        <v/>
      </c>
      <c r="CC46">
        <f>IF(AND(ISNUMBER(AW46),AY46&lt;&gt;"Completed"),AW46,"")</f>
        <v/>
      </c>
      <c r="CD46">
        <f>IF(AND(ISNUMBER(AZ46),BB46&lt;&gt;"Completed"),AZ46,"")</f>
        <v/>
      </c>
      <c r="CE46">
        <f>IF(AND(ISNUMBER(BC46),BE46&lt;&gt;"Completed"),BC46,"")</f>
        <v/>
      </c>
      <c r="CF46">
        <f>IF(AND(ISNUMBER(BG46),BI46&lt;&gt;"Completed"),BG46,"")</f>
        <v/>
      </c>
      <c r="CG46">
        <f>IF(AND(ISNUMBER(O46),P46&lt;&gt;"Completed"),O46,"")</f>
        <v/>
      </c>
      <c r="CH46">
        <f>IF(AND(ISNUMBER(BQ46),BR46&lt;&gt;"Completed"),BQ46,"")</f>
        <v/>
      </c>
      <c r="CI46">
        <f>IF(AND(ISNUMBER(BO46),BP46&lt;&gt;"Completed"),BO46,"")</f>
        <v/>
      </c>
      <c r="CJ46">
        <f>IF(AND(ISNUMBER(BM46),BN46&lt;&gt;"Completed"),BM46,"")</f>
        <v/>
      </c>
      <c r="CK46">
        <f>IF(OR(A46="",D46="Completed"),"",IF(N(G46)&gt;0,1/(N(G46)+ROW()/100000),IF(ISNUMBER(F46),1000+F46+ROW()/100000,TODAY()+400+ROW()/100000)))</f>
        <v/>
      </c>
    </row>
    <row r="47" ht="16" customHeight="1" s="39">
      <c r="A47" s="29" t="inlineStr">
        <is>
          <t>webtrader_prj</t>
        </is>
      </c>
      <c r="B47" s="29" t="inlineStr">
        <is>
          <t>Vidhesha &lt;vkumaran@randomtrees.com&gt;</t>
        </is>
      </c>
      <c r="C47" s="29" t="inlineStr">
        <is>
          <t>Sprint 20</t>
        </is>
      </c>
      <c r="D47" s="30">
        <f>IF(A47="","",IF(((S47="Blocked")+(V47="Blocked")+(Y47="Blocked")+(AC47="Blocked")+(AI47="Blocked")+(AL47="Blocked")+(AO47="Blocked")+(AS47="Blocked")+(AY47="Blocked")+(BB47="Blocked")+(BE47="Blocked")+(BI47="Blocked")+(P47="Blocked")+(BN47="Blocked")+(BP47="Blocked")+(BR47="Blocked")+(BS47="Blocked"))&gt;0,"Blocked",IF((ISNUMBER(Q47)+ISNUMBER(T47)+ISNUMBER(W47)+ISNUMBER(AA47)+ISNUMBER(AG47)+ISNUMBER(AJ47)+ISNUMBER(AM47)+ISNUMBER(AQ47)+ISNUMBER(AW47)+ISNUMBER(AZ47)+ISNUMBER(BC47)+ISNUMBER(BG47)+ISNUMBER(O47)+ISNUMBER(BM47)+ISNUMBER(BO47)+ISNUMBER(BQ47))=0,"Yet to start",IF(AND(OR(NOT(ISNUMBER(Q47)),S47="Completed"),OR(NOT(ISNUMBER(T47)),V47="Completed"),OR(NOT(ISNUMBER(W47)),Y47="Completed"),OR(NOT(ISNUMBER(AA47)),AC47="Completed"),OR(NOT(ISNUMBER(AG47)),AI47="Completed"),OR(NOT(ISNUMBER(AJ47)),AL47="Completed"),OR(NOT(ISNUMBER(AM47)),AO47="Completed"),OR(NOT(ISNUMBER(AQ47)),AS47="Completed"),OR(NOT(ISNUMBER(AW47)),AY47="Completed"),OR(NOT(ISNUMBER(AZ47)),BB47="Completed"),OR(NOT(ISNUMBER(BC47)),BE47="Completed"),OR(NOT(ISNUMBER(BG47)),BI47="Completed"),OR(NOT(ISNUMBER(O47)),P47="Completed"),OR(NOT(ISNUMBER(BM47)),BN47="Completed"),OR(NOT(ISNUMBER(BO47)),BP47="Completed"),OR(NOT(ISNUMBER(BQ47)),BR47="Completed"),BS47="Completed"),"Completed",IF(((S47="In Progress")+(V47="In Progress")+(Y47="In Progress")+(AC47="In Progress")+(AI47="In Progress")+(AL47="In Progress")+(AO47="In Progress")+(AS47="In Progress")+(AY47="In Progress")+(BB47="In Progress")+(BE47="In Progress")+(BI47="In Progress")+(P47="In Progress")+(BN47="In Progress")+(BP47="In Progress")+(BR47="In Progress")+(BS47="In Progress"))&gt;0,"In Progress","Yet to start")))))</f>
        <v/>
      </c>
      <c r="E47" s="30">
        <f>IF(A47="","",IF(F47="","All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Review","CAB"},MATCH(F47,BU47:CJ47,0))))</f>
        <v/>
      </c>
      <c r="F47" s="31">
        <f>IF(A47="","",IF(COUNT(BU47:CJ47)=0,"",MIN(BU47:CJ47)))</f>
        <v/>
      </c>
      <c r="G47" s="30">
        <f>IF(A47="","",MAX(0,IF(AND(ISNUMBER(Q47),S47&lt;&gt;"Completed",Q47&lt;TODAY()),TODAY()-Q47,0),IF(AND(ISNUMBER(T47),V47&lt;&gt;"Completed",T47&lt;TODAY()),TODAY()-T47,0),IF(AND(ISNUMBER(W47),Y47&lt;&gt;"Completed",W47&lt;TODAY()),TODAY()-W47,0),IF(AND(ISNUMBER(AA47),AC47&lt;&gt;"Completed",AA47&lt;TODAY()),TODAY()-AA47,0),IF(AND(ISNUMBER(AG47),AI47&lt;&gt;"Completed",AG47&lt;TODAY()),TODAY()-AG47,0),IF(AND(ISNUMBER(AJ47),AL47&lt;&gt;"Completed",AJ47&lt;TODAY()),TODAY()-AJ47,0),IF(AND(ISNUMBER(AM47),AO47&lt;&gt;"Completed",AM47&lt;TODAY()),TODAY()-AM47,0),IF(AND(ISNUMBER(AQ47),AS47&lt;&gt;"Completed",AQ47&lt;TODAY()),TODAY()-AQ47,0),IF(AND(ISNUMBER(AW47),AY47&lt;&gt;"Completed",AW47&lt;TODAY()),TODAY()-AW47,0),IF(AND(ISNUMBER(AZ47),BB47&lt;&gt;"Completed",AZ47&lt;TODAY()),TODAY()-AZ47,0),IF(AND(ISNUMBER(BC47),BE47&lt;&gt;"Completed",BC47&lt;TODAY()),TODAY()-BC47,0),IF(AND(ISNUMBER(BG47),BI47&lt;&gt;"Completed",BG47&lt;TODAY()),TODAY()-BG47,0),IF(AND(ISNUMBER(O47),P47&lt;&gt;"Completed",O47&lt;TODAY()),TODAY()-O47,0),IF(AND(ISNUMBER(BQ47),BR47&lt;&gt;"Completed",BQ47&lt;TODAY()),TODAY()-BQ47,0),IF(AND(ISNUMBER(BO47),BP47&lt;&gt;"Completed",BO47&lt;TODAY()),TODAY()-BO47,0),IF(AND(ISNUMBER(BM47),BN47&lt;&gt;"Completed",BM47&lt;TODAY()),TODAY()-BM47,0)))</f>
        <v/>
      </c>
      <c r="H47" s="32" t="n">
        <v>46274</v>
      </c>
      <c r="I47" s="32" t="n">
        <v>46287</v>
      </c>
      <c r="J47" s="32" t="n"/>
      <c r="K47" s="31">
        <f>IF(ISNUMBER(H47),H47,IF(ISNUMBER(M47),M47-WEEKDAY(M47,2)+1-7,""))</f>
        <v/>
      </c>
      <c r="L47" s="31">
        <f>IF(ISNUMBER(I47),I47,IF(ISNUMBER(H47),WORKDAY(H47,SprintWorkingDays-1),IF(ISNUMBER(K47),WORKDAY(K47,SprintWorkingDays-1),"")))</f>
        <v/>
      </c>
      <c r="M47" s="31">
        <f>IF(ISNUMBER(J47),J47,IF(ISNUMBER(I47),I47-IF(OR(WEEKDAY(I47,2)=2,WEEKDAY(I47,2)=4),0,IF(WEEKDAY(I47,2)=3,1,IF(WEEKDAY(I47,2)=1,4,WEEKDAY(I47,2)-4))),IF(ISNUMBER(H47),WORKDAY(H47,SprintWorkingDays-1)-IF(OR(WEEKDAY(WORKDAY(H47,SprintWorkingDays-1),2)=2,WEEKDAY(WORKDAY(H47,SprintWorkingDays-1),2)=4),0,IF(WEEKDAY(WORKDAY(H47,SprintWorkingDays-1),2)=3,1,IF(WEEKDAY(WORKDAY(H47,SprintWorkingDays-1),2)=1,4,WEEKDAY(WORKDAY(H47,SprintWorkingDays-1),2)-4))),"")))</f>
        <v/>
      </c>
      <c r="N47" s="31">
        <f>IF(NOT(ISNUMBER(K47)),"",WORKDAY(K47,ReadyOffsetWD))</f>
        <v/>
      </c>
      <c r="O47" s="31">
        <f>IF(NOT(ISNUMBER(K47)),"",WORKDAY(K47,SprintReadinessOffsetWD))</f>
        <v/>
      </c>
      <c r="P47" s="29" t="n"/>
      <c r="Q47" s="31">
        <f>IF(NOT(ISNUMBER(T47)),"",WORKDAY(T47,RTSKOffsetFromOUR_WD))</f>
        <v/>
      </c>
      <c r="R47" s="32" t="n"/>
      <c r="S47" s="29" t="n"/>
      <c r="T47" s="31">
        <f>IF(NOT(ISNUMBER(W47)),"",WORKDAY(W47,OUROffsetFromSR_WD))</f>
        <v/>
      </c>
      <c r="U47" s="32" t="n"/>
      <c r="V47" s="29" t="n"/>
      <c r="W47" s="31">
        <f>IF(NOT(ISNUMBER(K47)),"",WORKDAY(K47,SROffsetFromStartWD))</f>
        <v/>
      </c>
      <c r="X47" s="32" t="n"/>
      <c r="Y47" s="29" t="n"/>
      <c r="Z47" s="29" t="n"/>
      <c r="AA47" s="31">
        <f>IF(ISNUMBER(Q47),Q47,"")</f>
        <v/>
      </c>
      <c r="AB47" s="32" t="n"/>
      <c r="AC47" s="29" t="n"/>
      <c r="AD47" s="29" t="n"/>
      <c r="AE47" s="29" t="n"/>
      <c r="AF47" s="29" t="n"/>
      <c r="AG47" s="31">
        <f>IF(NOT(ISNUMBER(Q47)),"",Q47)</f>
        <v/>
      </c>
      <c r="AH47" s="32" t="n"/>
      <c r="AI47" s="29" t="n"/>
      <c r="AJ47" s="31">
        <f>IF(NOT(ISNUMBER(T47)),"",T47)</f>
        <v/>
      </c>
      <c r="AK47" s="32" t="n"/>
      <c r="AL47" s="29" t="n"/>
      <c r="AM47" s="31">
        <f>IF(NOT(ISNUMBER(W47)),"",W47)</f>
        <v/>
      </c>
      <c r="AN47" s="32" t="n"/>
      <c r="AO47" s="29" t="n"/>
      <c r="AP47" s="29" t="n"/>
      <c r="AQ47" s="31">
        <f>IF(ISNUMBER(AG47),AG47,"")</f>
        <v/>
      </c>
      <c r="AR47" s="32" t="n"/>
      <c r="AS47" s="29" t="n"/>
      <c r="AT47" s="29" t="n"/>
      <c r="AU47" s="29" t="n"/>
      <c r="AV47" s="29" t="n"/>
      <c r="AW47" s="31">
        <f>IF(NOT(ISNUMBER(Q47)),"",Q47)</f>
        <v/>
      </c>
      <c r="AX47" s="32" t="n"/>
      <c r="AY47" s="29" t="n"/>
      <c r="AZ47" s="31">
        <f>IF(NOT(ISNUMBER(T47)),"",T47)</f>
        <v/>
      </c>
      <c r="BA47" s="32" t="n"/>
      <c r="BB47" s="29" t="n"/>
      <c r="BC47" s="31">
        <f>IF(NOT(ISNUMBER(W47)),"",W47)</f>
        <v/>
      </c>
      <c r="BD47" s="32" t="n"/>
      <c r="BE47" s="29" t="n"/>
      <c r="BF47" s="29" t="n"/>
      <c r="BG47" s="31">
        <f>IF(ISNUMBER(AW47),AW47,"")</f>
        <v/>
      </c>
      <c r="BH47" s="32" t="n"/>
      <c r="BI47" s="29" t="n"/>
      <c r="BJ47" s="29" t="n"/>
      <c r="BK47" s="29" t="n"/>
      <c r="BL47" s="29" t="n"/>
      <c r="BM47" s="31">
        <f>IF(OR(NOT(ISNUMBER(M47)),AND(WEEKDAY(M47,2)&lt;&gt;2,WEEKDAY(M47,2)&lt;&gt;4)),"",WORKDAY(M47,CABOffsetFromReleaseWD))</f>
        <v/>
      </c>
      <c r="BN47" s="29" t="n"/>
      <c r="BO47" s="31">
        <f>IF(NOT(ISNUMBER(BM47)),"",IF(WEEKDAY(BM47-CodeReviewCalendarDays,2)&gt;5,BM47-CodeReviewCalendarDays-(WEEKDAY(BM47-CodeReviewCalendarDays,2)-5),BM47-CodeReviewCalendarDays))</f>
        <v/>
      </c>
      <c r="BP47" s="29" t="n"/>
      <c r="BQ47" s="31">
        <f>IF(NOT(ISNUMBER(BO47)),"",IF(WEEKDAY(BO47-CodeReviewInviteCalendarDays,2)&gt;5,BO47-CodeReviewInviteCalendarDays-(WEEKDAY(BO47-CodeReviewInviteCalendarDays,2)-5),BO47-CodeReviewInviteCalendarDays))</f>
        <v/>
      </c>
      <c r="BR47" s="29" t="n"/>
      <c r="BS47" s="29" t="n"/>
      <c r="BT47" s="30">
        <f>IF(A47="","",IF(IF(AND(ISNUMBER(J47),WEEKDAY(J47,2)&lt;&gt;2,WEEKDAY(J47,2)&lt;&gt;4)," | Release must be Tuesday or Thursday","")&amp;IF(AND(ISNUMBER(H47),WEEKDAY(H47,2)&lt;&gt;1)," | Sprint Start is not a Monday - dates still calculated from the date entered","")&amp;IF(AND(A47&lt;&gt;"",NOT(ISNUMBER(H47)),NOT(ISNUMBER(J47)))," | Enter Sprint Start or Release Date","")&amp;IF(AND(ISNUMBER(F47),F47&lt;TODAY(),D47&lt;&gt;"Completed")," | One or more raise-by dates are in the past and not completed","")&amp;IF(AND(ISNUMBER(K47),K47-TODAY()&lt;SprintWarningDays,K47&gt;=TODAY(),OR(D47="Yet to start",D47="Blocked"))," | Sprint starts in under 10 days - raise access requests now","")&amp;IF(AND(ISNUMBER(BQ47),BR47&lt;&gt;"Completed",BQ47-TODAY()&lt;CodeReviewInviteCalendarDays)," | Code Review invite should be sent at least 4 days before Code Review","")="","",MID(IF(AND(ISNUMBER(J47),WEEKDAY(J47,2)&lt;&gt;2,WEEKDAY(J47,2)&lt;&gt;4)," | Release must be Tuesday or Thursday","")&amp;IF(AND(ISNUMBER(H47),WEEKDAY(H47,2)&lt;&gt;1)," | Sprint Start is not a Monday - dates still calculated from the date entered","")&amp;IF(AND(A47&lt;&gt;"",NOT(ISNUMBER(H47)),NOT(ISNUMBER(J47)))," | Enter Sprint Start or Release Date","")&amp;IF(AND(ISNUMBER(F47),F47&lt;TODAY(),D47&lt;&gt;"Completed")," | One or more raise-by dates are in the past and not completed","")&amp;IF(AND(ISNUMBER(K47),K47-TODAY()&lt;SprintWarningDays,K47&gt;=TODAY(),OR(D47="Yet to start",D47="Blocked"))," | Sprint starts in under 10 days - raise access requests now","")&amp;IF(AND(ISNUMBER(BQ47),BR47&lt;&gt;"Completed",BQ47-TODAY()&lt;CodeReviewInviteCalendarDays)," | Code Review invite should be sent at least 4 days before Code Review",""),4,500)))</f>
        <v/>
      </c>
      <c r="BU47">
        <f>IF(AND(ISNUMBER(Q47),S47&lt;&gt;"Completed"),Q47,"")</f>
        <v/>
      </c>
      <c r="BV47">
        <f>IF(AND(ISNUMBER(T47),V47&lt;&gt;"Completed"),T47,"")</f>
        <v/>
      </c>
      <c r="BW47">
        <f>IF(AND(ISNUMBER(W47),Y47&lt;&gt;"Completed"),W47,"")</f>
        <v/>
      </c>
      <c r="BX47">
        <f>IF(AND(ISNUMBER(AA47),AC47&lt;&gt;"Completed"),AA47,"")</f>
        <v/>
      </c>
      <c r="BY47">
        <f>IF(AND(ISNUMBER(AG47),AI47&lt;&gt;"Completed"),AG47,"")</f>
        <v/>
      </c>
      <c r="BZ47">
        <f>IF(AND(ISNUMBER(AJ47),AL47&lt;&gt;"Completed"),AJ47,"")</f>
        <v/>
      </c>
      <c r="CA47">
        <f>IF(AND(ISNUMBER(AM47),AO47&lt;&gt;"Completed"),AM47,"")</f>
        <v/>
      </c>
      <c r="CB47">
        <f>IF(AND(ISNUMBER(AQ47),AS47&lt;&gt;"Completed"),AQ47,"")</f>
        <v/>
      </c>
      <c r="CC47">
        <f>IF(AND(ISNUMBER(AW47),AY47&lt;&gt;"Completed"),AW47,"")</f>
        <v/>
      </c>
      <c r="CD47">
        <f>IF(AND(ISNUMBER(AZ47),BB47&lt;&gt;"Completed"),AZ47,"")</f>
        <v/>
      </c>
      <c r="CE47">
        <f>IF(AND(ISNUMBER(BC47),BE47&lt;&gt;"Completed"),BC47,"")</f>
        <v/>
      </c>
      <c r="CF47">
        <f>IF(AND(ISNUMBER(BG47),BI47&lt;&gt;"Completed"),BG47,"")</f>
        <v/>
      </c>
      <c r="CG47">
        <f>IF(AND(ISNUMBER(O47),P47&lt;&gt;"Completed"),O47,"")</f>
        <v/>
      </c>
      <c r="CH47">
        <f>IF(AND(ISNUMBER(BQ47),BR47&lt;&gt;"Completed"),BQ47,"")</f>
        <v/>
      </c>
      <c r="CI47">
        <f>IF(AND(ISNUMBER(BO47),BP47&lt;&gt;"Completed"),BO47,"")</f>
        <v/>
      </c>
      <c r="CJ47">
        <f>IF(AND(ISNUMBER(BM47),BN47&lt;&gt;"Completed"),BM47,"")</f>
        <v/>
      </c>
      <c r="CK47">
        <f>IF(OR(A47="",D47="Completed"),"",IF(N(G47)&gt;0,1/(N(G47)+ROW()/100000),IF(ISNUMBER(F47),1000+F47+ROW()/100000,TODAY()+400+ROW()/100000)))</f>
        <v/>
      </c>
    </row>
    <row r="48" ht="16" customHeight="1" s="39">
      <c r="A48" s="29" t="inlineStr">
        <is>
          <t>FACILITY</t>
        </is>
      </c>
      <c r="B48" s="29" t="inlineStr">
        <is>
          <t>Sharath &lt;Skotha1@randomtrees.com&gt;</t>
        </is>
      </c>
      <c r="C48" s="29" t="inlineStr">
        <is>
          <t>Sprint 20</t>
        </is>
      </c>
      <c r="D48" s="30">
        <f>IF(A45="","",IF(((S45="Blocked")+(V45="Blocked")+(Y45="Blocked")+(AC45="Blocked")+(AI45="Blocked")+(AL45="Blocked")+(AO45="Blocked")+(AS45="Blocked")+(AY45="Blocked")+(BB45="Blocked")+(BE45="Blocked")+(BI45="Blocked")+(P45="Blocked")+(BN45="Blocked")+(BP45="Blocked")+(BR45="Blocked")+(BS45="Blocked"))&gt;0,"Blocked",IF((ISNUMBER(Q45)+ISNUMBER(T45)+ISNUMBER(W45)+ISNUMBER(AA45)+ISNUMBER(AG45)+ISNUMBER(AJ45)+ISNUMBER(AM45)+ISNUMBER(AQ45)+ISNUMBER(AW45)+ISNUMBER(AZ45)+ISNUMBER(BC45)+ISNUMBER(BG45)+ISNUMBER(O45)+ISNUMBER(BM45)+ISNUMBER(BO45)+ISNUMBER(BQ45))=0,"Yet to start",IF(AND(OR(NOT(ISNUMBER(Q45)),S45="Completed"),OR(NOT(ISNUMBER(T45)),V45="Completed"),OR(NOT(ISNUMBER(W45)),Y45="Completed"),OR(NOT(ISNUMBER(AA45)),AC45="Completed"),OR(NOT(ISNUMBER(AG45)),AI45="Completed"),OR(NOT(ISNUMBER(AJ45)),AL45="Completed"),OR(NOT(ISNUMBER(AM45)),AO45="Completed"),OR(NOT(ISNUMBER(AQ45)),AS45="Completed"),OR(NOT(ISNUMBER(AW45)),AY45="Completed"),OR(NOT(ISNUMBER(AZ45)),BB45="Completed"),OR(NOT(ISNUMBER(BC45)),BE45="Completed"),OR(NOT(ISNUMBER(BG45)),BI45="Completed"),OR(NOT(ISNUMBER(O45)),P45="Completed"),OR(NOT(ISNUMBER(BM45)),BN45="Completed"),OR(NOT(ISNUMBER(BO45)),BP45="Completed"),OR(NOT(ISNUMBER(BQ45)),BR45="Completed"),BS45="Completed"),"Completed",IF(((S45="In Progress")+(V45="In Progress")+(Y45="In Progress")+(AC45="In Progress")+(AI45="In Progress")+(AL45="In Progress")+(AO45="In Progress")+(AS45="In Progress")+(AY45="In Progress")+(BB45="In Progress")+(BE45="In Progress")+(BI45="In Progress")+(P45="In Progress")+(BN45="In Progress")+(BP45="In Progress")+(BR45="In Progress")+(BS45="In Progress"))&gt;0,"In Progress","Yet to start")))))</f>
        <v/>
      </c>
      <c r="E48" s="30">
        <f>IF(A48="","",IF(F48="","All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Review","CAB"},MATCH(F48,BU48:CJ48,0))))</f>
        <v/>
      </c>
      <c r="F48" s="31">
        <f>IF(A48="","",IF(COUNT(BU48:CJ48)=0,"",MIN(BU48:CJ48)))</f>
        <v/>
      </c>
      <c r="G48" s="30">
        <f>IF(A48="","",MAX(0,IF(AND(ISNUMBER(Q48),S48&lt;&gt;"Completed",Q48&lt;TODAY()),TODAY()-Q48,0),IF(AND(ISNUMBER(T48),V48&lt;&gt;"Completed",T48&lt;TODAY()),TODAY()-T48,0),IF(AND(ISNUMBER(W48),Y48&lt;&gt;"Completed",W48&lt;TODAY()),TODAY()-W48,0),IF(AND(ISNUMBER(AA48),AC48&lt;&gt;"Completed",AA48&lt;TODAY()),TODAY()-AA48,0),IF(AND(ISNUMBER(AG48),AI48&lt;&gt;"Completed",AG48&lt;TODAY()),TODAY()-AG48,0),IF(AND(ISNUMBER(AJ48),AL48&lt;&gt;"Completed",AJ48&lt;TODAY()),TODAY()-AJ48,0),IF(AND(ISNUMBER(AM48),AO48&lt;&gt;"Completed",AM48&lt;TODAY()),TODAY()-AM48,0),IF(AND(ISNUMBER(AQ48),AS48&lt;&gt;"Completed",AQ48&lt;TODAY()),TODAY()-AQ48,0),IF(AND(ISNUMBER(AW48),AY48&lt;&gt;"Completed",AW48&lt;TODAY()),TODAY()-AW48,0),IF(AND(ISNUMBER(AZ48),BB48&lt;&gt;"Completed",AZ48&lt;TODAY()),TODAY()-AZ48,0),IF(AND(ISNUMBER(BC48),BE48&lt;&gt;"Completed",BC48&lt;TODAY()),TODAY()-BC48,0),IF(AND(ISNUMBER(BG48),BI48&lt;&gt;"Completed",BG48&lt;TODAY()),TODAY()-BG48,0),IF(AND(ISNUMBER(O48),P48&lt;&gt;"Completed",O48&lt;TODAY()),TODAY()-O48,0),IF(AND(ISNUMBER(BQ48),BR48&lt;&gt;"Completed",BQ48&lt;TODAY()),TODAY()-BQ48,0),IF(AND(ISNUMBER(BO48),BP48&lt;&gt;"Completed",BO48&lt;TODAY()),TODAY()-BO48,0),IF(AND(ISNUMBER(BM48),BN48&lt;&gt;"Completed",BM48&lt;TODAY()),TODAY()-BM48,0)))</f>
        <v/>
      </c>
      <c r="H48" s="32" t="n">
        <v>46274</v>
      </c>
      <c r="I48" s="32" t="n">
        <v>46287</v>
      </c>
      <c r="J48" s="32" t="n"/>
      <c r="K48" s="31">
        <f>IF(ISNUMBER(H48),H48,IF(ISNUMBER(M48),M48-WEEKDAY(M48,2)+1-7,""))</f>
        <v/>
      </c>
      <c r="L48" s="31">
        <f>IF(ISNUMBER(I48),I48,IF(ISNUMBER(H48),WORKDAY(H48,SprintWorkingDays-1),IF(ISNUMBER(K48),WORKDAY(K48,SprintWorkingDays-1),"")))</f>
        <v/>
      </c>
      <c r="M48" s="31">
        <f>IF(ISNUMBER(J48),J48,IF(ISNUMBER(I48),I48-IF(OR(WEEKDAY(I48,2)=2,WEEKDAY(I48,2)=4),0,IF(WEEKDAY(I48,2)=3,1,IF(WEEKDAY(I48,2)=1,4,WEEKDAY(I48,2)-4))),IF(ISNUMBER(H48),WORKDAY(H48,SprintWorkingDays-1)-IF(OR(WEEKDAY(WORKDAY(H48,SprintWorkingDays-1),2)=2,WEEKDAY(WORKDAY(H48,SprintWorkingDays-1),2)=4),0,IF(WEEKDAY(WORKDAY(H48,SprintWorkingDays-1),2)=3,1,IF(WEEKDAY(WORKDAY(H48,SprintWorkingDays-1),2)=1,4,WEEKDAY(WORKDAY(H48,SprintWorkingDays-1),2)-4))),"")))</f>
        <v/>
      </c>
      <c r="N48" s="31">
        <f>IF(NOT(ISNUMBER(K48)),"",WORKDAY(K48,ReadyOffsetWD))</f>
        <v/>
      </c>
      <c r="O48" s="31">
        <f>IF(NOT(ISNUMBER(K48)),"",WORKDAY(K48,SprintReadinessOffsetWD))</f>
        <v/>
      </c>
      <c r="P48" s="29" t="n"/>
      <c r="Q48" s="31">
        <f>IF(NOT(ISNUMBER(T48)),"",WORKDAY(T48,RTSKOffsetFromOUR_WD))</f>
        <v/>
      </c>
      <c r="R48" s="32" t="n"/>
      <c r="S48" s="29" t="n"/>
      <c r="T48" s="31">
        <f>IF(NOT(ISNUMBER(W48)),"",WORKDAY(W48,OUROffsetFromSR_WD))</f>
        <v/>
      </c>
      <c r="U48" s="32" t="n"/>
      <c r="V48" s="29" t="n"/>
      <c r="W48" s="31">
        <f>IF(NOT(ISNUMBER(K48)),"",WORKDAY(K48,SROffsetFromStartWD))</f>
        <v/>
      </c>
      <c r="X48" s="32" t="n"/>
      <c r="Y48" s="29" t="n"/>
      <c r="Z48" s="29" t="n"/>
      <c r="AA48" s="31">
        <f>IF(ISNUMBER(Q48),Q48,"")</f>
        <v/>
      </c>
      <c r="AB48" s="32" t="n"/>
      <c r="AC48" s="29" t="n"/>
      <c r="AD48" s="29" t="n"/>
      <c r="AE48" s="29" t="n"/>
      <c r="AF48" s="29" t="n"/>
      <c r="AG48" s="31">
        <f>IF(NOT(ISNUMBER(Q48)),"",Q48)</f>
        <v/>
      </c>
      <c r="AH48" s="32" t="n"/>
      <c r="AI48" s="29" t="n"/>
      <c r="AJ48" s="31">
        <f>IF(NOT(ISNUMBER(T48)),"",T48)</f>
        <v/>
      </c>
      <c r="AK48" s="32" t="n"/>
      <c r="AL48" s="29" t="n"/>
      <c r="AM48" s="31">
        <f>IF(NOT(ISNUMBER(W48)),"",W48)</f>
        <v/>
      </c>
      <c r="AN48" s="32" t="n"/>
      <c r="AO48" s="29" t="n"/>
      <c r="AP48" s="29" t="n"/>
      <c r="AQ48" s="31">
        <f>IF(ISNUMBER(AG48),AG48,"")</f>
        <v/>
      </c>
      <c r="AR48" s="32" t="n"/>
      <c r="AS48" s="29" t="n"/>
      <c r="AT48" s="29" t="n"/>
      <c r="AU48" s="29" t="n"/>
      <c r="AV48" s="29" t="n"/>
      <c r="AW48" s="31">
        <f>IF(NOT(ISNUMBER(Q48)),"",Q48)</f>
        <v/>
      </c>
      <c r="AX48" s="32" t="n"/>
      <c r="AY48" s="29" t="n"/>
      <c r="AZ48" s="31">
        <f>IF(NOT(ISNUMBER(T48)),"",T48)</f>
        <v/>
      </c>
      <c r="BA48" s="32" t="n"/>
      <c r="BB48" s="29" t="n"/>
      <c r="BC48" s="31">
        <f>IF(NOT(ISNUMBER(W48)),"",W48)</f>
        <v/>
      </c>
      <c r="BD48" s="32" t="n"/>
      <c r="BE48" s="29" t="n"/>
      <c r="BF48" s="29" t="n"/>
      <c r="BG48" s="31">
        <f>IF(ISNUMBER(AW48),AW48,"")</f>
        <v/>
      </c>
      <c r="BH48" s="32" t="n"/>
      <c r="BI48" s="29" t="n"/>
      <c r="BJ48" s="29" t="n"/>
      <c r="BK48" s="29" t="n"/>
      <c r="BL48" s="29" t="n"/>
      <c r="BM48" s="31">
        <f>IF(OR(NOT(ISNUMBER(M48)),AND(WEEKDAY(M48,2)&lt;&gt;2,WEEKDAY(M48,2)&lt;&gt;4)),"",WORKDAY(M48,CABOffsetFromReleaseWD))</f>
        <v/>
      </c>
      <c r="BN48" s="29" t="n"/>
      <c r="BO48" s="31">
        <f>IF(NOT(ISNUMBER(BM48)),"",IF(WEEKDAY(BM48-CodeReviewCalendarDays,2)&gt;5,BM48-CodeReviewCalendarDays-(WEEKDAY(BM48-CodeReviewCalendarDays,2)-5),BM48-CodeReviewCalendarDays))</f>
        <v/>
      </c>
      <c r="BP48" s="29" t="n"/>
      <c r="BQ48" s="31">
        <f>IF(NOT(ISNUMBER(BO48)),"",IF(WEEKDAY(BO48-CodeReviewInviteCalendarDays,2)&gt;5,BO48-CodeReviewInviteCalendarDays-(WEEKDAY(BO48-CodeReviewInviteCalendarDays,2)-5),BO48-CodeReviewInviteCalendarDays))</f>
        <v/>
      </c>
      <c r="BR48" s="29" t="n"/>
      <c r="BS48" s="29" t="n"/>
      <c r="BT48" s="30">
        <f>IF(A48="","",IF(IF(AND(ISNUMBER(J48),WEEKDAY(J48,2)&lt;&gt;2,WEEKDAY(J48,2)&lt;&gt;4)," | Release must be Tuesday or Thursday","")&amp;IF(AND(ISNUMBER(H48),WEEKDAY(H48,2)&lt;&gt;1)," | Sprint Start is not a Monday - dates still calculated from the date entered","")&amp;IF(AND(A48&lt;&gt;"",NOT(ISNUMBER(H48)),NOT(ISNUMBER(J48)))," | Enter Sprint Start or Release Date","")&amp;IF(AND(ISNUMBER(F48),F48&lt;TODAY(),D48&lt;&gt;"Completed")," | One or more raise-by dates are in the past and not completed","")&amp;IF(AND(ISNUMBER(K48),K48-TODAY()&lt;SprintWarningDays,K48&gt;=TODAY(),OR(D48="Yet to start",D48="Blocked"))," | Sprint starts in under 10 days - raise access requests now","")&amp;IF(AND(ISNUMBER(BQ48),BR48&lt;&gt;"Completed",BQ48-TODAY()&lt;CodeReviewInviteCalendarDays)," | Code Review invite should be sent at least 4 days before Code Review","")="","",MID(IF(AND(ISNUMBER(J48),WEEKDAY(J48,2)&lt;&gt;2,WEEKDAY(J48,2)&lt;&gt;4)," | Release must be Tuesday or Thursday","")&amp;IF(AND(ISNUMBER(H48),WEEKDAY(H48,2)&lt;&gt;1)," | Sprint Start is not a Monday - dates still calculated from the date entered","")&amp;IF(AND(A48&lt;&gt;"",NOT(ISNUMBER(H48)),NOT(ISNUMBER(J48)))," | Enter Sprint Start or Release Date","")&amp;IF(AND(ISNUMBER(F48),F48&lt;TODAY(),D48&lt;&gt;"Completed")," | One or more raise-by dates are in the past and not completed","")&amp;IF(AND(ISNUMBER(K48),K48-TODAY()&lt;SprintWarningDays,K48&gt;=TODAY(),OR(D48="Yet to start",D48="Blocked"))," | Sprint starts in under 10 days - raise access requests now","")&amp;IF(AND(ISNUMBER(BQ48),BR48&lt;&gt;"Completed",BQ48-TODAY()&lt;CodeReviewInviteCalendarDays)," | Code Review invite should be sent at least 4 days before Code Review",""),4,500)))</f>
        <v/>
      </c>
      <c r="BU48">
        <f>IF(AND(ISNUMBER(Q48),S48&lt;&gt;"Completed"),Q48,"")</f>
        <v/>
      </c>
      <c r="BV48">
        <f>IF(AND(ISNUMBER(T48),V48&lt;&gt;"Completed"),T48,"")</f>
        <v/>
      </c>
      <c r="BW48">
        <f>IF(AND(ISNUMBER(W48),Y48&lt;&gt;"Completed"),W48,"")</f>
        <v/>
      </c>
      <c r="BX48">
        <f>IF(AND(ISNUMBER(AA48),AC48&lt;&gt;"Completed"),AA48,"")</f>
        <v/>
      </c>
      <c r="BY48">
        <f>IF(AND(ISNUMBER(AG48),AI48&lt;&gt;"Completed"),AG48,"")</f>
        <v/>
      </c>
      <c r="BZ48">
        <f>IF(AND(ISNUMBER(AJ48),AL48&lt;&gt;"Completed"),AJ48,"")</f>
        <v/>
      </c>
      <c r="CA48">
        <f>IF(AND(ISNUMBER(AM48),AO48&lt;&gt;"Completed"),AM48,"")</f>
        <v/>
      </c>
      <c r="CB48">
        <f>IF(AND(ISNUMBER(AQ48),AS48&lt;&gt;"Completed"),AQ48,"")</f>
        <v/>
      </c>
      <c r="CC48">
        <f>IF(AND(ISNUMBER(AW48),AY48&lt;&gt;"Completed"),AW48,"")</f>
        <v/>
      </c>
      <c r="CD48">
        <f>IF(AND(ISNUMBER(AZ48),BB48&lt;&gt;"Completed"),AZ48,"")</f>
        <v/>
      </c>
      <c r="CE48">
        <f>IF(AND(ISNUMBER(BC48),BE48&lt;&gt;"Completed"),BC48,"")</f>
        <v/>
      </c>
      <c r="CF48">
        <f>IF(AND(ISNUMBER(BG48),BI48&lt;&gt;"Completed"),BG48,"")</f>
        <v/>
      </c>
      <c r="CG48">
        <f>IF(AND(ISNUMBER(O48),P48&lt;&gt;"Completed"),O48,"")</f>
        <v/>
      </c>
      <c r="CH48">
        <f>IF(AND(ISNUMBER(BQ48),BR48&lt;&gt;"Completed"),BQ48,"")</f>
        <v/>
      </c>
      <c r="CI48">
        <f>IF(AND(ISNUMBER(BO48),BP48&lt;&gt;"Completed"),BO48,"")</f>
        <v/>
      </c>
      <c r="CJ48">
        <f>IF(AND(ISNUMBER(BM48),BN48&lt;&gt;"Completed"),BM48,"")</f>
        <v/>
      </c>
      <c r="CK48">
        <f>IF(OR(A48="",D48="Completed"),"",IF(N(G48)&gt;0,1/(N(G48)+ROW()/100000),IF(ISNUMBER(F48),1000+F48+ROW()/100000,TODAY()+400+ROW()/100000)))</f>
        <v/>
      </c>
    </row>
    <row r="49" ht="16" customHeight="1" s="39">
      <c r="A49" s="29" t="inlineStr">
        <is>
          <t>EDDS_PQ</t>
        </is>
      </c>
      <c r="B49" s="29" t="inlineStr">
        <is>
          <t>Santhosh &lt;skoyalkar@randomtrees.com&gt;</t>
        </is>
      </c>
      <c r="C49" s="29" t="inlineStr">
        <is>
          <t>Sprint 21</t>
        </is>
      </c>
      <c r="D49" s="30">
        <f>IF(A49="","",IF(((S49="Blocked")+(V49="Blocked")+(Y49="Blocked")+(AC49="Blocked")+(AI49="Blocked")+(AL49="Blocked")+(AO49="Blocked")+(AS49="Blocked")+(AY49="Blocked")+(BB49="Blocked")+(BE49="Blocked")+(BI49="Blocked")+(P49="Blocked")+(BN49="Blocked")+(BP49="Blocked")+(BR49="Blocked")+(BS49="Blocked"))&gt;0,"Blocked",IF((ISNUMBER(Q49)+ISNUMBER(T49)+ISNUMBER(W49)+ISNUMBER(AA49)+ISNUMBER(AG49)+ISNUMBER(AJ49)+ISNUMBER(AM49)+ISNUMBER(AQ49)+ISNUMBER(AW49)+ISNUMBER(AZ49)+ISNUMBER(BC49)+ISNUMBER(BG49)+ISNUMBER(O49)+ISNUMBER(BM49)+ISNUMBER(BO49)+ISNUMBER(BQ49))=0,"Yet to start",IF(AND(OR(NOT(ISNUMBER(Q49)),S49="Completed"),OR(NOT(ISNUMBER(T49)),V49="Completed"),OR(NOT(ISNUMBER(W49)),Y49="Completed"),OR(NOT(ISNUMBER(AA49)),AC49="Completed"),OR(NOT(ISNUMBER(AG49)),AI49="Completed"),OR(NOT(ISNUMBER(AJ49)),AL49="Completed"),OR(NOT(ISNUMBER(AM49)),AO49="Completed"),OR(NOT(ISNUMBER(AQ49)),AS49="Completed"),OR(NOT(ISNUMBER(AW49)),AY49="Completed"),OR(NOT(ISNUMBER(AZ49)),BB49="Completed"),OR(NOT(ISNUMBER(BC49)),BE49="Completed"),OR(NOT(ISNUMBER(BG49)),BI49="Completed"),OR(NOT(ISNUMBER(O49)),P49="Completed"),OR(NOT(ISNUMBER(BM49)),BN49="Completed"),OR(NOT(ISNUMBER(BO49)),BP49="Completed"),OR(NOT(ISNUMBER(BQ49)),BR49="Completed"),BS49="Completed"),"Completed",IF(((S49="In Progress")+(V49="In Progress")+(Y49="In Progress")+(AC49="In Progress")+(AI49="In Progress")+(AL49="In Progress")+(AO49="In Progress")+(AS49="In Progress")+(AY49="In Progress")+(BB49="In Progress")+(BE49="In Progress")+(BI49="In Progress")+(P49="In Progress")+(BN49="In Progress")+(BP49="In Progress")+(BR49="In Progress")+(BS49="In Progress"))&gt;0,"In Progress","Yet to start")))))</f>
        <v/>
      </c>
      <c r="E49" s="30">
        <f>IF(A49="","",IF(F49="","All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Review","CAB"},MATCH(F49,BU49:CJ49,0))))</f>
        <v/>
      </c>
      <c r="F49" s="31">
        <f>IF(A49="","",IF(COUNT(BU49:CJ49)=0,"",MIN(BU49:CJ49)))</f>
        <v/>
      </c>
      <c r="G49" s="30">
        <f>IF(A49="","",MAX(0,IF(AND(ISNUMBER(Q49),S49&lt;&gt;"Completed",Q49&lt;TODAY()),TODAY()-Q49,0),IF(AND(ISNUMBER(T49),V49&lt;&gt;"Completed",T49&lt;TODAY()),TODAY()-T49,0),IF(AND(ISNUMBER(W49),Y49&lt;&gt;"Completed",W49&lt;TODAY()),TODAY()-W49,0),IF(AND(ISNUMBER(AA49),AC49&lt;&gt;"Completed",AA49&lt;TODAY()),TODAY()-AA49,0),IF(AND(ISNUMBER(AG49),AI49&lt;&gt;"Completed",AG49&lt;TODAY()),TODAY()-AG49,0),IF(AND(ISNUMBER(AJ49),AL49&lt;&gt;"Completed",AJ49&lt;TODAY()),TODAY()-AJ49,0),IF(AND(ISNUMBER(AM49),AO49&lt;&gt;"Completed",AM49&lt;TODAY()),TODAY()-AM49,0),IF(AND(ISNUMBER(AQ49),AS49&lt;&gt;"Completed",AQ49&lt;TODAY()),TODAY()-AQ49,0),IF(AND(ISNUMBER(AW49),AY49&lt;&gt;"Completed",AW49&lt;TODAY()),TODAY()-AW49,0),IF(AND(ISNUMBER(AZ49),BB49&lt;&gt;"Completed",AZ49&lt;TODAY()),TODAY()-AZ49,0),IF(AND(ISNUMBER(BC49),BE49&lt;&gt;"Completed",BC49&lt;TODAY()),TODAY()-BC49,0),IF(AND(ISNUMBER(BG49),BI49&lt;&gt;"Completed",BG49&lt;TODAY()),TODAY()-BG49,0),IF(AND(ISNUMBER(O49),P49&lt;&gt;"Completed",O49&lt;TODAY()),TODAY()-O49,0),IF(AND(ISNUMBER(BQ49),BR49&lt;&gt;"Completed",BQ49&lt;TODAY()),TODAY()-BQ49,0),IF(AND(ISNUMBER(BO49),BP49&lt;&gt;"Completed",BO49&lt;TODAY()),TODAY()-BO49,0),IF(AND(ISNUMBER(BM49),BN49&lt;&gt;"Completed",BM49&lt;TODAY()),TODAY()-BM49,0)))</f>
        <v/>
      </c>
      <c r="H49" s="32" t="n">
        <v>46288</v>
      </c>
      <c r="I49" s="32" t="n">
        <v>46301</v>
      </c>
      <c r="J49" s="32" t="n"/>
      <c r="K49" s="31">
        <f>IF(ISNUMBER(H49),H49,IF(ISNUMBER(M49),M49-WEEKDAY(M49,2)+1-7,""))</f>
        <v/>
      </c>
      <c r="L49" s="31">
        <f>IF(ISNUMBER(I49),I49,IF(ISNUMBER(H49),WORKDAY(H49,SprintWorkingDays-1),IF(ISNUMBER(K49),WORKDAY(K49,SprintWorkingDays-1),"")))</f>
        <v/>
      </c>
      <c r="M49" s="31">
        <f>IF(ISNUMBER(J49),J49,IF(ISNUMBER(I49),I49-IF(OR(WEEKDAY(I49,2)=2,WEEKDAY(I49,2)=4),0,IF(WEEKDAY(I49,2)=3,1,IF(WEEKDAY(I49,2)=1,4,WEEKDAY(I49,2)-4))),IF(ISNUMBER(H49),WORKDAY(H49,SprintWorkingDays-1)-IF(OR(WEEKDAY(WORKDAY(H49,SprintWorkingDays-1),2)=2,WEEKDAY(WORKDAY(H49,SprintWorkingDays-1),2)=4),0,IF(WEEKDAY(WORKDAY(H49,SprintWorkingDays-1),2)=3,1,IF(WEEKDAY(WORKDAY(H49,SprintWorkingDays-1),2)=1,4,WEEKDAY(WORKDAY(H49,SprintWorkingDays-1),2)-4))),"")))</f>
        <v/>
      </c>
      <c r="N49" s="31">
        <f>IF(NOT(ISNUMBER(K49)),"",WORKDAY(K49,ReadyOffsetWD))</f>
        <v/>
      </c>
      <c r="O49" s="31">
        <f>IF(NOT(ISNUMBER(K49)),"",WORKDAY(K49,SprintReadinessOffsetWD))</f>
        <v/>
      </c>
      <c r="P49" s="29" t="n"/>
      <c r="Q49" s="31">
        <f>IF(NOT(ISNUMBER(T49)),"",WORKDAY(T49,RTSKOffsetFromOUR_WD))</f>
        <v/>
      </c>
      <c r="R49" s="32" t="n"/>
      <c r="S49" s="29" t="n"/>
      <c r="T49" s="31">
        <f>IF(NOT(ISNUMBER(W49)),"",WORKDAY(W49,OUROffsetFromSR_WD))</f>
        <v/>
      </c>
      <c r="U49" s="32" t="n"/>
      <c r="V49" s="29" t="n"/>
      <c r="W49" s="31">
        <f>IF(NOT(ISNUMBER(K49)),"",WORKDAY(K49,SROffsetFromStartWD))</f>
        <v/>
      </c>
      <c r="X49" s="32" t="n"/>
      <c r="Y49" s="29" t="n"/>
      <c r="Z49" s="29" t="n"/>
      <c r="AA49" s="31">
        <f>IF(ISNUMBER(Q49),Q49,"")</f>
        <v/>
      </c>
      <c r="AB49" s="32" t="n"/>
      <c r="AC49" s="29" t="n"/>
      <c r="AD49" s="29" t="n"/>
      <c r="AE49" s="29" t="n"/>
      <c r="AF49" s="29" t="n"/>
      <c r="AG49" s="31">
        <f>IF(NOT(ISNUMBER(Q49)),"",Q49)</f>
        <v/>
      </c>
      <c r="AH49" s="32" t="n"/>
      <c r="AI49" s="29" t="n"/>
      <c r="AJ49" s="31">
        <f>IF(NOT(ISNUMBER(T49)),"",T49)</f>
        <v/>
      </c>
      <c r="AK49" s="32" t="n"/>
      <c r="AL49" s="29" t="n"/>
      <c r="AM49" s="31">
        <f>IF(NOT(ISNUMBER(W49)),"",W49)</f>
        <v/>
      </c>
      <c r="AN49" s="32" t="n"/>
      <c r="AO49" s="29" t="n"/>
      <c r="AP49" s="29" t="n"/>
      <c r="AQ49" s="31">
        <f>IF(ISNUMBER(AG49),AG49,"")</f>
        <v/>
      </c>
      <c r="AR49" s="32" t="n"/>
      <c r="AS49" s="29" t="n"/>
      <c r="AT49" s="29" t="n"/>
      <c r="AU49" s="29" t="n"/>
      <c r="AV49" s="29" t="n"/>
      <c r="AW49" s="31">
        <f>IF(NOT(ISNUMBER(Q49)),"",Q49)</f>
        <v/>
      </c>
      <c r="AX49" s="32" t="n"/>
      <c r="AY49" s="29" t="n"/>
      <c r="AZ49" s="31">
        <f>IF(NOT(ISNUMBER(T49)),"",T49)</f>
        <v/>
      </c>
      <c r="BA49" s="32" t="n"/>
      <c r="BB49" s="29" t="n"/>
      <c r="BC49" s="31">
        <f>IF(NOT(ISNUMBER(W49)),"",W49)</f>
        <v/>
      </c>
      <c r="BD49" s="32" t="n"/>
      <c r="BE49" s="29" t="n"/>
      <c r="BF49" s="29" t="n"/>
      <c r="BG49" s="31">
        <f>IF(ISNUMBER(AW49),AW49,"")</f>
        <v/>
      </c>
      <c r="BH49" s="32" t="n"/>
      <c r="BI49" s="29" t="n"/>
      <c r="BJ49" s="29" t="n"/>
      <c r="BK49" s="29" t="n"/>
      <c r="BL49" s="29" t="n"/>
      <c r="BM49" s="31">
        <f>IF(OR(NOT(ISNUMBER(M49)),AND(WEEKDAY(M49,2)&lt;&gt;2,WEEKDAY(M49,2)&lt;&gt;4)),"",WORKDAY(M49,CABOffsetFromReleaseWD))</f>
        <v/>
      </c>
      <c r="BN49" s="29" t="n"/>
      <c r="BO49" s="31">
        <f>IF(NOT(ISNUMBER(BM49)),"",IF(WEEKDAY(BM49-CodeReviewCalendarDays,2)&gt;5,BM49-CodeReviewCalendarDays-(WEEKDAY(BM49-CodeReviewCalendarDays,2)-5),BM49-CodeReviewCalendarDays))</f>
        <v/>
      </c>
      <c r="BP49" s="29" t="n"/>
      <c r="BQ49" s="31">
        <f>IF(NOT(ISNUMBER(BO49)),"",IF(WEEKDAY(BO49-CodeReviewInviteCalendarDays,2)&gt;5,BO49-CodeReviewInviteCalendarDays-(WEEKDAY(BO49-CodeReviewInviteCalendarDays,2)-5),BO49-CodeReviewInviteCalendarDays))</f>
        <v/>
      </c>
      <c r="BR49" s="29" t="n"/>
      <c r="BS49" s="29" t="n"/>
      <c r="BT49" s="30">
        <f>IF(A49="","",IF(IF(AND(ISNUMBER(J49),WEEKDAY(J49,2)&lt;&gt;2,WEEKDAY(J49,2)&lt;&gt;4)," | Release must be Tuesday or Thursday","")&amp;IF(AND(ISNUMBER(H49),WEEKDAY(H49,2)&lt;&gt;1)," | Sprint Start is not a Monday - dates still calculated from the date entered","")&amp;IF(AND(A49&lt;&gt;"",NOT(ISNUMBER(H49)),NOT(ISNUMBER(J49)))," | Enter Sprint Start or Release Date","")&amp;IF(AND(ISNUMBER(F49),F49&lt;TODAY(),D49&lt;&gt;"Completed")," | One or more raise-by dates are in the past and not completed","")&amp;IF(AND(ISNUMBER(K49),K49-TODAY()&lt;SprintWarningDays,K49&gt;=TODAY(),OR(D49="Yet to start",D49="Blocked"))," | Sprint starts in under 10 days - raise access requests now","")&amp;IF(AND(ISNUMBER(BQ49),BR49&lt;&gt;"Completed",BQ49-TODAY()&lt;CodeReviewInviteCalendarDays)," | Code Review invite should be sent at least 4 days before Code Review","")="","",MID(IF(AND(ISNUMBER(J49),WEEKDAY(J49,2)&lt;&gt;2,WEEKDAY(J49,2)&lt;&gt;4)," | Release must be Tuesday or Thursday","")&amp;IF(AND(ISNUMBER(H49),WEEKDAY(H49,2)&lt;&gt;1)," | Sprint Start is not a Monday - dates still calculated from the date entered","")&amp;IF(AND(A49&lt;&gt;"",NOT(ISNUMBER(H49)),NOT(ISNUMBER(J49)))," | Enter Sprint Start or Release Date","")&amp;IF(AND(ISNUMBER(F49),F49&lt;TODAY(),D49&lt;&gt;"Completed")," | One or more raise-by dates are in the past and not completed","")&amp;IF(AND(ISNUMBER(K49),K49-TODAY()&lt;SprintWarningDays,K49&gt;=TODAY(),OR(D49="Yet to start",D49="Blocked"))," | Sprint starts in under 10 days - raise access requests now","")&amp;IF(AND(ISNUMBER(BQ49),BR49&lt;&gt;"Completed",BQ49-TODAY()&lt;CodeReviewInviteCalendarDays)," | Code Review invite should be sent at least 4 days before Code Review",""),4,500)))</f>
        <v/>
      </c>
      <c r="BU49">
        <f>IF(AND(ISNUMBER(Q49),S49&lt;&gt;"Completed"),Q49,"")</f>
        <v/>
      </c>
      <c r="BV49">
        <f>IF(AND(ISNUMBER(T49),V49&lt;&gt;"Completed"),T49,"")</f>
        <v/>
      </c>
      <c r="BW49">
        <f>IF(AND(ISNUMBER(W49),Y49&lt;&gt;"Completed"),W49,"")</f>
        <v/>
      </c>
      <c r="BX49">
        <f>IF(AND(ISNUMBER(AA49),AC49&lt;&gt;"Completed"),AA49,"")</f>
        <v/>
      </c>
      <c r="BY49">
        <f>IF(AND(ISNUMBER(AG49),AI49&lt;&gt;"Completed"),AG49,"")</f>
        <v/>
      </c>
      <c r="BZ49">
        <f>IF(AND(ISNUMBER(AJ49),AL49&lt;&gt;"Completed"),AJ49,"")</f>
        <v/>
      </c>
      <c r="CA49">
        <f>IF(AND(ISNUMBER(AM49),AO49&lt;&gt;"Completed"),AM49,"")</f>
        <v/>
      </c>
      <c r="CB49">
        <f>IF(AND(ISNUMBER(AQ49),AS49&lt;&gt;"Completed"),AQ49,"")</f>
        <v/>
      </c>
      <c r="CC49">
        <f>IF(AND(ISNUMBER(AW49),AY49&lt;&gt;"Completed"),AW49,"")</f>
        <v/>
      </c>
      <c r="CD49">
        <f>IF(AND(ISNUMBER(AZ49),BB49&lt;&gt;"Completed"),AZ49,"")</f>
        <v/>
      </c>
      <c r="CE49">
        <f>IF(AND(ISNUMBER(BC49),BE49&lt;&gt;"Completed"),BC49,"")</f>
        <v/>
      </c>
      <c r="CF49">
        <f>IF(AND(ISNUMBER(BG49),BI49&lt;&gt;"Completed"),BG49,"")</f>
        <v/>
      </c>
      <c r="CG49">
        <f>IF(AND(ISNUMBER(O49),P49&lt;&gt;"Completed"),O49,"")</f>
        <v/>
      </c>
      <c r="CH49">
        <f>IF(AND(ISNUMBER(BQ49),BR49&lt;&gt;"Completed"),BQ49,"")</f>
        <v/>
      </c>
      <c r="CI49">
        <f>IF(AND(ISNUMBER(BO49),BP49&lt;&gt;"Completed"),BO49,"")</f>
        <v/>
      </c>
      <c r="CJ49">
        <f>IF(AND(ISNUMBER(BM49),BN49&lt;&gt;"Completed"),BM49,"")</f>
        <v/>
      </c>
      <c r="CK49">
        <f>IF(OR(A49="",D49="Completed"),"",IF(N(G49)&gt;0,1/(N(G49)+ROW()/100000),IF(ISNUMBER(F49),1000+F49+ROW()/100000,TODAY()+400+ROW()/100000)))</f>
        <v/>
      </c>
    </row>
    <row r="50" ht="16" customHeight="1" s="39">
      <c r="A50" s="29" t="inlineStr">
        <is>
          <t>EDDS_REL</t>
        </is>
      </c>
      <c r="B50" s="29" t="inlineStr">
        <is>
          <t>Sandeep &lt;sgodi@randomtrees.com&gt;</t>
        </is>
      </c>
      <c r="C50" s="29" t="inlineStr">
        <is>
          <t>Sprint 21</t>
        </is>
      </c>
      <c r="D50" s="30">
        <f>IF(A50="","",IF(((S50="Blocked")+(V50="Blocked")+(Y50="Blocked")+(AC50="Blocked")+(AI50="Blocked")+(AL50="Blocked")+(AO50="Blocked")+(AS50="Blocked")+(AY50="Blocked")+(BB50="Blocked")+(BE50="Blocked")+(BI50="Blocked")+(P50="Blocked")+(BN50="Blocked")+(BP50="Blocked")+(BR50="Blocked")+(BS50="Blocked"))&gt;0,"Blocked",IF((ISNUMBER(Q50)+ISNUMBER(T50)+ISNUMBER(W50)+ISNUMBER(AA50)+ISNUMBER(AG50)+ISNUMBER(AJ50)+ISNUMBER(AM50)+ISNUMBER(AQ50)+ISNUMBER(AW50)+ISNUMBER(AZ50)+ISNUMBER(BC50)+ISNUMBER(BG50)+ISNUMBER(O50)+ISNUMBER(BM50)+ISNUMBER(BO50)+ISNUMBER(BQ50))=0,"Yet to start",IF(AND(OR(NOT(ISNUMBER(Q50)),S50="Completed"),OR(NOT(ISNUMBER(T50)),V50="Completed"),OR(NOT(ISNUMBER(W50)),Y50="Completed"),OR(NOT(ISNUMBER(AA50)),AC50="Completed"),OR(NOT(ISNUMBER(AG50)),AI50="Completed"),OR(NOT(ISNUMBER(AJ50)),AL50="Completed"),OR(NOT(ISNUMBER(AM50)),AO50="Completed"),OR(NOT(ISNUMBER(AQ50)),AS50="Completed"),OR(NOT(ISNUMBER(AW50)),AY50="Completed"),OR(NOT(ISNUMBER(AZ50)),BB50="Completed"),OR(NOT(ISNUMBER(BC50)),BE50="Completed"),OR(NOT(ISNUMBER(BG50)),BI50="Completed"),OR(NOT(ISNUMBER(O50)),P50="Completed"),OR(NOT(ISNUMBER(BM50)),BN50="Completed"),OR(NOT(ISNUMBER(BO50)),BP50="Completed"),OR(NOT(ISNUMBER(BQ50)),BR50="Completed"),BS50="Completed"),"Completed",IF(((S50="In Progress")+(V50="In Progress")+(Y50="In Progress")+(AC50="In Progress")+(AI50="In Progress")+(AL50="In Progress")+(AO50="In Progress")+(AS50="In Progress")+(AY50="In Progress")+(BB50="In Progress")+(BE50="In Progress")+(BI50="In Progress")+(P50="In Progress")+(BN50="In Progress")+(BP50="In Progress")+(BR50="In Progress")+(BS50="In Progress"))&gt;0,"In Progress","Yet to start")))))</f>
        <v/>
      </c>
      <c r="E50" s="30">
        <f>IF(A50="","",IF(F50="","All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Review","CAB"},MATCH(F50,BU50:CJ50,0))))</f>
        <v/>
      </c>
      <c r="F50" s="31">
        <f>IF(A50="","",IF(COUNT(BU50:CJ50)=0,"",MIN(BU50:CJ50)))</f>
        <v/>
      </c>
      <c r="G50" s="30">
        <f>IF(A50="","",MAX(0,IF(AND(ISNUMBER(Q50),S50&lt;&gt;"Completed",Q50&lt;TODAY()),TODAY()-Q50,0),IF(AND(ISNUMBER(T50),V50&lt;&gt;"Completed",T50&lt;TODAY()),TODAY()-T50,0),IF(AND(ISNUMBER(W50),Y50&lt;&gt;"Completed",W50&lt;TODAY()),TODAY()-W50,0),IF(AND(ISNUMBER(AA50),AC50&lt;&gt;"Completed",AA50&lt;TODAY()),TODAY()-AA50,0),IF(AND(ISNUMBER(AG50),AI50&lt;&gt;"Completed",AG50&lt;TODAY()),TODAY()-AG50,0),IF(AND(ISNUMBER(AJ50),AL50&lt;&gt;"Completed",AJ50&lt;TODAY()),TODAY()-AJ50,0),IF(AND(ISNUMBER(AM50),AO50&lt;&gt;"Completed",AM50&lt;TODAY()),TODAY()-AM50,0),IF(AND(ISNUMBER(AQ50),AS50&lt;&gt;"Completed",AQ50&lt;TODAY()),TODAY()-AQ50,0),IF(AND(ISNUMBER(AW50),AY50&lt;&gt;"Completed",AW50&lt;TODAY()),TODAY()-AW50,0),IF(AND(ISNUMBER(AZ50),BB50&lt;&gt;"Completed",AZ50&lt;TODAY()),TODAY()-AZ50,0),IF(AND(ISNUMBER(BC50),BE50&lt;&gt;"Completed",BC50&lt;TODAY()),TODAY()-BC50,0),IF(AND(ISNUMBER(BG50),BI50&lt;&gt;"Completed",BG50&lt;TODAY()),TODAY()-BG50,0),IF(AND(ISNUMBER(O50),P50&lt;&gt;"Completed",O50&lt;TODAY()),TODAY()-O50,0),IF(AND(ISNUMBER(BQ50),BR50&lt;&gt;"Completed",BQ50&lt;TODAY()),TODAY()-BQ50,0),IF(AND(ISNUMBER(BO50),BP50&lt;&gt;"Completed",BO50&lt;TODAY()),TODAY()-BO50,0),IF(AND(ISNUMBER(BM50),BN50&lt;&gt;"Completed",BM50&lt;TODAY()),TODAY()-BM50,0)))</f>
        <v/>
      </c>
      <c r="H50" s="32" t="n">
        <v>46288</v>
      </c>
      <c r="I50" s="32" t="n">
        <v>46301</v>
      </c>
      <c r="J50" s="32" t="n"/>
      <c r="K50" s="31">
        <f>IF(ISNUMBER(H50),H50,IF(ISNUMBER(M50),M50-WEEKDAY(M50,2)+1-7,""))</f>
        <v/>
      </c>
      <c r="L50" s="31">
        <f>IF(ISNUMBER(I50),I50,IF(ISNUMBER(H50),WORKDAY(H50,SprintWorkingDays-1),IF(ISNUMBER(K50),WORKDAY(K50,SprintWorkingDays-1),"")))</f>
        <v/>
      </c>
      <c r="M50" s="31">
        <f>IF(ISNUMBER(J50),J50,IF(ISNUMBER(I50),I50-IF(OR(WEEKDAY(I50,2)=2,WEEKDAY(I50,2)=4),0,IF(WEEKDAY(I50,2)=3,1,IF(WEEKDAY(I50,2)=1,4,WEEKDAY(I50,2)-4))),IF(ISNUMBER(H50),WORKDAY(H50,SprintWorkingDays-1)-IF(OR(WEEKDAY(WORKDAY(H50,SprintWorkingDays-1),2)=2,WEEKDAY(WORKDAY(H50,SprintWorkingDays-1),2)=4),0,IF(WEEKDAY(WORKDAY(H50,SprintWorkingDays-1),2)=3,1,IF(WEEKDAY(WORKDAY(H50,SprintWorkingDays-1),2)=1,4,WEEKDAY(WORKDAY(H50,SprintWorkingDays-1),2)-4))),"")))</f>
        <v/>
      </c>
      <c r="N50" s="31">
        <f>IF(NOT(ISNUMBER(K50)),"",WORKDAY(K50,ReadyOffsetWD))</f>
        <v/>
      </c>
      <c r="O50" s="31">
        <f>IF(NOT(ISNUMBER(K50)),"",WORKDAY(K50,SprintReadinessOffsetWD))</f>
        <v/>
      </c>
      <c r="P50" s="29" t="n"/>
      <c r="Q50" s="31">
        <f>IF(NOT(ISNUMBER(T50)),"",WORKDAY(T50,RTSKOffsetFromOUR_WD))</f>
        <v/>
      </c>
      <c r="R50" s="32" t="n"/>
      <c r="S50" s="29" t="n"/>
      <c r="T50" s="31">
        <f>IF(NOT(ISNUMBER(W50)),"",WORKDAY(W50,OUROffsetFromSR_WD))</f>
        <v/>
      </c>
      <c r="U50" s="32" t="n"/>
      <c r="V50" s="29" t="n"/>
      <c r="W50" s="31">
        <f>IF(NOT(ISNUMBER(K50)),"",WORKDAY(K50,SROffsetFromStartWD))</f>
        <v/>
      </c>
      <c r="X50" s="32" t="n"/>
      <c r="Y50" s="29" t="n"/>
      <c r="Z50" s="29" t="n"/>
      <c r="AA50" s="31">
        <f>IF(ISNUMBER(Q50),Q50,"")</f>
        <v/>
      </c>
      <c r="AB50" s="32" t="n"/>
      <c r="AC50" s="29" t="n"/>
      <c r="AD50" s="29" t="n"/>
      <c r="AE50" s="29" t="n"/>
      <c r="AF50" s="29" t="n"/>
      <c r="AG50" s="31">
        <f>IF(NOT(ISNUMBER(Q50)),"",Q50)</f>
        <v/>
      </c>
      <c r="AH50" s="32" t="n"/>
      <c r="AI50" s="29" t="n"/>
      <c r="AJ50" s="31">
        <f>IF(NOT(ISNUMBER(T50)),"",T50)</f>
        <v/>
      </c>
      <c r="AK50" s="32" t="n"/>
      <c r="AL50" s="29" t="n"/>
      <c r="AM50" s="31">
        <f>IF(NOT(ISNUMBER(W50)),"",W50)</f>
        <v/>
      </c>
      <c r="AN50" s="32" t="n"/>
      <c r="AO50" s="29" t="n"/>
      <c r="AP50" s="29" t="n"/>
      <c r="AQ50" s="31">
        <f>IF(ISNUMBER(AG50),AG50,"")</f>
        <v/>
      </c>
      <c r="AR50" s="32" t="n"/>
      <c r="AS50" s="29" t="n"/>
      <c r="AT50" s="29" t="n"/>
      <c r="AU50" s="29" t="n"/>
      <c r="AV50" s="29" t="n"/>
      <c r="AW50" s="31">
        <f>IF(NOT(ISNUMBER(Q50)),"",Q50)</f>
        <v/>
      </c>
      <c r="AX50" s="32" t="n"/>
      <c r="AY50" s="29" t="n"/>
      <c r="AZ50" s="31">
        <f>IF(NOT(ISNUMBER(T50)),"",T50)</f>
        <v/>
      </c>
      <c r="BA50" s="32" t="n"/>
      <c r="BB50" s="29" t="n"/>
      <c r="BC50" s="31">
        <f>IF(NOT(ISNUMBER(W50)),"",W50)</f>
        <v/>
      </c>
      <c r="BD50" s="32" t="n"/>
      <c r="BE50" s="29" t="n"/>
      <c r="BF50" s="29" t="n"/>
      <c r="BG50" s="31">
        <f>IF(ISNUMBER(AW50),AW50,"")</f>
        <v/>
      </c>
      <c r="BH50" s="32" t="n"/>
      <c r="BI50" s="29" t="n"/>
      <c r="BJ50" s="29" t="n"/>
      <c r="BK50" s="29" t="n"/>
      <c r="BL50" s="29" t="n"/>
      <c r="BM50" s="31">
        <f>IF(OR(NOT(ISNUMBER(M50)),AND(WEEKDAY(M50,2)&lt;&gt;2,WEEKDAY(M50,2)&lt;&gt;4)),"",WORKDAY(M50,CABOffsetFromReleaseWD))</f>
        <v/>
      </c>
      <c r="BN50" s="29" t="n"/>
      <c r="BO50" s="31">
        <f>IF(NOT(ISNUMBER(BM50)),"",IF(WEEKDAY(BM50-CodeReviewCalendarDays,2)&gt;5,BM50-CodeReviewCalendarDays-(WEEKDAY(BM50-CodeReviewCalendarDays,2)-5),BM50-CodeReviewCalendarDays))</f>
        <v/>
      </c>
      <c r="BP50" s="29" t="n"/>
      <c r="BQ50" s="31">
        <f>IF(NOT(ISNUMBER(BO50)),"",IF(WEEKDAY(BO50-CodeReviewInviteCalendarDays,2)&gt;5,BO50-CodeReviewInviteCalendarDays-(WEEKDAY(BO50-CodeReviewInviteCalendarDays,2)-5),BO50-CodeReviewInviteCalendarDays))</f>
        <v/>
      </c>
      <c r="BR50" s="29" t="n"/>
      <c r="BS50" s="29" t="n"/>
      <c r="BT50" s="30">
        <f>IF(A50="","",IF(IF(AND(ISNUMBER(J50),WEEKDAY(J50,2)&lt;&gt;2,WEEKDAY(J50,2)&lt;&gt;4)," | Release must be Tuesday or Thursday","")&amp;IF(AND(ISNUMBER(H50),WEEKDAY(H50,2)&lt;&gt;1)," | Sprint Start is not a Monday - dates still calculated from the date entered","")&amp;IF(AND(A50&lt;&gt;"",NOT(ISNUMBER(H50)),NOT(ISNUMBER(J50)))," | Enter Sprint Start or Release Date","")&amp;IF(AND(ISNUMBER(F50),F50&lt;TODAY(),D50&lt;&gt;"Completed")," | One or more raise-by dates are in the past and not completed","")&amp;IF(AND(ISNUMBER(K50),K50-TODAY()&lt;SprintWarningDays,K50&gt;=TODAY(),OR(D50="Yet to start",D50="Blocked"))," | Sprint starts in under 10 days - raise access requests now","")&amp;IF(AND(ISNUMBER(BQ50),BR50&lt;&gt;"Completed",BQ50-TODAY()&lt;CodeReviewInviteCalendarDays)," | Code Review invite should be sent at least 4 days before Code Review","")="","",MID(IF(AND(ISNUMBER(J50),WEEKDAY(J50,2)&lt;&gt;2,WEEKDAY(J50,2)&lt;&gt;4)," | Release must be Tuesday or Thursday","")&amp;IF(AND(ISNUMBER(H50),WEEKDAY(H50,2)&lt;&gt;1)," | Sprint Start is not a Monday - dates still calculated from the date entered","")&amp;IF(AND(A50&lt;&gt;"",NOT(ISNUMBER(H50)),NOT(ISNUMBER(J50)))," | Enter Sprint Start or Release Date","")&amp;IF(AND(ISNUMBER(F50),F50&lt;TODAY(),D50&lt;&gt;"Completed")," | One or more raise-by dates are in the past and not completed","")&amp;IF(AND(ISNUMBER(K50),K50-TODAY()&lt;SprintWarningDays,K50&gt;=TODAY(),OR(D50="Yet to start",D50="Blocked"))," | Sprint starts in under 10 days - raise access requests now","")&amp;IF(AND(ISNUMBER(BQ50),BR50&lt;&gt;"Completed",BQ50-TODAY()&lt;CodeReviewInviteCalendarDays)," | Code Review invite should be sent at least 4 days before Code Review",""),4,500)))</f>
        <v/>
      </c>
      <c r="BU50">
        <f>IF(AND(ISNUMBER(Q50),S50&lt;&gt;"Completed"),Q50,"")</f>
        <v/>
      </c>
      <c r="BV50">
        <f>IF(AND(ISNUMBER(T50),V50&lt;&gt;"Completed"),T50,"")</f>
        <v/>
      </c>
      <c r="BW50">
        <f>IF(AND(ISNUMBER(W50),Y50&lt;&gt;"Completed"),W50,"")</f>
        <v/>
      </c>
      <c r="BX50">
        <f>IF(AND(ISNUMBER(AA50),AC50&lt;&gt;"Completed"),AA50,"")</f>
        <v/>
      </c>
      <c r="BY50">
        <f>IF(AND(ISNUMBER(AG50),AI50&lt;&gt;"Completed"),AG50,"")</f>
        <v/>
      </c>
      <c r="BZ50">
        <f>IF(AND(ISNUMBER(AJ50),AL50&lt;&gt;"Completed"),AJ50,"")</f>
        <v/>
      </c>
      <c r="CA50">
        <f>IF(AND(ISNUMBER(AM50),AO50&lt;&gt;"Completed"),AM50,"")</f>
        <v/>
      </c>
      <c r="CB50">
        <f>IF(AND(ISNUMBER(AQ50),AS50&lt;&gt;"Completed"),AQ50,"")</f>
        <v/>
      </c>
      <c r="CC50">
        <f>IF(AND(ISNUMBER(AW50),AY50&lt;&gt;"Completed"),AW50,"")</f>
        <v/>
      </c>
      <c r="CD50">
        <f>IF(AND(ISNUMBER(AZ50),BB50&lt;&gt;"Completed"),AZ50,"")</f>
        <v/>
      </c>
      <c r="CE50">
        <f>IF(AND(ISNUMBER(BC50),BE50&lt;&gt;"Completed"),BC50,"")</f>
        <v/>
      </c>
      <c r="CF50">
        <f>IF(AND(ISNUMBER(BG50),BI50&lt;&gt;"Completed"),BG50,"")</f>
        <v/>
      </c>
      <c r="CG50">
        <f>IF(AND(ISNUMBER(O50),P50&lt;&gt;"Completed"),O50,"")</f>
        <v/>
      </c>
      <c r="CH50">
        <f>IF(AND(ISNUMBER(BQ50),BR50&lt;&gt;"Completed"),BQ50,"")</f>
        <v/>
      </c>
      <c r="CI50">
        <f>IF(AND(ISNUMBER(BO50),BP50&lt;&gt;"Completed"),BO50,"")</f>
        <v/>
      </c>
      <c r="CJ50">
        <f>IF(AND(ISNUMBER(BM50),BN50&lt;&gt;"Completed"),BM50,"")</f>
        <v/>
      </c>
      <c r="CK50">
        <f>IF(OR(A50="",D50="Completed"),"",IF(N(G50)&gt;0,1/(N(G50)+ROW()/100000),IF(ISNUMBER(F50),1000+F50+ROW()/100000,TODAY()+400+ROW()/100000)))</f>
        <v/>
      </c>
    </row>
    <row r="51" ht="16" customHeight="1" s="39">
      <c r="A51" s="29" t="inlineStr">
        <is>
          <t>PDS</t>
        </is>
      </c>
      <c r="B51" s="29" t="inlineStr">
        <is>
          <t>Ragavendhar &lt;aragavendhar@randomtrees.com&gt;</t>
        </is>
      </c>
      <c r="C51" s="29" t="inlineStr">
        <is>
          <t>Sprint 21</t>
        </is>
      </c>
      <c r="D51" s="30">
        <f>IF(A51="","",IF(((S51="Blocked")+(V51="Blocked")+(Y51="Blocked")+(AC51="Blocked")+(AI51="Blocked")+(AL51="Blocked")+(AO51="Blocked")+(AS51="Blocked")+(AY51="Blocked")+(BB51="Blocked")+(BE51="Blocked")+(BI51="Blocked")+(P51="Blocked")+(BN51="Blocked")+(BP51="Blocked")+(BR51="Blocked")+(BS51="Blocked"))&gt;0,"Blocked",IF((ISNUMBER(Q51)+ISNUMBER(T51)+ISNUMBER(W51)+ISNUMBER(AA51)+ISNUMBER(AG51)+ISNUMBER(AJ51)+ISNUMBER(AM51)+ISNUMBER(AQ51)+ISNUMBER(AW51)+ISNUMBER(AZ51)+ISNUMBER(BC51)+ISNUMBER(BG51)+ISNUMBER(O51)+ISNUMBER(BM51)+ISNUMBER(BO51)+ISNUMBER(BQ51))=0,"Yet to start",IF(AND(OR(NOT(ISNUMBER(Q51)),S51="Completed"),OR(NOT(ISNUMBER(T51)),V51="Completed"),OR(NOT(ISNUMBER(W51)),Y51="Completed"),OR(NOT(ISNUMBER(AA51)),AC51="Completed"),OR(NOT(ISNUMBER(AG51)),AI51="Completed"),OR(NOT(ISNUMBER(AJ51)),AL51="Completed"),OR(NOT(ISNUMBER(AM51)),AO51="Completed"),OR(NOT(ISNUMBER(AQ51)),AS51="Completed"),OR(NOT(ISNUMBER(AW51)),AY51="Completed"),OR(NOT(ISNUMBER(AZ51)),BB51="Completed"),OR(NOT(ISNUMBER(BC51)),BE51="Completed"),OR(NOT(ISNUMBER(BG51)),BI51="Completed"),OR(NOT(ISNUMBER(O51)),P51="Completed"),OR(NOT(ISNUMBER(BM51)),BN51="Completed"),OR(NOT(ISNUMBER(BO51)),BP51="Completed"),OR(NOT(ISNUMBER(BQ51)),BR51="Completed"),BS51="Completed"),"Completed",IF(((S51="In Progress")+(V51="In Progress")+(Y51="In Progress")+(AC51="In Progress")+(AI51="In Progress")+(AL51="In Progress")+(AO51="In Progress")+(AS51="In Progress")+(AY51="In Progress")+(BB51="In Progress")+(BE51="In Progress")+(BI51="In Progress")+(P51="In Progress")+(BN51="In Progress")+(BP51="In Progress")+(BR51="In Progress")+(BS51="In Progress"))&gt;0,"In Progress","Yet to start")))))</f>
        <v/>
      </c>
      <c r="E51" s="30">
        <f>IF(A51="","",IF(F51="","All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Review","CAB"},MATCH(F51,BU51:CJ51,0))))</f>
        <v/>
      </c>
      <c r="F51" s="31">
        <f>IF(A51="","",IF(COUNT(BU51:CJ51)=0,"",MIN(BU51:CJ51)))</f>
        <v/>
      </c>
      <c r="G51" s="30">
        <f>IF(A51="","",MAX(0,IF(AND(ISNUMBER(Q51),S51&lt;&gt;"Completed",Q51&lt;TODAY()),TODAY()-Q51,0),IF(AND(ISNUMBER(T51),V51&lt;&gt;"Completed",T51&lt;TODAY()),TODAY()-T51,0),IF(AND(ISNUMBER(W51),Y51&lt;&gt;"Completed",W51&lt;TODAY()),TODAY()-W51,0),IF(AND(ISNUMBER(AA51),AC51&lt;&gt;"Completed",AA51&lt;TODAY()),TODAY()-AA51,0),IF(AND(ISNUMBER(AG51),AI51&lt;&gt;"Completed",AG51&lt;TODAY()),TODAY()-AG51,0),IF(AND(ISNUMBER(AJ51),AL51&lt;&gt;"Completed",AJ51&lt;TODAY()),TODAY()-AJ51,0),IF(AND(ISNUMBER(AM51),AO51&lt;&gt;"Completed",AM51&lt;TODAY()),TODAY()-AM51,0),IF(AND(ISNUMBER(AQ51),AS51&lt;&gt;"Completed",AQ51&lt;TODAY()),TODAY()-AQ51,0),IF(AND(ISNUMBER(AW51),AY51&lt;&gt;"Completed",AW51&lt;TODAY()),TODAY()-AW51,0),IF(AND(ISNUMBER(AZ51),BB51&lt;&gt;"Completed",AZ51&lt;TODAY()),TODAY()-AZ51,0),IF(AND(ISNUMBER(BC51),BE51&lt;&gt;"Completed",BC51&lt;TODAY()),TODAY()-BC51,0),IF(AND(ISNUMBER(BG51),BI51&lt;&gt;"Completed",BG51&lt;TODAY()),TODAY()-BG51,0),IF(AND(ISNUMBER(O51),P51&lt;&gt;"Completed",O51&lt;TODAY()),TODAY()-O51,0),IF(AND(ISNUMBER(BQ51),BR51&lt;&gt;"Completed",BQ51&lt;TODAY()),TODAY()-BQ51,0),IF(AND(ISNUMBER(BO51),BP51&lt;&gt;"Completed",BO51&lt;TODAY()),TODAY()-BO51,0),IF(AND(ISNUMBER(BM51),BN51&lt;&gt;"Completed",BM51&lt;TODAY()),TODAY()-BM51,0)))</f>
        <v/>
      </c>
      <c r="H51" s="32" t="n">
        <v>46288</v>
      </c>
      <c r="I51" s="32" t="n">
        <v>46301</v>
      </c>
      <c r="J51" s="32" t="n"/>
      <c r="K51" s="31">
        <f>IF(ISNUMBER(H51),H51,IF(ISNUMBER(M51),M51-WEEKDAY(M51,2)+1-7,""))</f>
        <v/>
      </c>
      <c r="L51" s="31">
        <f>IF(ISNUMBER(I51),I51,IF(ISNUMBER(H51),WORKDAY(H51,SprintWorkingDays-1),IF(ISNUMBER(K51),WORKDAY(K51,SprintWorkingDays-1),"")))</f>
        <v/>
      </c>
      <c r="M51" s="31">
        <f>IF(ISNUMBER(J51),J51,IF(ISNUMBER(I51),I51-IF(OR(WEEKDAY(I51,2)=2,WEEKDAY(I51,2)=4),0,IF(WEEKDAY(I51,2)=3,1,IF(WEEKDAY(I51,2)=1,4,WEEKDAY(I51,2)-4))),IF(ISNUMBER(H51),WORKDAY(H51,SprintWorkingDays-1)-IF(OR(WEEKDAY(WORKDAY(H51,SprintWorkingDays-1),2)=2,WEEKDAY(WORKDAY(H51,SprintWorkingDays-1),2)=4),0,IF(WEEKDAY(WORKDAY(H51,SprintWorkingDays-1),2)=3,1,IF(WEEKDAY(WORKDAY(H51,SprintWorkingDays-1),2)=1,4,WEEKDAY(WORKDAY(H51,SprintWorkingDays-1),2)-4))),"")))</f>
        <v/>
      </c>
      <c r="N51" s="31">
        <f>IF(NOT(ISNUMBER(K51)),"",WORKDAY(K51,ReadyOffsetWD))</f>
        <v/>
      </c>
      <c r="O51" s="31">
        <f>IF(NOT(ISNUMBER(K51)),"",WORKDAY(K51,SprintReadinessOffsetWD))</f>
        <v/>
      </c>
      <c r="P51" s="29" t="n"/>
      <c r="Q51" s="31">
        <f>IF(NOT(ISNUMBER(T51)),"",WORKDAY(T51,RTSKOffsetFromOUR_WD))</f>
        <v/>
      </c>
      <c r="R51" s="32" t="n"/>
      <c r="S51" s="29" t="n"/>
      <c r="T51" s="31">
        <f>IF(NOT(ISNUMBER(W51)),"",WORKDAY(W51,OUROffsetFromSR_WD))</f>
        <v/>
      </c>
      <c r="U51" s="32" t="n"/>
      <c r="V51" s="29" t="n"/>
      <c r="W51" s="31">
        <f>IF(NOT(ISNUMBER(K51)),"",WORKDAY(K51,SROffsetFromStartWD))</f>
        <v/>
      </c>
      <c r="X51" s="32" t="n"/>
      <c r="Y51" s="29" t="n"/>
      <c r="Z51" s="29" t="n"/>
      <c r="AA51" s="31">
        <f>IF(ISNUMBER(Q51),Q51,"")</f>
        <v/>
      </c>
      <c r="AB51" s="32" t="n"/>
      <c r="AC51" s="29" t="n"/>
      <c r="AD51" s="29" t="n"/>
      <c r="AE51" s="29" t="n"/>
      <c r="AF51" s="29" t="n"/>
      <c r="AG51" s="31">
        <f>IF(NOT(ISNUMBER(Q51)),"",Q51)</f>
        <v/>
      </c>
      <c r="AH51" s="32" t="n"/>
      <c r="AI51" s="29" t="n"/>
      <c r="AJ51" s="31">
        <f>IF(NOT(ISNUMBER(T51)),"",T51)</f>
        <v/>
      </c>
      <c r="AK51" s="32" t="n"/>
      <c r="AL51" s="29" t="n"/>
      <c r="AM51" s="31">
        <f>IF(NOT(ISNUMBER(W51)),"",W51)</f>
        <v/>
      </c>
      <c r="AN51" s="32" t="n"/>
      <c r="AO51" s="29" t="n"/>
      <c r="AP51" s="29" t="n"/>
      <c r="AQ51" s="31">
        <f>IF(ISNUMBER(AG51),AG51,"")</f>
        <v/>
      </c>
      <c r="AR51" s="32" t="n"/>
      <c r="AS51" s="29" t="n"/>
      <c r="AT51" s="29" t="n"/>
      <c r="AU51" s="29" t="n"/>
      <c r="AV51" s="29" t="n"/>
      <c r="AW51" s="31">
        <f>IF(NOT(ISNUMBER(Q51)),"",Q51)</f>
        <v/>
      </c>
      <c r="AX51" s="32" t="n"/>
      <c r="AY51" s="29" t="n"/>
      <c r="AZ51" s="31">
        <f>IF(NOT(ISNUMBER(T51)),"",T51)</f>
        <v/>
      </c>
      <c r="BA51" s="32" t="n"/>
      <c r="BB51" s="29" t="n"/>
      <c r="BC51" s="31">
        <f>IF(NOT(ISNUMBER(W51)),"",W51)</f>
        <v/>
      </c>
      <c r="BD51" s="32" t="n"/>
      <c r="BE51" s="29" t="n"/>
      <c r="BF51" s="29" t="n"/>
      <c r="BG51" s="31">
        <f>IF(ISNUMBER(AW51),AW51,"")</f>
        <v/>
      </c>
      <c r="BH51" s="32" t="n"/>
      <c r="BI51" s="29" t="n"/>
      <c r="BJ51" s="29" t="n"/>
      <c r="BK51" s="29" t="n"/>
      <c r="BL51" s="29" t="n"/>
      <c r="BM51" s="31">
        <f>IF(OR(NOT(ISNUMBER(M51)),AND(WEEKDAY(M51,2)&lt;&gt;2,WEEKDAY(M51,2)&lt;&gt;4)),"",WORKDAY(M51,CABOffsetFromReleaseWD))</f>
        <v/>
      </c>
      <c r="BN51" s="29" t="n"/>
      <c r="BO51" s="31">
        <f>IF(NOT(ISNUMBER(BM51)),"",IF(WEEKDAY(BM51-CodeReviewCalendarDays,2)&gt;5,BM51-CodeReviewCalendarDays-(WEEKDAY(BM51-CodeReviewCalendarDays,2)-5),BM51-CodeReviewCalendarDays))</f>
        <v/>
      </c>
      <c r="BP51" s="29" t="n"/>
      <c r="BQ51" s="31">
        <f>IF(NOT(ISNUMBER(BO51)),"",IF(WEEKDAY(BO51-CodeReviewInviteCalendarDays,2)&gt;5,BO51-CodeReviewInviteCalendarDays-(WEEKDAY(BO51-CodeReviewInviteCalendarDays,2)-5),BO51-CodeReviewInviteCalendarDays))</f>
        <v/>
      </c>
      <c r="BR51" s="29" t="n"/>
      <c r="BS51" s="29" t="n"/>
      <c r="BT51" s="30">
        <f>IF(A51="","",IF(IF(AND(ISNUMBER(J51),WEEKDAY(J51,2)&lt;&gt;2,WEEKDAY(J51,2)&lt;&gt;4)," | Release must be Tuesday or Thursday","")&amp;IF(AND(ISNUMBER(H51),WEEKDAY(H51,2)&lt;&gt;1)," | Sprint Start is not a Monday - dates still calculated from the date entered","")&amp;IF(AND(A51&lt;&gt;"",NOT(ISNUMBER(H51)),NOT(ISNUMBER(J51)))," | Enter Sprint Start or Release Date","")&amp;IF(AND(ISNUMBER(F51),F51&lt;TODAY(),D51&lt;&gt;"Completed")," | One or more raise-by dates are in the past and not completed","")&amp;IF(AND(ISNUMBER(K51),K51-TODAY()&lt;SprintWarningDays,K51&gt;=TODAY(),OR(D51="Yet to start",D51="Blocked"))," | Sprint starts in under 10 days - raise access requests now","")&amp;IF(AND(ISNUMBER(BQ51),BR51&lt;&gt;"Completed",BQ51-TODAY()&lt;CodeReviewInviteCalendarDays)," | Code Review invite should be sent at least 4 days before Code Review","")="","",MID(IF(AND(ISNUMBER(J51),WEEKDAY(J51,2)&lt;&gt;2,WEEKDAY(J51,2)&lt;&gt;4)," | Release must be Tuesday or Thursday","")&amp;IF(AND(ISNUMBER(H51),WEEKDAY(H51,2)&lt;&gt;1)," | Sprint Start is not a Monday - dates still calculated from the date entered","")&amp;IF(AND(A51&lt;&gt;"",NOT(ISNUMBER(H51)),NOT(ISNUMBER(J51)))," | Enter Sprint Start or Release Date","")&amp;IF(AND(ISNUMBER(F51),F51&lt;TODAY(),D51&lt;&gt;"Completed")," | One or more raise-by dates are in the past and not completed","")&amp;IF(AND(ISNUMBER(K51),K51-TODAY()&lt;SprintWarningDays,K51&gt;=TODAY(),OR(D51="Yet to start",D51="Blocked"))," | Sprint starts in under 10 days - raise access requests now","")&amp;IF(AND(ISNUMBER(BQ51),BR51&lt;&gt;"Completed",BQ51-TODAY()&lt;CodeReviewInviteCalendarDays)," | Code Review invite should be sent at least 4 days before Code Review",""),4,500)))</f>
        <v/>
      </c>
      <c r="BU51">
        <f>IF(AND(ISNUMBER(Q51),S51&lt;&gt;"Completed"),Q51,"")</f>
        <v/>
      </c>
      <c r="BV51">
        <f>IF(AND(ISNUMBER(T51),V51&lt;&gt;"Completed"),T51,"")</f>
        <v/>
      </c>
      <c r="BW51">
        <f>IF(AND(ISNUMBER(W51),Y51&lt;&gt;"Completed"),W51,"")</f>
        <v/>
      </c>
      <c r="BX51">
        <f>IF(AND(ISNUMBER(AA51),AC51&lt;&gt;"Completed"),AA51,"")</f>
        <v/>
      </c>
      <c r="BY51">
        <f>IF(AND(ISNUMBER(AG51),AI51&lt;&gt;"Completed"),AG51,"")</f>
        <v/>
      </c>
      <c r="BZ51">
        <f>IF(AND(ISNUMBER(AJ51),AL51&lt;&gt;"Completed"),AJ51,"")</f>
        <v/>
      </c>
      <c r="CA51">
        <f>IF(AND(ISNUMBER(AM51),AO51&lt;&gt;"Completed"),AM51,"")</f>
        <v/>
      </c>
      <c r="CB51">
        <f>IF(AND(ISNUMBER(AQ51),AS51&lt;&gt;"Completed"),AQ51,"")</f>
        <v/>
      </c>
      <c r="CC51">
        <f>IF(AND(ISNUMBER(AW51),AY51&lt;&gt;"Completed"),AW51,"")</f>
        <v/>
      </c>
      <c r="CD51">
        <f>IF(AND(ISNUMBER(AZ51),BB51&lt;&gt;"Completed"),AZ51,"")</f>
        <v/>
      </c>
      <c r="CE51">
        <f>IF(AND(ISNUMBER(BC51),BE51&lt;&gt;"Completed"),BC51,"")</f>
        <v/>
      </c>
      <c r="CF51">
        <f>IF(AND(ISNUMBER(BG51),BI51&lt;&gt;"Completed"),BG51,"")</f>
        <v/>
      </c>
      <c r="CG51">
        <f>IF(AND(ISNUMBER(O51),P51&lt;&gt;"Completed"),O51,"")</f>
        <v/>
      </c>
      <c r="CH51">
        <f>IF(AND(ISNUMBER(BQ51),BR51&lt;&gt;"Completed"),BQ51,"")</f>
        <v/>
      </c>
      <c r="CI51">
        <f>IF(AND(ISNUMBER(BO51),BP51&lt;&gt;"Completed"),BO51,"")</f>
        <v/>
      </c>
      <c r="CJ51">
        <f>IF(AND(ISNUMBER(BM51),BN51&lt;&gt;"Completed"),BM51,"")</f>
        <v/>
      </c>
      <c r="CK51">
        <f>IF(OR(A51="",D51="Completed"),"",IF(N(G51)&gt;0,1/(N(G51)+ROW()/100000),IF(ISNUMBER(F51),1000+F51+ROW()/100000,TODAY()+400+ROW()/100000)))</f>
        <v/>
      </c>
    </row>
    <row r="52" ht="16" customHeight="1" s="39">
      <c r="A52" s="29" t="inlineStr">
        <is>
          <t>DER</t>
        </is>
      </c>
      <c r="B52" s="29" t="inlineStr">
        <is>
          <t>Vidhesha &lt;vkumaran@randomtrees.com&gt;</t>
        </is>
      </c>
      <c r="C52" s="29" t="inlineStr">
        <is>
          <t>Sprint 21</t>
        </is>
      </c>
      <c r="D52" s="30">
        <f>IF(A52="","",IF(((S52="Blocked")+(V52="Blocked")+(Y52="Blocked")+(AC52="Blocked")+(AI52="Blocked")+(AL52="Blocked")+(AO52="Blocked")+(AS52="Blocked")+(AY52="Blocked")+(BB52="Blocked")+(BE52="Blocked")+(BI52="Blocked")+(P52="Blocked")+(BN52="Blocked")+(BP52="Blocked")+(BR52="Blocked")+(BS52="Blocked"))&gt;0,"Blocked",IF((ISNUMBER(Q52)+ISNUMBER(T52)+ISNUMBER(W52)+ISNUMBER(AA52)+ISNUMBER(AG52)+ISNUMBER(AJ52)+ISNUMBER(AM52)+ISNUMBER(AQ52)+ISNUMBER(AW52)+ISNUMBER(AZ52)+ISNUMBER(BC52)+ISNUMBER(BG52)+ISNUMBER(O52)+ISNUMBER(BM52)+ISNUMBER(BO52)+ISNUMBER(BQ52))=0,"Yet to start",IF(AND(OR(NOT(ISNUMBER(Q52)),S52="Completed"),OR(NOT(ISNUMBER(T52)),V52="Completed"),OR(NOT(ISNUMBER(W52)),Y52="Completed"),OR(NOT(ISNUMBER(AA52)),AC52="Completed"),OR(NOT(ISNUMBER(AG52)),AI52="Completed"),OR(NOT(ISNUMBER(AJ52)),AL52="Completed"),OR(NOT(ISNUMBER(AM52)),AO52="Completed"),OR(NOT(ISNUMBER(AQ52)),AS52="Completed"),OR(NOT(ISNUMBER(AW52)),AY52="Completed"),OR(NOT(ISNUMBER(AZ52)),BB52="Completed"),OR(NOT(ISNUMBER(BC52)),BE52="Completed"),OR(NOT(ISNUMBER(BG52)),BI52="Completed"),OR(NOT(ISNUMBER(O52)),P52="Completed"),OR(NOT(ISNUMBER(BM52)),BN52="Completed"),OR(NOT(ISNUMBER(BO52)),BP52="Completed"),OR(NOT(ISNUMBER(BQ52)),BR52="Completed"),BS52="Completed"),"Completed",IF(((S52="In Progress")+(V52="In Progress")+(Y52="In Progress")+(AC52="In Progress")+(AI52="In Progress")+(AL52="In Progress")+(AO52="In Progress")+(AS52="In Progress")+(AY52="In Progress")+(BB52="In Progress")+(BE52="In Progress")+(BI52="In Progress")+(P52="In Progress")+(BN52="In Progress")+(BP52="In Progress")+(BR52="In Progress")+(BS52="In Progress"))&gt;0,"In Progress","Yet to start")))))</f>
        <v/>
      </c>
      <c r="E52" s="30">
        <f>IF(A52="","",IF(F52="","All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Review","CAB"},MATCH(F52,BU52:CJ52,0))))</f>
        <v/>
      </c>
      <c r="F52" s="31">
        <f>IF(A52="","",IF(COUNT(BU52:CJ52)=0,"",MIN(BU52:CJ52)))</f>
        <v/>
      </c>
      <c r="G52" s="30">
        <f>IF(A52="","",MAX(0,IF(AND(ISNUMBER(Q52),S52&lt;&gt;"Completed",Q52&lt;TODAY()),TODAY()-Q52,0),IF(AND(ISNUMBER(T52),V52&lt;&gt;"Completed",T52&lt;TODAY()),TODAY()-T52,0),IF(AND(ISNUMBER(W52),Y52&lt;&gt;"Completed",W52&lt;TODAY()),TODAY()-W52,0),IF(AND(ISNUMBER(AA52),AC52&lt;&gt;"Completed",AA52&lt;TODAY()),TODAY()-AA52,0),IF(AND(ISNUMBER(AG52),AI52&lt;&gt;"Completed",AG52&lt;TODAY()),TODAY()-AG52,0),IF(AND(ISNUMBER(AJ52),AL52&lt;&gt;"Completed",AJ52&lt;TODAY()),TODAY()-AJ52,0),IF(AND(ISNUMBER(AM52),AO52&lt;&gt;"Completed",AM52&lt;TODAY()),TODAY()-AM52,0),IF(AND(ISNUMBER(AQ52),AS52&lt;&gt;"Completed",AQ52&lt;TODAY()),TODAY()-AQ52,0),IF(AND(ISNUMBER(AW52),AY52&lt;&gt;"Completed",AW52&lt;TODAY()),TODAY()-AW52,0),IF(AND(ISNUMBER(AZ52),BB52&lt;&gt;"Completed",AZ52&lt;TODAY()),TODAY()-AZ52,0),IF(AND(ISNUMBER(BC52),BE52&lt;&gt;"Completed",BC52&lt;TODAY()),TODAY()-BC52,0),IF(AND(ISNUMBER(BG52),BI52&lt;&gt;"Completed",BG52&lt;TODAY()),TODAY()-BG52,0),IF(AND(ISNUMBER(O52),P52&lt;&gt;"Completed",O52&lt;TODAY()),TODAY()-O52,0),IF(AND(ISNUMBER(BQ52),BR52&lt;&gt;"Completed",BQ52&lt;TODAY()),TODAY()-BQ52,0),IF(AND(ISNUMBER(BO52),BP52&lt;&gt;"Completed",BO52&lt;TODAY()),TODAY()-BO52,0),IF(AND(ISNUMBER(BM52),BN52&lt;&gt;"Completed",BM52&lt;TODAY()),TODAY()-BM52,0)))</f>
        <v/>
      </c>
      <c r="H52" s="32" t="n">
        <v>46288</v>
      </c>
      <c r="I52" s="32" t="n">
        <v>46301</v>
      </c>
      <c r="J52" s="32" t="n"/>
      <c r="K52" s="31">
        <f>IF(ISNUMBER(H52),H52,IF(ISNUMBER(M52),M52-WEEKDAY(M52,2)+1-7,""))</f>
        <v/>
      </c>
      <c r="L52" s="31">
        <f>IF(ISNUMBER(I52),I52,IF(ISNUMBER(H52),WORKDAY(H52,SprintWorkingDays-1),IF(ISNUMBER(K52),WORKDAY(K52,SprintWorkingDays-1),"")))</f>
        <v/>
      </c>
      <c r="M52" s="31">
        <f>IF(ISNUMBER(J52),J52,IF(ISNUMBER(I52),I52-IF(OR(WEEKDAY(I52,2)=2,WEEKDAY(I52,2)=4),0,IF(WEEKDAY(I52,2)=52,1,IF(WEEKDAY(I52,2)=1,4,WEEKDAY(I52,2)-4))),IF(ISNUMBER(H52),WORKDAY(H52,SprintWorkingDays-1)-IF(OR(WEEKDAY(WORKDAY(H52,SprintWorkingDays-1),2)=2,WEEKDAY(WORKDAY(H52,SprintWorkingDays-1),2)=4),0,IF(WEEKDAY(WORKDAY(H52,SprintWorkingDays-1),2)=52,1,IF(WEEKDAY(WORKDAY(H52,SprintWorkingDays-1),2)=1,4,WEEKDAY(WORKDAY(H52,SprintWorkingDays-1),2)-4))),"")))</f>
        <v/>
      </c>
      <c r="N52" s="31">
        <f>IF(NOT(ISNUMBER(K52)),"",WORKDAY(K52,ReadyOffsetWD))</f>
        <v/>
      </c>
      <c r="O52" s="31">
        <f>IF(NOT(ISNUMBER(K52)),"",WORKDAY(K52,SprintReadinessOffsetWD))</f>
        <v/>
      </c>
      <c r="P52" s="29" t="n"/>
      <c r="Q52" s="31">
        <f>IF(NOT(ISNUMBER(T52)),"",WORKDAY(T52,RTSKOffsetFromOUR_WD))</f>
        <v/>
      </c>
      <c r="R52" s="32" t="n"/>
      <c r="S52" s="29" t="n"/>
      <c r="T52" s="31">
        <f>IF(NOT(ISNUMBER(W52)),"",WORKDAY(W52,OUROffsetFromSR_WD))</f>
        <v/>
      </c>
      <c r="U52" s="32" t="n"/>
      <c r="V52" s="29" t="n"/>
      <c r="W52" s="31">
        <f>IF(NOT(ISNUMBER(K52)),"",WORKDAY(K52,SROffsetFromStartWD))</f>
        <v/>
      </c>
      <c r="X52" s="32" t="n"/>
      <c r="Y52" s="29" t="n"/>
      <c r="Z52" s="29" t="n"/>
      <c r="AA52" s="31">
        <f>IF(ISNUMBER(Q52),Q52,"")</f>
        <v/>
      </c>
      <c r="AB52" s="32" t="n"/>
      <c r="AC52" s="29" t="n"/>
      <c r="AD52" s="29" t="n"/>
      <c r="AE52" s="29" t="n"/>
      <c r="AF52" s="29" t="n"/>
      <c r="AG52" s="31">
        <f>IF(NOT(ISNUMBER(Q52)),"",Q52)</f>
        <v/>
      </c>
      <c r="AH52" s="32" t="n"/>
      <c r="AI52" s="29" t="n"/>
      <c r="AJ52" s="31">
        <f>IF(NOT(ISNUMBER(T52)),"",T52)</f>
        <v/>
      </c>
      <c r="AK52" s="32" t="n"/>
      <c r="AL52" s="29" t="n"/>
      <c r="AM52" s="31">
        <f>IF(NOT(ISNUMBER(W52)),"",W52)</f>
        <v/>
      </c>
      <c r="AN52" s="32" t="n"/>
      <c r="AO52" s="29" t="n"/>
      <c r="AP52" s="29" t="n"/>
      <c r="AQ52" s="31">
        <f>IF(ISNUMBER(AG52),AG52,"")</f>
        <v/>
      </c>
      <c r="AR52" s="32" t="n"/>
      <c r="AS52" s="29" t="n"/>
      <c r="AT52" s="29" t="n"/>
      <c r="AU52" s="29" t="n"/>
      <c r="AV52" s="29" t="n"/>
      <c r="AW52" s="31">
        <f>IF(NOT(ISNUMBER(Q52)),"",Q52)</f>
        <v/>
      </c>
      <c r="AX52" s="32" t="n"/>
      <c r="AY52" s="29" t="n"/>
      <c r="AZ52" s="31">
        <f>IF(NOT(ISNUMBER(T52)),"",T52)</f>
        <v/>
      </c>
      <c r="BA52" s="32" t="n"/>
      <c r="BB52" s="29" t="n"/>
      <c r="BC52" s="31">
        <f>IF(NOT(ISNUMBER(W52)),"",W52)</f>
        <v/>
      </c>
      <c r="BD52" s="32" t="n"/>
      <c r="BE52" s="29" t="n"/>
      <c r="BF52" s="29" t="n"/>
      <c r="BG52" s="31">
        <f>IF(ISNUMBER(AW52),AW52,"")</f>
        <v/>
      </c>
      <c r="BH52" s="32" t="n"/>
      <c r="BI52" s="29" t="n"/>
      <c r="BJ52" s="29" t="n"/>
      <c r="BK52" s="29" t="n"/>
      <c r="BL52" s="29" t="n"/>
      <c r="BM52" s="31">
        <f>IF(OR(NOT(ISNUMBER(M52)),AND(WEEKDAY(M52,2)&lt;&gt;2,WEEKDAY(M52,2)&lt;&gt;4)),"",WORKDAY(M52,CABOffsetFromReleaseWD))</f>
        <v/>
      </c>
      <c r="BN52" s="29" t="n"/>
      <c r="BO52" s="31">
        <f>IF(NOT(ISNUMBER(BM52)),"",IF(WEEKDAY(BM52-CodeReviewCalendarDays,2)&gt;5,BM52-CodeReviewCalendarDays-(WEEKDAY(BM52-CodeReviewCalendarDays,2)-5),BM52-CodeReviewCalendarDays))</f>
        <v/>
      </c>
      <c r="BP52" s="29" t="n"/>
      <c r="BQ52" s="31">
        <f>IF(NOT(ISNUMBER(BO52)),"",IF(WEEKDAY(BO52-CodeReviewInviteCalendarDays,2)&gt;5,BO52-CodeReviewInviteCalendarDays-(WEEKDAY(BO52-CodeReviewInviteCalendarDays,2)-5),BO52-CodeReviewInviteCalendarDays))</f>
        <v/>
      </c>
      <c r="BR52" s="29" t="n"/>
      <c r="BS52" s="29" t="n"/>
      <c r="BT52" s="30">
        <f>IF(A52="","",IF(IF(AND(ISNUMBER(J52),WEEKDAY(J52,2)&lt;&gt;2,WEEKDAY(J52,2)&lt;&gt;4)," | Release must be Tuesday or Thursday","")&amp;IF(AND(ISNUMBER(H52),WEEKDAY(H52,2)&lt;&gt;1)," | Sprint Start is not a Monday - dates still calculated from the date entered","")&amp;IF(AND(A52&lt;&gt;"",NOT(ISNUMBER(H52)),NOT(ISNUMBER(J52)))," | Enter Sprint Start or Release Date","")&amp;IF(AND(ISNUMBER(F52),F52&lt;TODAY(),D52&lt;&gt;"Completed")," | One or more raise-by dates are in the past and not completed","")&amp;IF(AND(ISNUMBER(K52),K52-TODAY()&lt;SprintWarningDays,K52&gt;=TODAY(),OR(D52="Yet to start",D52="Blocked"))," | Sprint starts in under 10 days - raise access requests now","")&amp;IF(AND(ISNUMBER(BQ52),BR52&lt;&gt;"Completed",BQ52-TODAY()&lt;CodeReviewInviteCalendarDays)," | Code Review invite should be sent at least 4 days before Code Review","")="","",MID(IF(AND(ISNUMBER(J52),WEEKDAY(J52,2)&lt;&gt;2,WEEKDAY(J52,2)&lt;&gt;4)," | Release must be Tuesday or Thursday","")&amp;IF(AND(ISNUMBER(H52),WEEKDAY(H52,2)&lt;&gt;1)," | Sprint Start is not a Monday - dates still calculated from the date entered","")&amp;IF(AND(A52&lt;&gt;"",NOT(ISNUMBER(H52)),NOT(ISNUMBER(J52)))," | Enter Sprint Start or Release Date","")&amp;IF(AND(ISNUMBER(F52),F52&lt;TODAY(),D52&lt;&gt;"Completed")," | One or more raise-by dates are in the past and not completed","")&amp;IF(AND(ISNUMBER(K52),K52-TODAY()&lt;SprintWarningDays,K52&gt;=TODAY(),OR(D52="Yet to start",D52="Blocked"))," | Sprint starts in under 10 days - raise access requests now","")&amp;IF(AND(ISNUMBER(BQ52),BR52&lt;&gt;"Completed",BQ52-TODAY()&lt;CodeReviewInviteCalendarDays)," | Code Review invite should be sent at least 4 days before Code Review",""),4,500)))</f>
        <v/>
      </c>
      <c r="BU52" s="26">
        <f>IF(AND(ISNUMBER(Q52),S52&lt;&gt;"Completed"),Q52,"")</f>
        <v/>
      </c>
      <c r="BV52" s="26">
        <f>IF(AND(ISNUMBER(T52),V52&lt;&gt;"Completed"),T52,"")</f>
        <v/>
      </c>
      <c r="BW52" s="26">
        <f>IF(AND(ISNUMBER(W52),Y52&lt;&gt;"Completed"),W52,"")</f>
        <v/>
      </c>
      <c r="BX52" s="26">
        <f>IF(AND(ISNUMBER(AA52),AC52&lt;&gt;"Completed"),AA52,"")</f>
        <v/>
      </c>
      <c r="BY52" s="26">
        <f>IF(AND(ISNUMBER(AG52),AI52&lt;&gt;"Completed"),AG52,"")</f>
        <v/>
      </c>
      <c r="BZ52" s="26">
        <f>IF(AND(ISNUMBER(AJ52),AL52&lt;&gt;"Completed"),AJ52,"")</f>
        <v/>
      </c>
      <c r="CA52" s="26">
        <f>IF(AND(ISNUMBER(AM52),AO52&lt;&gt;"Completed"),AM52,"")</f>
        <v/>
      </c>
      <c r="CB52" s="26">
        <f>IF(AND(ISNUMBER(AQ52),AS52&lt;&gt;"Completed"),AQ52,"")</f>
        <v/>
      </c>
      <c r="CC52" s="26">
        <f>IF(AND(ISNUMBER(AW52),AY52&lt;&gt;"Completed"),AW52,"")</f>
        <v/>
      </c>
      <c r="CD52" s="26">
        <f>IF(AND(ISNUMBER(AZ52),BB52&lt;&gt;"Completed"),AZ52,"")</f>
        <v/>
      </c>
      <c r="CE52" s="26">
        <f>IF(AND(ISNUMBER(BC52),BE52&lt;&gt;"Completed"),BC52,"")</f>
        <v/>
      </c>
      <c r="CF52" s="26">
        <f>IF(AND(ISNUMBER(BG52),BI52&lt;&gt;"Completed"),BG52,"")</f>
        <v/>
      </c>
      <c r="CG52" s="26">
        <f>IF(AND(ISNUMBER(O52),P52&lt;&gt;"Completed"),O52,"")</f>
        <v/>
      </c>
      <c r="CH52" s="26">
        <f>IF(AND(ISNUMBER(BQ52),BR52&lt;&gt;"Completed"),BQ52,"")</f>
        <v/>
      </c>
      <c r="CI52" s="26">
        <f>IF(AND(ISNUMBER(BO52),BP52&lt;&gt;"Completed"),BO52,"")</f>
        <v/>
      </c>
      <c r="CJ52" s="26">
        <f>IF(AND(ISNUMBER(BM52),BN52&lt;&gt;"Completed"),BM52,"")</f>
        <v/>
      </c>
      <c r="CK52" s="26">
        <f>IF(OR(A52="",D52="Completed"),"",IF(N(G52)&gt;0,1/(N(G52)+ROW()/100000),IF(ISNUMBER(F52),1000+F52+ROW()/100000,TODAY()+400+ROW()/100000)))</f>
        <v/>
      </c>
    </row>
    <row r="53" ht="16" customHeight="1" s="39">
      <c r="A53" s="29" t="inlineStr">
        <is>
          <t>MYACCESS</t>
        </is>
      </c>
      <c r="B53" s="29" t="inlineStr">
        <is>
          <t>Sharath &lt;Skotha1@randomtrees.com&gt;</t>
        </is>
      </c>
      <c r="C53" s="29" t="inlineStr">
        <is>
          <t>Sprint 21</t>
        </is>
      </c>
      <c r="D53" s="30">
        <f>IF(A53="","",IF(((S53="Blocked")+(V53="Blocked")+(Y53="Blocked")+(AC53="Blocked")+(AI53="Blocked")+(AL53="Blocked")+(AO53="Blocked")+(AS53="Blocked")+(AY53="Blocked")+(BB53="Blocked")+(BE53="Blocked")+(BI53="Blocked")+(P53="Blocked")+(BN53="Blocked")+(BP53="Blocked")+(BR53="Blocked")+(BS53="Blocked"))&gt;0,"Blocked",IF((ISNUMBER(Q53)+ISNUMBER(T53)+ISNUMBER(W53)+ISNUMBER(AA53)+ISNUMBER(AG53)+ISNUMBER(AJ53)+ISNUMBER(AM53)+ISNUMBER(AQ53)+ISNUMBER(AW53)+ISNUMBER(AZ53)+ISNUMBER(BC53)+ISNUMBER(BG53)+ISNUMBER(O53)+ISNUMBER(BM53)+ISNUMBER(BO53)+ISNUMBER(BQ53))=0,"Yet to start",IF(AND(OR(NOT(ISNUMBER(Q53)),S53="Completed"),OR(NOT(ISNUMBER(T53)),V53="Completed"),OR(NOT(ISNUMBER(W53)),Y53="Completed"),OR(NOT(ISNUMBER(AA53)),AC53="Completed"),OR(NOT(ISNUMBER(AG53)),AI53="Completed"),OR(NOT(ISNUMBER(AJ53)),AL53="Completed"),OR(NOT(ISNUMBER(AM53)),AO53="Completed"),OR(NOT(ISNUMBER(AQ53)),AS53="Completed"),OR(NOT(ISNUMBER(AW53)),AY53="Completed"),OR(NOT(ISNUMBER(AZ53)),BB53="Completed"),OR(NOT(ISNUMBER(BC53)),BE53="Completed"),OR(NOT(ISNUMBER(BG53)),BI53="Completed"),OR(NOT(ISNUMBER(O53)),P53="Completed"),OR(NOT(ISNUMBER(BM53)),BN53="Completed"),OR(NOT(ISNUMBER(BO53)),BP53="Completed"),OR(NOT(ISNUMBER(BQ53)),BR53="Completed"),BS53="Completed"),"Completed",IF(((S53="In Progress")+(V53="In Progress")+(Y53="In Progress")+(AC53="In Progress")+(AI53="In Progress")+(AL53="In Progress")+(AO53="In Progress")+(AS53="In Progress")+(AY53="In Progress")+(BB53="In Progress")+(BE53="In Progress")+(BI53="In Progress")+(P53="In Progress")+(BN53="In Progress")+(BP53="In Progress")+(BR53="In Progress")+(BS53="In Progress"))&gt;0,"In Progress","Yet to start")))))</f>
        <v/>
      </c>
      <c r="E53" s="30">
        <f>IF(A53="","",IF(F53="","All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Review","CAB"},MATCH(F53,BU53:CJ53,0))))</f>
        <v/>
      </c>
      <c r="F53" s="31">
        <f>IF(A53="","",IF(COUNT(BU53:CJ53)=0,"",MIN(BU53:CJ53)))</f>
        <v/>
      </c>
      <c r="G53" s="30">
        <f>IF(A53="","",MAX(0,IF(AND(ISNUMBER(Q53),S53&lt;&gt;"Completed",Q53&lt;TODAY()),TODAY()-Q53,0),IF(AND(ISNUMBER(T53),V53&lt;&gt;"Completed",T53&lt;TODAY()),TODAY()-T53,0),IF(AND(ISNUMBER(W53),Y53&lt;&gt;"Completed",W53&lt;TODAY()),TODAY()-W53,0),IF(AND(ISNUMBER(AA53),AC53&lt;&gt;"Completed",AA53&lt;TODAY()),TODAY()-AA53,0),IF(AND(ISNUMBER(AG53),AI53&lt;&gt;"Completed",AG53&lt;TODAY()),TODAY()-AG53,0),IF(AND(ISNUMBER(AJ53),AL53&lt;&gt;"Completed",AJ53&lt;TODAY()),TODAY()-AJ53,0),IF(AND(ISNUMBER(AM53),AO53&lt;&gt;"Completed",AM53&lt;TODAY()),TODAY()-AM53,0),IF(AND(ISNUMBER(AQ53),AS53&lt;&gt;"Completed",AQ53&lt;TODAY()),TODAY()-AQ53,0),IF(AND(ISNUMBER(AW53),AY53&lt;&gt;"Completed",AW53&lt;TODAY()),TODAY()-AW53,0),IF(AND(ISNUMBER(AZ53),BB53&lt;&gt;"Completed",AZ53&lt;TODAY()),TODAY()-AZ53,0),IF(AND(ISNUMBER(BC53),BE53&lt;&gt;"Completed",BC53&lt;TODAY()),TODAY()-BC53,0),IF(AND(ISNUMBER(BG53),BI53&lt;&gt;"Completed",BG53&lt;TODAY()),TODAY()-BG53,0),IF(AND(ISNUMBER(O53),P53&lt;&gt;"Completed",O53&lt;TODAY()),TODAY()-O53,0),IF(AND(ISNUMBER(BQ53),BR53&lt;&gt;"Completed",BQ53&lt;TODAY()),TODAY()-BQ53,0),IF(AND(ISNUMBER(BO53),BP53&lt;&gt;"Completed",BO53&lt;TODAY()),TODAY()-BO53,0),IF(AND(ISNUMBER(BM53),BN53&lt;&gt;"Completed",BM53&lt;TODAY()),TODAY()-BM53,0)))</f>
        <v/>
      </c>
      <c r="H53" s="32" t="n">
        <v>46288</v>
      </c>
      <c r="I53" s="32" t="n">
        <v>46301</v>
      </c>
      <c r="J53" s="32" t="n"/>
      <c r="K53" s="31">
        <f>IF(ISNUMBER(H53),H53,IF(ISNUMBER(M53),M53-WEEKDAY(M53,2)+1-7,""))</f>
        <v/>
      </c>
      <c r="L53" s="31">
        <f>IF(ISNUMBER(I53),I53,IF(ISNUMBER(H53),WORKDAY(H53,SprintWorkingDays-1),IF(ISNUMBER(K53),WORKDAY(K53,SprintWorkingDays-1),"")))</f>
        <v/>
      </c>
      <c r="M53" s="31">
        <f>IF(ISNUMBER(J53),J53,IF(ISNUMBER(I53),I53-IF(OR(WEEKDAY(I53,2)=2,WEEKDAY(I53,2)=4),0,IF(WEEKDAY(I53,2)=53,1,IF(WEEKDAY(I53,2)=1,4,WEEKDAY(I53,2)-4))),IF(ISNUMBER(H53),WORKDAY(H53,SprintWorkingDays-1)-IF(OR(WEEKDAY(WORKDAY(H53,SprintWorkingDays-1),2)=2,WEEKDAY(WORKDAY(H53,SprintWorkingDays-1),2)=4),0,IF(WEEKDAY(WORKDAY(H53,SprintWorkingDays-1),2)=53,1,IF(WEEKDAY(WORKDAY(H53,SprintWorkingDays-1),2)=1,4,WEEKDAY(WORKDAY(H53,SprintWorkingDays-1),2)-4))),"")))</f>
        <v/>
      </c>
      <c r="N53" s="31">
        <f>IF(NOT(ISNUMBER(K53)),"",WORKDAY(K53,ReadyOffsetWD))</f>
        <v/>
      </c>
      <c r="O53" s="31">
        <f>IF(NOT(ISNUMBER(K53)),"",WORKDAY(K53,SprintReadinessOffsetWD))</f>
        <v/>
      </c>
      <c r="P53" s="29" t="n"/>
      <c r="Q53" s="31">
        <f>IF(NOT(ISNUMBER(T53)),"",WORKDAY(T53,RTSKOffsetFromOUR_WD))</f>
        <v/>
      </c>
      <c r="R53" s="32" t="n"/>
      <c r="S53" s="29" t="n"/>
      <c r="T53" s="31">
        <f>IF(NOT(ISNUMBER(W53)),"",WORKDAY(W53,OUROffsetFromSR_WD))</f>
        <v/>
      </c>
      <c r="U53" s="32" t="n"/>
      <c r="V53" s="29" t="n"/>
      <c r="W53" s="31">
        <f>IF(NOT(ISNUMBER(K53)),"",WORKDAY(K53,SROffsetFromStartWD))</f>
        <v/>
      </c>
      <c r="X53" s="32" t="n"/>
      <c r="Y53" s="29" t="n"/>
      <c r="Z53" s="29" t="n"/>
      <c r="AA53" s="31">
        <f>IF(ISNUMBER(Q53),Q53,"")</f>
        <v/>
      </c>
      <c r="AB53" s="32" t="n"/>
      <c r="AC53" s="29" t="n"/>
      <c r="AD53" s="29" t="n"/>
      <c r="AE53" s="29" t="n"/>
      <c r="AF53" s="29" t="n"/>
      <c r="AG53" s="31">
        <f>IF(NOT(ISNUMBER(Q53)),"",Q53)</f>
        <v/>
      </c>
      <c r="AH53" s="32" t="n"/>
      <c r="AI53" s="29" t="n"/>
      <c r="AJ53" s="31">
        <f>IF(NOT(ISNUMBER(T53)),"",T53)</f>
        <v/>
      </c>
      <c r="AK53" s="32" t="n"/>
      <c r="AL53" s="29" t="n"/>
      <c r="AM53" s="31">
        <f>IF(NOT(ISNUMBER(W53)),"",W53)</f>
        <v/>
      </c>
      <c r="AN53" s="32" t="n"/>
      <c r="AO53" s="29" t="n"/>
      <c r="AP53" s="29" t="n"/>
      <c r="AQ53" s="31">
        <f>IF(ISNUMBER(AG53),AG53,"")</f>
        <v/>
      </c>
      <c r="AR53" s="32" t="n"/>
      <c r="AS53" s="29" t="n"/>
      <c r="AT53" s="29" t="n"/>
      <c r="AU53" s="29" t="n"/>
      <c r="AV53" s="29" t="n"/>
      <c r="AW53" s="31">
        <f>IF(NOT(ISNUMBER(Q53)),"",Q53)</f>
        <v/>
      </c>
      <c r="AX53" s="32" t="n"/>
      <c r="AY53" s="29" t="n"/>
      <c r="AZ53" s="31">
        <f>IF(NOT(ISNUMBER(T53)),"",T53)</f>
        <v/>
      </c>
      <c r="BA53" s="32" t="n"/>
      <c r="BB53" s="29" t="n"/>
      <c r="BC53" s="31">
        <f>IF(NOT(ISNUMBER(W53)),"",W53)</f>
        <v/>
      </c>
      <c r="BD53" s="32" t="n"/>
      <c r="BE53" s="29" t="n"/>
      <c r="BF53" s="29" t="n"/>
      <c r="BG53" s="31">
        <f>IF(ISNUMBER(AW53),AW53,"")</f>
        <v/>
      </c>
      <c r="BH53" s="32" t="n"/>
      <c r="BI53" s="29" t="n"/>
      <c r="BJ53" s="29" t="n"/>
      <c r="BK53" s="29" t="n"/>
      <c r="BL53" s="29" t="n"/>
      <c r="BM53" s="31">
        <f>IF(OR(NOT(ISNUMBER(M53)),AND(WEEKDAY(M53,2)&lt;&gt;2,WEEKDAY(M53,2)&lt;&gt;4)),"",WORKDAY(M53,CABOffsetFromReleaseWD))</f>
        <v/>
      </c>
      <c r="BN53" s="29" t="n"/>
      <c r="BO53" s="31">
        <f>IF(NOT(ISNUMBER(BM53)),"",IF(WEEKDAY(BM53-CodeReviewCalendarDays,2)&gt;5,BM53-CodeReviewCalendarDays-(WEEKDAY(BM53-CodeReviewCalendarDays,2)-5),BM53-CodeReviewCalendarDays))</f>
        <v/>
      </c>
      <c r="BP53" s="29" t="n"/>
      <c r="BQ53" s="31">
        <f>IF(NOT(ISNUMBER(BO53)),"",IF(WEEKDAY(BO53-CodeReviewInviteCalendarDays,2)&gt;5,BO53-CodeReviewInviteCalendarDays-(WEEKDAY(BO53-CodeReviewInviteCalendarDays,2)-5),BO53-CodeReviewInviteCalendarDays))</f>
        <v/>
      </c>
      <c r="BR53" s="29" t="n"/>
      <c r="BS53" s="29" t="n"/>
      <c r="BT53" s="30">
        <f>IF(A53="","",IF(IF(AND(ISNUMBER(J53),WEEKDAY(J53,2)&lt;&gt;2,WEEKDAY(J53,2)&lt;&gt;4)," | Release must be Tuesday or Thursday","")&amp;IF(AND(ISNUMBER(H53),WEEKDAY(H53,2)&lt;&gt;1)," | Sprint Start is not a Monday - dates still calculated from the date entered","")&amp;IF(AND(A53&lt;&gt;"",NOT(ISNUMBER(H53)),NOT(ISNUMBER(J53)))," | Enter Sprint Start or Release Date","")&amp;IF(AND(ISNUMBER(F53),F53&lt;TODAY(),D53&lt;&gt;"Completed")," | One or more raise-by dates are in the past and not completed","")&amp;IF(AND(ISNUMBER(K53),K53-TODAY()&lt;SprintWarningDays,K53&gt;=TODAY(),OR(D53="Yet to start",D53="Blocked"))," | Sprint starts in under 10 days - raise access requests now","")&amp;IF(AND(ISNUMBER(BQ53),BR53&lt;&gt;"Completed",BQ53-TODAY()&lt;CodeReviewInviteCalendarDays)," | Code Review invite should be sent at least 4 days before Code Review","")="","",MID(IF(AND(ISNUMBER(J53),WEEKDAY(J53,2)&lt;&gt;2,WEEKDAY(J53,2)&lt;&gt;4)," | Release must be Tuesday or Thursday","")&amp;IF(AND(ISNUMBER(H53),WEEKDAY(H53,2)&lt;&gt;1)," | Sprint Start is not a Monday - dates still calculated from the date entered","")&amp;IF(AND(A53&lt;&gt;"",NOT(ISNUMBER(H53)),NOT(ISNUMBER(J53)))," | Enter Sprint Start or Release Date","")&amp;IF(AND(ISNUMBER(F53),F53&lt;TODAY(),D53&lt;&gt;"Completed")," | One or more raise-by dates are in the past and not completed","")&amp;IF(AND(ISNUMBER(K53),K53-TODAY()&lt;SprintWarningDays,K53&gt;=TODAY(),OR(D53="Yet to start",D53="Blocked"))," | Sprint starts in under 10 days - raise access requests now","")&amp;IF(AND(ISNUMBER(BQ53),BR53&lt;&gt;"Completed",BQ53-TODAY()&lt;CodeReviewInviteCalendarDays)," | Code Review invite should be sent at least 4 days before Code Review",""),4,500)))</f>
        <v/>
      </c>
      <c r="BU53" s="26">
        <f>IF(AND(ISNUMBER(Q53),S53&lt;&gt;"Completed"),Q53,"")</f>
        <v/>
      </c>
      <c r="BV53" s="26">
        <f>IF(AND(ISNUMBER(T53),V53&lt;&gt;"Completed"),T53,"")</f>
        <v/>
      </c>
      <c r="BW53" s="26">
        <f>IF(AND(ISNUMBER(W53),Y53&lt;&gt;"Completed"),W53,"")</f>
        <v/>
      </c>
      <c r="BX53" s="26">
        <f>IF(AND(ISNUMBER(AA53),AC53&lt;&gt;"Completed"),AA53,"")</f>
        <v/>
      </c>
      <c r="BY53" s="26">
        <f>IF(AND(ISNUMBER(AG53),AI53&lt;&gt;"Completed"),AG53,"")</f>
        <v/>
      </c>
      <c r="BZ53" s="26">
        <f>IF(AND(ISNUMBER(AJ53),AL53&lt;&gt;"Completed"),AJ53,"")</f>
        <v/>
      </c>
      <c r="CA53" s="26">
        <f>IF(AND(ISNUMBER(AM53),AO53&lt;&gt;"Completed"),AM53,"")</f>
        <v/>
      </c>
      <c r="CB53" s="26">
        <f>IF(AND(ISNUMBER(AQ53),AS53&lt;&gt;"Completed"),AQ53,"")</f>
        <v/>
      </c>
      <c r="CC53" s="26">
        <f>IF(AND(ISNUMBER(AW53),AY53&lt;&gt;"Completed"),AW53,"")</f>
        <v/>
      </c>
      <c r="CD53" s="26">
        <f>IF(AND(ISNUMBER(AZ53),BB53&lt;&gt;"Completed"),AZ53,"")</f>
        <v/>
      </c>
      <c r="CE53" s="26">
        <f>IF(AND(ISNUMBER(BC53),BE53&lt;&gt;"Completed"),BC53,"")</f>
        <v/>
      </c>
      <c r="CF53" s="26">
        <f>IF(AND(ISNUMBER(BG53),BI53&lt;&gt;"Completed"),BG53,"")</f>
        <v/>
      </c>
      <c r="CG53" s="26">
        <f>IF(AND(ISNUMBER(O53),P53&lt;&gt;"Completed"),O53,"")</f>
        <v/>
      </c>
      <c r="CH53" s="26">
        <f>IF(AND(ISNUMBER(BQ53),BR53&lt;&gt;"Completed"),BQ53,"")</f>
        <v/>
      </c>
      <c r="CI53" s="26">
        <f>IF(AND(ISNUMBER(BO53),BP53&lt;&gt;"Completed"),BO53,"")</f>
        <v/>
      </c>
      <c r="CJ53" s="26">
        <f>IF(AND(ISNUMBER(BM53),BN53&lt;&gt;"Completed"),BM53,"")</f>
        <v/>
      </c>
      <c r="CK53" s="26">
        <f>IF(OR(A53="",D53="Completed"),"",IF(N(G53)&gt;0,1/(N(G53)+ROW()/100000),IF(ISNUMBER(F53),1000+F53+ROW()/100000,TODAY()+400+ROW()/100000)))</f>
        <v/>
      </c>
    </row>
    <row r="54" ht="16" customHeight="1" s="39">
      <c r="A54" s="29" t="inlineStr">
        <is>
          <t>MYACCESS</t>
        </is>
      </c>
      <c r="B54" s="29" t="inlineStr">
        <is>
          <t>Santhosh &lt;skoyalkar@randomtrees.com&gt;</t>
        </is>
      </c>
      <c r="C54" s="29" t="inlineStr">
        <is>
          <t>Sprint 22</t>
        </is>
      </c>
      <c r="D54" s="30">
        <f>IF(A54="","",IF(((S54="Blocked")+(V54="Blocked")+(Y54="Blocked")+(AC54="Blocked")+(AI54="Blocked")+(AL54="Blocked")+(AO54="Blocked")+(AS54="Blocked")+(AY54="Blocked")+(BB54="Blocked")+(BE54="Blocked")+(BI54="Blocked")+(P54="Blocked")+(BN54="Blocked")+(BP54="Blocked")+(BR54="Blocked")+(BS54="Blocked"))&gt;0,"Blocked",IF((ISNUMBER(Q54)+ISNUMBER(T54)+ISNUMBER(W54)+ISNUMBER(AA54)+ISNUMBER(AG54)+ISNUMBER(AJ54)+ISNUMBER(AM54)+ISNUMBER(AQ54)+ISNUMBER(AW54)+ISNUMBER(AZ54)+ISNUMBER(BC54)+ISNUMBER(BG54)+ISNUMBER(O54)+ISNUMBER(BM54)+ISNUMBER(BO54)+ISNUMBER(BQ54))=0,"Yet to start",IF(AND(OR(NOT(ISNUMBER(Q54)),S54="Completed"),OR(NOT(ISNUMBER(T54)),V54="Completed"),OR(NOT(ISNUMBER(W54)),Y54="Completed"),OR(NOT(ISNUMBER(AA54)),AC54="Completed"),OR(NOT(ISNUMBER(AG54)),AI54="Completed"),OR(NOT(ISNUMBER(AJ54)),AL54="Completed"),OR(NOT(ISNUMBER(AM54)),AO54="Completed"),OR(NOT(ISNUMBER(AQ54)),AS54="Completed"),OR(NOT(ISNUMBER(AW54)),AY54="Completed"),OR(NOT(ISNUMBER(AZ54)),BB54="Completed"),OR(NOT(ISNUMBER(BC54)),BE54="Completed"),OR(NOT(ISNUMBER(BG54)),BI54="Completed"),OR(NOT(ISNUMBER(O54)),P54="Completed"),OR(NOT(ISNUMBER(BM54)),BN54="Completed"),OR(NOT(ISNUMBER(BO54)),BP54="Completed"),OR(NOT(ISNUMBER(BQ54)),BR54="Completed"),BS54="Completed"),"Completed",IF(((S54="In Progress")+(V54="In Progress")+(Y54="In Progress")+(AC54="In Progress")+(AI54="In Progress")+(AL54="In Progress")+(AO54="In Progress")+(AS54="In Progress")+(AY54="In Progress")+(BB54="In Progress")+(BE54="In Progress")+(BI54="In Progress")+(P54="In Progress")+(BN54="In Progress")+(BP54="In Progress")+(BR54="In Progress")+(BS54="In Progress"))&gt;0,"In Progress","Yet to start")))))</f>
        <v/>
      </c>
      <c r="E54" s="30">
        <f>IF(A54="","",IF(F54="","All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Review","CAB"},MATCH(F54,BU54:CJ54,0))))</f>
        <v/>
      </c>
      <c r="F54" s="31">
        <f>IF(A54="","",IF(COUNT(BU54:CJ54)=0,"",MIN(BU54:CJ54)))</f>
        <v/>
      </c>
      <c r="G54" s="30">
        <f>IF(A54="","",MAX(0,IF(AND(ISNUMBER(Q54),S54&lt;&gt;"Completed",Q54&lt;TODAY()),TODAY()-Q54,0),IF(AND(ISNUMBER(T54),V54&lt;&gt;"Completed",T54&lt;TODAY()),TODAY()-T54,0),IF(AND(ISNUMBER(W54),Y54&lt;&gt;"Completed",W54&lt;TODAY()),TODAY()-W54,0),IF(AND(ISNUMBER(AA54),AC54&lt;&gt;"Completed",AA54&lt;TODAY()),TODAY()-AA54,0),IF(AND(ISNUMBER(AG54),AI54&lt;&gt;"Completed",AG54&lt;TODAY()),TODAY()-AG54,0),IF(AND(ISNUMBER(AJ54),AL54&lt;&gt;"Completed",AJ54&lt;TODAY()),TODAY()-AJ54,0),IF(AND(ISNUMBER(AM54),AO54&lt;&gt;"Completed",AM54&lt;TODAY()),TODAY()-AM54,0),IF(AND(ISNUMBER(AQ54),AS54&lt;&gt;"Completed",AQ54&lt;TODAY()),TODAY()-AQ54,0),IF(AND(ISNUMBER(AW54),AY54&lt;&gt;"Completed",AW54&lt;TODAY()),TODAY()-AW54,0),IF(AND(ISNUMBER(AZ54),BB54&lt;&gt;"Completed",AZ54&lt;TODAY()),TODAY()-AZ54,0),IF(AND(ISNUMBER(BC54),BE54&lt;&gt;"Completed",BC54&lt;TODAY()),TODAY()-BC54,0),IF(AND(ISNUMBER(BG54),BI54&lt;&gt;"Completed",BG54&lt;TODAY()),TODAY()-BG54,0),IF(AND(ISNUMBER(O54),P54&lt;&gt;"Completed",O54&lt;TODAY()),TODAY()-O54,0),IF(AND(ISNUMBER(BQ54),BR54&lt;&gt;"Completed",BQ54&lt;TODAY()),TODAY()-BQ54,0),IF(AND(ISNUMBER(BO54),BP54&lt;&gt;"Completed",BO54&lt;TODAY()),TODAY()-BO54,0),IF(AND(ISNUMBER(BM54),BN54&lt;&gt;"Completed",BM54&lt;TODAY()),TODAY()-BM54,0)))</f>
        <v/>
      </c>
      <c r="H54" s="32" t="n">
        <v>46302</v>
      </c>
      <c r="I54" s="32" t="n">
        <v>46315</v>
      </c>
      <c r="J54" s="32" t="n"/>
      <c r="K54" s="31">
        <f>IF(ISNUMBER(H54),H54,IF(ISNUMBER(M54),M54-WEEKDAY(M54,2)+1-7,""))</f>
        <v/>
      </c>
      <c r="L54" s="31">
        <f>IF(ISNUMBER(I54),I54,IF(ISNUMBER(H54),WORKDAY(H54,SprintWorkingDays-1),IF(ISNUMBER(K54),WORKDAY(K54,SprintWorkingDays-1),"")))</f>
        <v/>
      </c>
      <c r="M54" s="31">
        <f>IF(ISNUMBER(J54),J54,IF(ISNUMBER(I54),I54-IF(OR(WEEKDAY(I54,2)=2,WEEKDAY(I54,2)=4),0,IF(WEEKDAY(I54,2)=54,1,IF(WEEKDAY(I54,2)=1,4,WEEKDAY(I54,2)-4))),IF(ISNUMBER(H54),WORKDAY(H54,SprintWorkingDays-1)-IF(OR(WEEKDAY(WORKDAY(H54,SprintWorkingDays-1),2)=2,WEEKDAY(WORKDAY(H54,SprintWorkingDays-1),2)=4),0,IF(WEEKDAY(WORKDAY(H54,SprintWorkingDays-1),2)=54,1,IF(WEEKDAY(WORKDAY(H54,SprintWorkingDays-1),2)=1,4,WEEKDAY(WORKDAY(H54,SprintWorkingDays-1),2)-4))),"")))</f>
        <v/>
      </c>
      <c r="N54" s="31">
        <f>IF(NOT(ISNUMBER(K54)),"",WORKDAY(K54,ReadyOffsetWD))</f>
        <v/>
      </c>
      <c r="O54" s="31">
        <f>IF(NOT(ISNUMBER(K54)),"",WORKDAY(K54,SprintReadinessOffsetWD))</f>
        <v/>
      </c>
      <c r="P54" s="29" t="n"/>
      <c r="Q54" s="31">
        <f>IF(NOT(ISNUMBER(T54)),"",WORKDAY(T54,RTSKOffsetFromOUR_WD))</f>
        <v/>
      </c>
      <c r="R54" s="32" t="n"/>
      <c r="S54" s="29" t="n"/>
      <c r="T54" s="31">
        <f>IF(NOT(ISNUMBER(W54)),"",WORKDAY(W54,OUROffsetFromSR_WD))</f>
        <v/>
      </c>
      <c r="U54" s="32" t="n"/>
      <c r="V54" s="29" t="n"/>
      <c r="W54" s="31">
        <f>IF(NOT(ISNUMBER(K54)),"",WORKDAY(K54,SROffsetFromStartWD))</f>
        <v/>
      </c>
      <c r="X54" s="32" t="n"/>
      <c r="Y54" s="29" t="n"/>
      <c r="Z54" s="29" t="n"/>
      <c r="AA54" s="31">
        <f>IF(ISNUMBER(Q54),Q54,"")</f>
        <v/>
      </c>
      <c r="AB54" s="32" t="n"/>
      <c r="AC54" s="29" t="n"/>
      <c r="AD54" s="29" t="n"/>
      <c r="AE54" s="29" t="n"/>
      <c r="AF54" s="29" t="n"/>
      <c r="AG54" s="31">
        <f>IF(NOT(ISNUMBER(Q54)),"",Q54)</f>
        <v/>
      </c>
      <c r="AH54" s="32" t="n"/>
      <c r="AI54" s="29" t="n"/>
      <c r="AJ54" s="31">
        <f>IF(NOT(ISNUMBER(T54)),"",T54)</f>
        <v/>
      </c>
      <c r="AK54" s="32" t="n"/>
      <c r="AL54" s="29" t="n"/>
      <c r="AM54" s="31">
        <f>IF(NOT(ISNUMBER(W54)),"",W54)</f>
        <v/>
      </c>
      <c r="AN54" s="32" t="n"/>
      <c r="AO54" s="29" t="n"/>
      <c r="AP54" s="29" t="n"/>
      <c r="AQ54" s="31">
        <f>IF(ISNUMBER(AG54),AG54,"")</f>
        <v/>
      </c>
      <c r="AR54" s="32" t="n"/>
      <c r="AS54" s="29" t="n"/>
      <c r="AT54" s="29" t="n"/>
      <c r="AU54" s="29" t="n"/>
      <c r="AV54" s="29" t="n"/>
      <c r="AW54" s="31">
        <f>IF(NOT(ISNUMBER(Q54)),"",Q54)</f>
        <v/>
      </c>
      <c r="AX54" s="32" t="n"/>
      <c r="AY54" s="29" t="n"/>
      <c r="AZ54" s="31">
        <f>IF(NOT(ISNUMBER(T54)),"",T54)</f>
        <v/>
      </c>
      <c r="BA54" s="32" t="n"/>
      <c r="BB54" s="29" t="n"/>
      <c r="BC54" s="31">
        <f>IF(NOT(ISNUMBER(W54)),"",W54)</f>
        <v/>
      </c>
      <c r="BD54" s="32" t="n"/>
      <c r="BE54" s="29" t="n"/>
      <c r="BF54" s="29" t="n"/>
      <c r="BG54" s="31">
        <f>IF(ISNUMBER(AW54),AW54,"")</f>
        <v/>
      </c>
      <c r="BH54" s="32" t="n"/>
      <c r="BI54" s="29" t="n"/>
      <c r="BJ54" s="29" t="n"/>
      <c r="BK54" s="29" t="n"/>
      <c r="BL54" s="29" t="n"/>
      <c r="BM54" s="31">
        <f>IF(OR(NOT(ISNUMBER(M54)),AND(WEEKDAY(M54,2)&lt;&gt;2,WEEKDAY(M54,2)&lt;&gt;4)),"",WORKDAY(M54,CABOffsetFromReleaseWD))</f>
        <v/>
      </c>
      <c r="BN54" s="29" t="n"/>
      <c r="BO54" s="31">
        <f>IF(NOT(ISNUMBER(BM54)),"",IF(WEEKDAY(BM54-CodeReviewCalendarDays,2)&gt;5,BM54-CodeReviewCalendarDays-(WEEKDAY(BM54-CodeReviewCalendarDays,2)-5),BM54-CodeReviewCalendarDays))</f>
        <v/>
      </c>
      <c r="BP54" s="29" t="n"/>
      <c r="BQ54" s="31">
        <f>IF(NOT(ISNUMBER(BO54)),"",IF(WEEKDAY(BO54-CodeReviewInviteCalendarDays,2)&gt;5,BO54-CodeReviewInviteCalendarDays-(WEEKDAY(BO54-CodeReviewInviteCalendarDays,2)-5),BO54-CodeReviewInviteCalendarDays))</f>
        <v/>
      </c>
      <c r="BR54" s="29" t="n"/>
      <c r="BS54" s="29" t="n"/>
      <c r="BT54" s="30">
        <f>IF(A54="","",IF(IF(AND(ISNUMBER(J54),WEEKDAY(J54,2)&lt;&gt;2,WEEKDAY(J54,2)&lt;&gt;4)," | Release must be Tuesday or Thursday","")&amp;IF(AND(ISNUMBER(H54),WEEKDAY(H54,2)&lt;&gt;1)," | Sprint Start is not a Monday - dates still calculated from the date entered","")&amp;IF(AND(A54&lt;&gt;"",NOT(ISNUMBER(H54)),NOT(ISNUMBER(J54)))," | Enter Sprint Start or Release Date","")&amp;IF(AND(ISNUMBER(F54),F54&lt;TODAY(),D54&lt;&gt;"Completed")," | One or more raise-by dates are in the past and not completed","")&amp;IF(AND(ISNUMBER(K54),K54-TODAY()&lt;SprintWarningDays,K54&gt;=TODAY(),OR(D54="Yet to start",D54="Blocked"))," | Sprint starts in under 10 days - raise access requests now","")&amp;IF(AND(ISNUMBER(BQ54),BR54&lt;&gt;"Completed",BQ54-TODAY()&lt;CodeReviewInviteCalendarDays)," | Code Review invite should be sent at least 4 days before Code Review","")="","",MID(IF(AND(ISNUMBER(J54),WEEKDAY(J54,2)&lt;&gt;2,WEEKDAY(J54,2)&lt;&gt;4)," | Release must be Tuesday or Thursday","")&amp;IF(AND(ISNUMBER(H54),WEEKDAY(H54,2)&lt;&gt;1)," | Sprint Start is not a Monday - dates still calculated from the date entered","")&amp;IF(AND(A54&lt;&gt;"",NOT(ISNUMBER(H54)),NOT(ISNUMBER(J54)))," | Enter Sprint Start or Release Date","")&amp;IF(AND(ISNUMBER(F54),F54&lt;TODAY(),D54&lt;&gt;"Completed")," | One or more raise-by dates are in the past and not completed","")&amp;IF(AND(ISNUMBER(K54),K54-TODAY()&lt;SprintWarningDays,K54&gt;=TODAY(),OR(D54="Yet to start",D54="Blocked"))," | Sprint starts in under 10 days - raise access requests now","")&amp;IF(AND(ISNUMBER(BQ54),BR54&lt;&gt;"Completed",BQ54-TODAY()&lt;CodeReviewInviteCalendarDays)," | Code Review invite should be sent at least 4 days before Code Review",""),4,500)))</f>
        <v/>
      </c>
      <c r="BU54" s="26">
        <f>IF(AND(ISNUMBER(Q54),S54&lt;&gt;"Completed"),Q54,"")</f>
        <v/>
      </c>
      <c r="BV54" s="26">
        <f>IF(AND(ISNUMBER(T54),V54&lt;&gt;"Completed"),T54,"")</f>
        <v/>
      </c>
      <c r="BW54" s="26">
        <f>IF(AND(ISNUMBER(W54),Y54&lt;&gt;"Completed"),W54,"")</f>
        <v/>
      </c>
      <c r="BX54" s="26">
        <f>IF(AND(ISNUMBER(AA54),AC54&lt;&gt;"Completed"),AA54,"")</f>
        <v/>
      </c>
      <c r="BY54" s="26">
        <f>IF(AND(ISNUMBER(AG54),AI54&lt;&gt;"Completed"),AG54,"")</f>
        <v/>
      </c>
      <c r="BZ54" s="26">
        <f>IF(AND(ISNUMBER(AJ54),AL54&lt;&gt;"Completed"),AJ54,"")</f>
        <v/>
      </c>
      <c r="CA54" s="26">
        <f>IF(AND(ISNUMBER(AM54),AO54&lt;&gt;"Completed"),AM54,"")</f>
        <v/>
      </c>
      <c r="CB54" s="26">
        <f>IF(AND(ISNUMBER(AQ54),AS54&lt;&gt;"Completed"),AQ54,"")</f>
        <v/>
      </c>
      <c r="CC54" s="26">
        <f>IF(AND(ISNUMBER(AW54),AY54&lt;&gt;"Completed"),AW54,"")</f>
        <v/>
      </c>
      <c r="CD54" s="26">
        <f>IF(AND(ISNUMBER(AZ54),BB54&lt;&gt;"Completed"),AZ54,"")</f>
        <v/>
      </c>
      <c r="CE54" s="26">
        <f>IF(AND(ISNUMBER(BC54),BE54&lt;&gt;"Completed"),BC54,"")</f>
        <v/>
      </c>
      <c r="CF54" s="26">
        <f>IF(AND(ISNUMBER(BG54),BI54&lt;&gt;"Completed"),BG54,"")</f>
        <v/>
      </c>
      <c r="CG54" s="26">
        <f>IF(AND(ISNUMBER(O54),P54&lt;&gt;"Completed"),O54,"")</f>
        <v/>
      </c>
      <c r="CH54" s="26">
        <f>IF(AND(ISNUMBER(BQ54),BR54&lt;&gt;"Completed"),BQ54,"")</f>
        <v/>
      </c>
      <c r="CI54" s="26">
        <f>IF(AND(ISNUMBER(BO54),BP54&lt;&gt;"Completed"),BO54,"")</f>
        <v/>
      </c>
      <c r="CJ54" s="26">
        <f>IF(AND(ISNUMBER(BM54),BN54&lt;&gt;"Completed"),BM54,"")</f>
        <v/>
      </c>
      <c r="CK54" s="26">
        <f>IF(OR(A54="",D54="Completed"),"",IF(N(G54)&gt;0,1/(N(G54)+ROW()/100000),IF(ISNUMBER(F54),1000+F54+ROW()/100000,TODAY()+400+ROW()/100000)))</f>
        <v/>
      </c>
    </row>
    <row r="55" ht="16" customHeight="1" s="39">
      <c r="A55" s="29" t="inlineStr">
        <is>
          <t>TGIS</t>
        </is>
      </c>
      <c r="B55" s="29" t="inlineStr">
        <is>
          <t>Sandeep &lt;sgodi@randomtrees.com&gt;</t>
        </is>
      </c>
      <c r="C55" s="29" t="inlineStr">
        <is>
          <t>Sprint 22</t>
        </is>
      </c>
      <c r="D55" s="30">
        <f>IF(A55="","",IF(((S55="Blocked")+(V55="Blocked")+(Y55="Blocked")+(AC55="Blocked")+(AI55="Blocked")+(AL55="Blocked")+(AO55="Blocked")+(AS55="Blocked")+(AY55="Blocked")+(BB55="Blocked")+(BE55="Blocked")+(BI55="Blocked")+(P55="Blocked")+(BN55="Blocked")+(BP55="Blocked")+(BR55="Blocked")+(BS55="Blocked"))&gt;0,"Blocked",IF((ISNUMBER(Q55)+ISNUMBER(T55)+ISNUMBER(W55)+ISNUMBER(AA55)+ISNUMBER(AG55)+ISNUMBER(AJ55)+ISNUMBER(AM55)+ISNUMBER(AQ55)+ISNUMBER(AW55)+ISNUMBER(AZ55)+ISNUMBER(BC55)+ISNUMBER(BG55)+ISNUMBER(O55)+ISNUMBER(BM55)+ISNUMBER(BO55)+ISNUMBER(BQ55))=0,"Yet to start",IF(AND(OR(NOT(ISNUMBER(Q55)),S55="Completed"),OR(NOT(ISNUMBER(T55)),V55="Completed"),OR(NOT(ISNUMBER(W55)),Y55="Completed"),OR(NOT(ISNUMBER(AA55)),AC55="Completed"),OR(NOT(ISNUMBER(AG55)),AI55="Completed"),OR(NOT(ISNUMBER(AJ55)),AL55="Completed"),OR(NOT(ISNUMBER(AM55)),AO55="Completed"),OR(NOT(ISNUMBER(AQ55)),AS55="Completed"),OR(NOT(ISNUMBER(AW55)),AY55="Completed"),OR(NOT(ISNUMBER(AZ55)),BB55="Completed"),OR(NOT(ISNUMBER(BC55)),BE55="Completed"),OR(NOT(ISNUMBER(BG55)),BI55="Completed"),OR(NOT(ISNUMBER(O55)),P55="Completed"),OR(NOT(ISNUMBER(BM55)),BN55="Completed"),OR(NOT(ISNUMBER(BO55)),BP55="Completed"),OR(NOT(ISNUMBER(BQ55)),BR55="Completed"),BS55="Completed"),"Completed",IF(((S55="In Progress")+(V55="In Progress")+(Y55="In Progress")+(AC55="In Progress")+(AI55="In Progress")+(AL55="In Progress")+(AO55="In Progress")+(AS55="In Progress")+(AY55="In Progress")+(BB55="In Progress")+(BE55="In Progress")+(BI55="In Progress")+(P55="In Progress")+(BN55="In Progress")+(BP55="In Progress")+(BR55="In Progress")+(BS55="In Progress"))&gt;0,"In Progress","Yet to start")))))</f>
        <v/>
      </c>
      <c r="E55" s="30">
        <f>IF(A55="","",IF(F55="","All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Review","CAB"},MATCH(F55,BU55:CJ55,0))))</f>
        <v/>
      </c>
      <c r="F55" s="31">
        <f>IF(A55="","",IF(COUNT(BU55:CJ55)=0,"",MIN(BU55:CJ55)))</f>
        <v/>
      </c>
      <c r="G55" s="30">
        <f>IF(A55="","",MAX(0,IF(AND(ISNUMBER(Q55),S55&lt;&gt;"Completed",Q55&lt;TODAY()),TODAY()-Q55,0),IF(AND(ISNUMBER(T55),V55&lt;&gt;"Completed",T55&lt;TODAY()),TODAY()-T55,0),IF(AND(ISNUMBER(W55),Y55&lt;&gt;"Completed",W55&lt;TODAY()),TODAY()-W55,0),IF(AND(ISNUMBER(AA55),AC55&lt;&gt;"Completed",AA55&lt;TODAY()),TODAY()-AA55,0),IF(AND(ISNUMBER(AG55),AI55&lt;&gt;"Completed",AG55&lt;TODAY()),TODAY()-AG55,0),IF(AND(ISNUMBER(AJ55),AL55&lt;&gt;"Completed",AJ55&lt;TODAY()),TODAY()-AJ55,0),IF(AND(ISNUMBER(AM55),AO55&lt;&gt;"Completed",AM55&lt;TODAY()),TODAY()-AM55,0),IF(AND(ISNUMBER(AQ55),AS55&lt;&gt;"Completed",AQ55&lt;TODAY()),TODAY()-AQ55,0),IF(AND(ISNUMBER(AW55),AY55&lt;&gt;"Completed",AW55&lt;TODAY()),TODAY()-AW55,0),IF(AND(ISNUMBER(AZ55),BB55&lt;&gt;"Completed",AZ55&lt;TODAY()),TODAY()-AZ55,0),IF(AND(ISNUMBER(BC55),BE55&lt;&gt;"Completed",BC55&lt;TODAY()),TODAY()-BC55,0),IF(AND(ISNUMBER(BG55),BI55&lt;&gt;"Completed",BG55&lt;TODAY()),TODAY()-BG55,0),IF(AND(ISNUMBER(O55),P55&lt;&gt;"Completed",O55&lt;TODAY()),TODAY()-O55,0),IF(AND(ISNUMBER(BQ55),BR55&lt;&gt;"Completed",BQ55&lt;TODAY()),TODAY()-BQ55,0),IF(AND(ISNUMBER(BO55),BP55&lt;&gt;"Completed",BO55&lt;TODAY()),TODAY()-BO55,0),IF(AND(ISNUMBER(BM55),BN55&lt;&gt;"Completed",BM55&lt;TODAY()),TODAY()-BM55,0)))</f>
        <v/>
      </c>
      <c r="H55" s="32" t="n">
        <v>46302</v>
      </c>
      <c r="I55" s="32" t="n">
        <v>46315</v>
      </c>
      <c r="J55" s="32" t="n"/>
      <c r="K55" s="31">
        <f>IF(ISNUMBER(H55),H55,IF(ISNUMBER(M55),M55-WEEKDAY(M55,2)+1-7,""))</f>
        <v/>
      </c>
      <c r="L55" s="31">
        <f>IF(ISNUMBER(I55),I55,IF(ISNUMBER(H55),WORKDAY(H55,SprintWorkingDays-1),IF(ISNUMBER(K55),WORKDAY(K55,SprintWorkingDays-1),"")))</f>
        <v/>
      </c>
      <c r="M55" s="31">
        <f>IF(ISNUMBER(J55),J55,IF(ISNUMBER(I55),I55-IF(OR(WEEKDAY(I55,2)=2,WEEKDAY(I55,2)=4),0,IF(WEEKDAY(I55,2)=55,1,IF(WEEKDAY(I55,2)=1,4,WEEKDAY(I55,2)-4))),IF(ISNUMBER(H55),WORKDAY(H55,SprintWorkingDays-1)-IF(OR(WEEKDAY(WORKDAY(H55,SprintWorkingDays-1),2)=2,WEEKDAY(WORKDAY(H55,SprintWorkingDays-1),2)=4),0,IF(WEEKDAY(WORKDAY(H55,SprintWorkingDays-1),2)=55,1,IF(WEEKDAY(WORKDAY(H55,SprintWorkingDays-1),2)=1,4,WEEKDAY(WORKDAY(H55,SprintWorkingDays-1),2)-4))),"")))</f>
        <v/>
      </c>
      <c r="N55" s="31">
        <f>IF(NOT(ISNUMBER(K55)),"",WORKDAY(K55,ReadyOffsetWD))</f>
        <v/>
      </c>
      <c r="O55" s="31">
        <f>IF(NOT(ISNUMBER(K55)),"",WORKDAY(K55,SprintReadinessOffsetWD))</f>
        <v/>
      </c>
      <c r="P55" s="29" t="n"/>
      <c r="Q55" s="31">
        <f>IF(NOT(ISNUMBER(T55)),"",WORKDAY(T55,RTSKOffsetFromOUR_WD))</f>
        <v/>
      </c>
      <c r="R55" s="32" t="n"/>
      <c r="S55" s="29" t="n"/>
      <c r="T55" s="31">
        <f>IF(NOT(ISNUMBER(W55)),"",WORKDAY(W55,OUROffsetFromSR_WD))</f>
        <v/>
      </c>
      <c r="U55" s="32" t="n"/>
      <c r="V55" s="29" t="n"/>
      <c r="W55" s="31">
        <f>IF(NOT(ISNUMBER(K55)),"",WORKDAY(K55,SROffsetFromStartWD))</f>
        <v/>
      </c>
      <c r="X55" s="32" t="n"/>
      <c r="Y55" s="29" t="n"/>
      <c r="Z55" s="29" t="n"/>
      <c r="AA55" s="31">
        <f>IF(ISNUMBER(Q55),Q55,"")</f>
        <v/>
      </c>
      <c r="AB55" s="32" t="n"/>
      <c r="AC55" s="29" t="n"/>
      <c r="AD55" s="29" t="n"/>
      <c r="AE55" s="29" t="n"/>
      <c r="AF55" s="29" t="n"/>
      <c r="AG55" s="31">
        <f>IF(NOT(ISNUMBER(Q55)),"",Q55)</f>
        <v/>
      </c>
      <c r="AH55" s="32" t="n"/>
      <c r="AI55" s="29" t="n"/>
      <c r="AJ55" s="31">
        <f>IF(NOT(ISNUMBER(T55)),"",T55)</f>
        <v/>
      </c>
      <c r="AK55" s="32" t="n"/>
      <c r="AL55" s="29" t="n"/>
      <c r="AM55" s="31">
        <f>IF(NOT(ISNUMBER(W55)),"",W55)</f>
        <v/>
      </c>
      <c r="AN55" s="32" t="n"/>
      <c r="AO55" s="29" t="n"/>
      <c r="AP55" s="29" t="n"/>
      <c r="AQ55" s="31">
        <f>IF(ISNUMBER(AG55),AG55,"")</f>
        <v/>
      </c>
      <c r="AR55" s="32" t="n"/>
      <c r="AS55" s="29" t="n"/>
      <c r="AT55" s="29" t="n"/>
      <c r="AU55" s="29" t="n"/>
      <c r="AV55" s="29" t="n"/>
      <c r="AW55" s="31">
        <f>IF(NOT(ISNUMBER(Q55)),"",Q55)</f>
        <v/>
      </c>
      <c r="AX55" s="32" t="n"/>
      <c r="AY55" s="29" t="n"/>
      <c r="AZ55" s="31">
        <f>IF(NOT(ISNUMBER(T55)),"",T55)</f>
        <v/>
      </c>
      <c r="BA55" s="32" t="n"/>
      <c r="BB55" s="29" t="n"/>
      <c r="BC55" s="31">
        <f>IF(NOT(ISNUMBER(W55)),"",W55)</f>
        <v/>
      </c>
      <c r="BD55" s="32" t="n"/>
      <c r="BE55" s="29" t="n"/>
      <c r="BF55" s="29" t="n"/>
      <c r="BG55" s="31">
        <f>IF(ISNUMBER(AW55),AW55,"")</f>
        <v/>
      </c>
      <c r="BH55" s="32" t="n"/>
      <c r="BI55" s="29" t="n"/>
      <c r="BJ55" s="29" t="n"/>
      <c r="BK55" s="29" t="n"/>
      <c r="BL55" s="29" t="n"/>
      <c r="BM55" s="31">
        <f>IF(OR(NOT(ISNUMBER(M55)),AND(WEEKDAY(M55,2)&lt;&gt;2,WEEKDAY(M55,2)&lt;&gt;4)),"",WORKDAY(M55,CABOffsetFromReleaseWD))</f>
        <v/>
      </c>
      <c r="BN55" s="29" t="n"/>
      <c r="BO55" s="31">
        <f>IF(NOT(ISNUMBER(BM55)),"",IF(WEEKDAY(BM55-CodeReviewCalendarDays,2)&gt;5,BM55-CodeReviewCalendarDays-(WEEKDAY(BM55-CodeReviewCalendarDays,2)-5),BM55-CodeReviewCalendarDays))</f>
        <v/>
      </c>
      <c r="BP55" s="29" t="n"/>
      <c r="BQ55" s="31">
        <f>IF(NOT(ISNUMBER(BO55)),"",IF(WEEKDAY(BO55-CodeReviewInviteCalendarDays,2)&gt;5,BO55-CodeReviewInviteCalendarDays-(WEEKDAY(BO55-CodeReviewInviteCalendarDays,2)-5),BO55-CodeReviewInviteCalendarDays))</f>
        <v/>
      </c>
      <c r="BR55" s="29" t="n"/>
      <c r="BS55" s="29" t="n"/>
      <c r="BT55" s="30">
        <f>IF(A55="","",IF(IF(AND(ISNUMBER(J55),WEEKDAY(J55,2)&lt;&gt;2,WEEKDAY(J55,2)&lt;&gt;4)," | Release must be Tuesday or Thursday","")&amp;IF(AND(ISNUMBER(H55),WEEKDAY(H55,2)&lt;&gt;1)," | Sprint Start is not a Monday - dates still calculated from the date entered","")&amp;IF(AND(A55&lt;&gt;"",NOT(ISNUMBER(H55)),NOT(ISNUMBER(J55)))," | Enter Sprint Start or Release Date","")&amp;IF(AND(ISNUMBER(F55),F55&lt;TODAY(),D55&lt;&gt;"Completed")," | One or more raise-by dates are in the past and not completed","")&amp;IF(AND(ISNUMBER(K55),K55-TODAY()&lt;SprintWarningDays,K55&gt;=TODAY(),OR(D55="Yet to start",D55="Blocked"))," | Sprint starts in under 10 days - raise access requests now","")&amp;IF(AND(ISNUMBER(BQ55),BR55&lt;&gt;"Completed",BQ55-TODAY()&lt;CodeReviewInviteCalendarDays)," | Code Review invite should be sent at least 4 days before Code Review","")="","",MID(IF(AND(ISNUMBER(J55),WEEKDAY(J55,2)&lt;&gt;2,WEEKDAY(J55,2)&lt;&gt;4)," | Release must be Tuesday or Thursday","")&amp;IF(AND(ISNUMBER(H55),WEEKDAY(H55,2)&lt;&gt;1)," | Sprint Start is not a Monday - dates still calculated from the date entered","")&amp;IF(AND(A55&lt;&gt;"",NOT(ISNUMBER(H55)),NOT(ISNUMBER(J55)))," | Enter Sprint Start or Release Date","")&amp;IF(AND(ISNUMBER(F55),F55&lt;TODAY(),D55&lt;&gt;"Completed")," | One or more raise-by dates are in the past and not completed","")&amp;IF(AND(ISNUMBER(K55),K55-TODAY()&lt;SprintWarningDays,K55&gt;=TODAY(),OR(D55="Yet to start",D55="Blocked"))," | Sprint starts in under 10 days - raise access requests now","")&amp;IF(AND(ISNUMBER(BQ55),BR55&lt;&gt;"Completed",BQ55-TODAY()&lt;CodeReviewInviteCalendarDays)," | Code Review invite should be sent at least 4 days before Code Review",""),4,500)))</f>
        <v/>
      </c>
      <c r="BU55" s="26">
        <f>IF(AND(ISNUMBER(Q55),S55&lt;&gt;"Completed"),Q55,"")</f>
        <v/>
      </c>
      <c r="BV55" s="26">
        <f>IF(AND(ISNUMBER(T55),V55&lt;&gt;"Completed"),T55,"")</f>
        <v/>
      </c>
      <c r="BW55" s="26">
        <f>IF(AND(ISNUMBER(W55),Y55&lt;&gt;"Completed"),W55,"")</f>
        <v/>
      </c>
      <c r="BX55" s="26">
        <f>IF(AND(ISNUMBER(AA55),AC55&lt;&gt;"Completed"),AA55,"")</f>
        <v/>
      </c>
      <c r="BY55" s="26">
        <f>IF(AND(ISNUMBER(AG55),AI55&lt;&gt;"Completed"),AG55,"")</f>
        <v/>
      </c>
      <c r="BZ55" s="26">
        <f>IF(AND(ISNUMBER(AJ55),AL55&lt;&gt;"Completed"),AJ55,"")</f>
        <v/>
      </c>
      <c r="CA55" s="26">
        <f>IF(AND(ISNUMBER(AM55),AO55&lt;&gt;"Completed"),AM55,"")</f>
        <v/>
      </c>
      <c r="CB55" s="26">
        <f>IF(AND(ISNUMBER(AQ55),AS55&lt;&gt;"Completed"),AQ55,"")</f>
        <v/>
      </c>
      <c r="CC55" s="26">
        <f>IF(AND(ISNUMBER(AW55),AY55&lt;&gt;"Completed"),AW55,"")</f>
        <v/>
      </c>
      <c r="CD55" s="26">
        <f>IF(AND(ISNUMBER(AZ55),BB55&lt;&gt;"Completed"),AZ55,"")</f>
        <v/>
      </c>
      <c r="CE55" s="26">
        <f>IF(AND(ISNUMBER(BC55),BE55&lt;&gt;"Completed"),BC55,"")</f>
        <v/>
      </c>
      <c r="CF55" s="26">
        <f>IF(AND(ISNUMBER(BG55),BI55&lt;&gt;"Completed"),BG55,"")</f>
        <v/>
      </c>
      <c r="CG55" s="26">
        <f>IF(AND(ISNUMBER(O55),P55&lt;&gt;"Completed"),O55,"")</f>
        <v/>
      </c>
      <c r="CH55" s="26">
        <f>IF(AND(ISNUMBER(BQ55),BR55&lt;&gt;"Completed"),BQ55,"")</f>
        <v/>
      </c>
      <c r="CI55" s="26">
        <f>IF(AND(ISNUMBER(BO55),BP55&lt;&gt;"Completed"),BO55,"")</f>
        <v/>
      </c>
      <c r="CJ55" s="26">
        <f>IF(AND(ISNUMBER(BM55),BN55&lt;&gt;"Completed"),BM55,"")</f>
        <v/>
      </c>
      <c r="CK55" s="26">
        <f>IF(OR(A55="",D55="Completed"),"",IF(N(G55)&gt;0,1/(N(G55)+ROW()/100000),IF(ISNUMBER(F55),1000+F55+ROW()/100000,TODAY()+400+ROW()/100000)))</f>
        <v/>
      </c>
    </row>
    <row r="56" ht="16" customHeight="1" s="39">
      <c r="A56" s="29" t="inlineStr">
        <is>
          <t>Maximo_EDW-TPC</t>
        </is>
      </c>
      <c r="B56" s="29" t="inlineStr">
        <is>
          <t>Ragavendhar &lt;aragavendhar@randomtrees.com&gt;</t>
        </is>
      </c>
      <c r="C56" s="29" t="inlineStr">
        <is>
          <t>Sprint 22</t>
        </is>
      </c>
      <c r="D56" s="30">
        <f>IF(A56="","",IF(((S56="Blocked")+(V56="Blocked")+(Y56="Blocked")+(AC56="Blocked")+(AI56="Blocked")+(AL56="Blocked")+(AO56="Blocked")+(AS56="Blocked")+(AY56="Blocked")+(BB56="Blocked")+(BE56="Blocked")+(BI56="Blocked")+(P56="Blocked")+(BN56="Blocked")+(BP56="Blocked")+(BR56="Blocked")+(BS56="Blocked"))&gt;0,"Blocked",IF((ISNUMBER(Q56)+ISNUMBER(T56)+ISNUMBER(W56)+ISNUMBER(AA56)+ISNUMBER(AG56)+ISNUMBER(AJ56)+ISNUMBER(AM56)+ISNUMBER(AQ56)+ISNUMBER(AW56)+ISNUMBER(AZ56)+ISNUMBER(BC56)+ISNUMBER(BG56)+ISNUMBER(O56)+ISNUMBER(BM56)+ISNUMBER(BO56)+ISNUMBER(BQ56))=0,"Yet to start",IF(AND(OR(NOT(ISNUMBER(Q56)),S56="Completed"),OR(NOT(ISNUMBER(T56)),V56="Completed"),OR(NOT(ISNUMBER(W56)),Y56="Completed"),OR(NOT(ISNUMBER(AA56)),AC56="Completed"),OR(NOT(ISNUMBER(AG56)),AI56="Completed"),OR(NOT(ISNUMBER(AJ56)),AL56="Completed"),OR(NOT(ISNUMBER(AM56)),AO56="Completed"),OR(NOT(ISNUMBER(AQ56)),AS56="Completed"),OR(NOT(ISNUMBER(AW56)),AY56="Completed"),OR(NOT(ISNUMBER(AZ56)),BB56="Completed"),OR(NOT(ISNUMBER(BC56)),BE56="Completed"),OR(NOT(ISNUMBER(BG56)),BI56="Completed"),OR(NOT(ISNUMBER(O56)),P56="Completed"),OR(NOT(ISNUMBER(BM56)),BN56="Completed"),OR(NOT(ISNUMBER(BO56)),BP56="Completed"),OR(NOT(ISNUMBER(BQ56)),BR56="Completed"),BS56="Completed"),"Completed",IF(((S56="In Progress")+(V56="In Progress")+(Y56="In Progress")+(AC56="In Progress")+(AI56="In Progress")+(AL56="In Progress")+(AO56="In Progress")+(AS56="In Progress")+(AY56="In Progress")+(BB56="In Progress")+(BE56="In Progress")+(BI56="In Progress")+(P56="In Progress")+(BN56="In Progress")+(BP56="In Progress")+(BR56="In Progress")+(BS56="In Progress"))&gt;0,"In Progress","Yet to start")))))</f>
        <v/>
      </c>
      <c r="E56" s="30">
        <f>IF(A56="","",IF(F56="","All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Review","CAB"},MATCH(F56,BU56:CJ56,0))))</f>
        <v/>
      </c>
      <c r="F56" s="31">
        <f>IF(A56="","",IF(COUNT(BU56:CJ56)=0,"",MIN(BU56:CJ56)))</f>
        <v/>
      </c>
      <c r="G56" s="30">
        <f>IF(A56="","",MAX(0,IF(AND(ISNUMBER(Q56),S56&lt;&gt;"Completed",Q56&lt;TODAY()),TODAY()-Q56,0),IF(AND(ISNUMBER(T56),V56&lt;&gt;"Completed",T56&lt;TODAY()),TODAY()-T56,0),IF(AND(ISNUMBER(W56),Y56&lt;&gt;"Completed",W56&lt;TODAY()),TODAY()-W56,0),IF(AND(ISNUMBER(AA56),AC56&lt;&gt;"Completed",AA56&lt;TODAY()),TODAY()-AA56,0),IF(AND(ISNUMBER(AG56),AI56&lt;&gt;"Completed",AG56&lt;TODAY()),TODAY()-AG56,0),IF(AND(ISNUMBER(AJ56),AL56&lt;&gt;"Completed",AJ56&lt;TODAY()),TODAY()-AJ56,0),IF(AND(ISNUMBER(AM56),AO56&lt;&gt;"Completed",AM56&lt;TODAY()),TODAY()-AM56,0),IF(AND(ISNUMBER(AQ56),AS56&lt;&gt;"Completed",AQ56&lt;TODAY()),TODAY()-AQ56,0),IF(AND(ISNUMBER(AW56),AY56&lt;&gt;"Completed",AW56&lt;TODAY()),TODAY()-AW56,0),IF(AND(ISNUMBER(AZ56),BB56&lt;&gt;"Completed",AZ56&lt;TODAY()),TODAY()-AZ56,0),IF(AND(ISNUMBER(BC56),BE56&lt;&gt;"Completed",BC56&lt;TODAY()),TODAY()-BC56,0),IF(AND(ISNUMBER(BG56),BI56&lt;&gt;"Completed",BG56&lt;TODAY()),TODAY()-BG56,0),IF(AND(ISNUMBER(O56),P56&lt;&gt;"Completed",O56&lt;TODAY()),TODAY()-O56,0),IF(AND(ISNUMBER(BQ56),BR56&lt;&gt;"Completed",BQ56&lt;TODAY()),TODAY()-BQ56,0),IF(AND(ISNUMBER(BO56),BP56&lt;&gt;"Completed",BO56&lt;TODAY()),TODAY()-BO56,0),IF(AND(ISNUMBER(BM56),BN56&lt;&gt;"Completed",BM56&lt;TODAY()),TODAY()-BM56,0)))</f>
        <v/>
      </c>
      <c r="H56" s="32" t="n">
        <v>46302</v>
      </c>
      <c r="I56" s="32" t="n">
        <v>46315</v>
      </c>
      <c r="J56" s="32" t="n"/>
      <c r="K56" s="31">
        <f>IF(ISNUMBER(H56),H56,IF(ISNUMBER(M56),M56-WEEKDAY(M56,2)+1-7,""))</f>
        <v/>
      </c>
      <c r="L56" s="31">
        <f>IF(ISNUMBER(I56),I56,IF(ISNUMBER(H56),WORKDAY(H56,SprintWorkingDays-1),IF(ISNUMBER(K56),WORKDAY(K56,SprintWorkingDays-1),"")))</f>
        <v/>
      </c>
      <c r="M56" s="31">
        <f>IF(ISNUMBER(J56),J56,IF(ISNUMBER(I56),I56-IF(OR(WEEKDAY(I56,2)=2,WEEKDAY(I56,2)=4),0,IF(WEEKDAY(I56,2)=56,1,IF(WEEKDAY(I56,2)=1,4,WEEKDAY(I56,2)-4))),IF(ISNUMBER(H56),WORKDAY(H56,SprintWorkingDays-1)-IF(OR(WEEKDAY(WORKDAY(H56,SprintWorkingDays-1),2)=2,WEEKDAY(WORKDAY(H56,SprintWorkingDays-1),2)=4),0,IF(WEEKDAY(WORKDAY(H56,SprintWorkingDays-1),2)=56,1,IF(WEEKDAY(WORKDAY(H56,SprintWorkingDays-1),2)=1,4,WEEKDAY(WORKDAY(H56,SprintWorkingDays-1),2)-4))),"")))</f>
        <v/>
      </c>
      <c r="N56" s="31">
        <f>IF(NOT(ISNUMBER(K56)),"",WORKDAY(K56,ReadyOffsetWD))</f>
        <v/>
      </c>
      <c r="O56" s="31">
        <f>IF(NOT(ISNUMBER(K56)),"",WORKDAY(K56,SprintReadinessOffsetWD))</f>
        <v/>
      </c>
      <c r="P56" s="29" t="n"/>
      <c r="Q56" s="31">
        <f>IF(NOT(ISNUMBER(T56)),"",WORKDAY(T56,RTSKOffsetFromOUR_WD))</f>
        <v/>
      </c>
      <c r="R56" s="32" t="n"/>
      <c r="S56" s="29" t="n"/>
      <c r="T56" s="31">
        <f>IF(NOT(ISNUMBER(W56)),"",WORKDAY(W56,OUROffsetFromSR_WD))</f>
        <v/>
      </c>
      <c r="U56" s="32" t="n"/>
      <c r="V56" s="29" t="n"/>
      <c r="W56" s="31">
        <f>IF(NOT(ISNUMBER(K56)),"",WORKDAY(K56,SROffsetFromStartWD))</f>
        <v/>
      </c>
      <c r="X56" s="32" t="n"/>
      <c r="Y56" s="29" t="n"/>
      <c r="Z56" s="29" t="n"/>
      <c r="AA56" s="31">
        <f>IF(ISNUMBER(Q56),Q56,"")</f>
        <v/>
      </c>
      <c r="AB56" s="32" t="n"/>
      <c r="AC56" s="29" t="n"/>
      <c r="AD56" s="29" t="n"/>
      <c r="AE56" s="29" t="n"/>
      <c r="AF56" s="29" t="n"/>
      <c r="AG56" s="31">
        <f>IF(NOT(ISNUMBER(Q56)),"",Q56)</f>
        <v/>
      </c>
      <c r="AH56" s="32" t="n"/>
      <c r="AI56" s="29" t="n"/>
      <c r="AJ56" s="31">
        <f>IF(NOT(ISNUMBER(T56)),"",T56)</f>
        <v/>
      </c>
      <c r="AK56" s="32" t="n"/>
      <c r="AL56" s="29" t="n"/>
      <c r="AM56" s="31">
        <f>IF(NOT(ISNUMBER(W56)),"",W56)</f>
        <v/>
      </c>
      <c r="AN56" s="32" t="n"/>
      <c r="AO56" s="29" t="n"/>
      <c r="AP56" s="29" t="n"/>
      <c r="AQ56" s="31">
        <f>IF(ISNUMBER(AG56),AG56,"")</f>
        <v/>
      </c>
      <c r="AR56" s="32" t="n"/>
      <c r="AS56" s="29" t="n"/>
      <c r="AT56" s="29" t="n"/>
      <c r="AU56" s="29" t="n"/>
      <c r="AV56" s="29" t="n"/>
      <c r="AW56" s="31">
        <f>IF(NOT(ISNUMBER(Q56)),"",Q56)</f>
        <v/>
      </c>
      <c r="AX56" s="32" t="n"/>
      <c r="AY56" s="29" t="n"/>
      <c r="AZ56" s="31">
        <f>IF(NOT(ISNUMBER(T56)),"",T56)</f>
        <v/>
      </c>
      <c r="BA56" s="32" t="n"/>
      <c r="BB56" s="29" t="n"/>
      <c r="BC56" s="31">
        <f>IF(NOT(ISNUMBER(W56)),"",W56)</f>
        <v/>
      </c>
      <c r="BD56" s="32" t="n"/>
      <c r="BE56" s="29" t="n"/>
      <c r="BF56" s="29" t="n"/>
      <c r="BG56" s="31">
        <f>IF(ISNUMBER(AW56),AW56,"")</f>
        <v/>
      </c>
      <c r="BH56" s="32" t="n"/>
      <c r="BI56" s="29" t="n"/>
      <c r="BJ56" s="29" t="n"/>
      <c r="BK56" s="29" t="n"/>
      <c r="BL56" s="29" t="n"/>
      <c r="BM56" s="31">
        <f>IF(OR(NOT(ISNUMBER(M56)),AND(WEEKDAY(M56,2)&lt;&gt;2,WEEKDAY(M56,2)&lt;&gt;4)),"",WORKDAY(M56,CABOffsetFromReleaseWD))</f>
        <v/>
      </c>
      <c r="BN56" s="29" t="n"/>
      <c r="BO56" s="31">
        <f>IF(NOT(ISNUMBER(BM56)),"",IF(WEEKDAY(BM56-CodeReviewCalendarDays,2)&gt;5,BM56-CodeReviewCalendarDays-(WEEKDAY(BM56-CodeReviewCalendarDays,2)-5),BM56-CodeReviewCalendarDays))</f>
        <v/>
      </c>
      <c r="BP56" s="29" t="n"/>
      <c r="BQ56" s="31">
        <f>IF(NOT(ISNUMBER(BO56)),"",IF(WEEKDAY(BO56-CodeReviewInviteCalendarDays,2)&gt;5,BO56-CodeReviewInviteCalendarDays-(WEEKDAY(BO56-CodeReviewInviteCalendarDays,2)-5),BO56-CodeReviewInviteCalendarDays))</f>
        <v/>
      </c>
      <c r="BR56" s="29" t="n"/>
      <c r="BS56" s="29" t="n"/>
      <c r="BT56" s="30">
        <f>IF(A56="","",IF(IF(AND(ISNUMBER(J56),WEEKDAY(J56,2)&lt;&gt;2,WEEKDAY(J56,2)&lt;&gt;4)," | Release must be Tuesday or Thursday","")&amp;IF(AND(ISNUMBER(H56),WEEKDAY(H56,2)&lt;&gt;1)," | Sprint Start is not a Monday - dates still calculated from the date entered","")&amp;IF(AND(A56&lt;&gt;"",NOT(ISNUMBER(H56)),NOT(ISNUMBER(J56)))," | Enter Sprint Start or Release Date","")&amp;IF(AND(ISNUMBER(F56),F56&lt;TODAY(),D56&lt;&gt;"Completed")," | One or more raise-by dates are in the past and not completed","")&amp;IF(AND(ISNUMBER(K56),K56-TODAY()&lt;SprintWarningDays,K56&gt;=TODAY(),OR(D56="Yet to start",D56="Blocked"))," | Sprint starts in under 10 days - raise access requests now","")&amp;IF(AND(ISNUMBER(BQ56),BR56&lt;&gt;"Completed",BQ56-TODAY()&lt;CodeReviewInviteCalendarDays)," | Code Review invite should be sent at least 4 days before Code Review","")="","",MID(IF(AND(ISNUMBER(J56),WEEKDAY(J56,2)&lt;&gt;2,WEEKDAY(J56,2)&lt;&gt;4)," | Release must be Tuesday or Thursday","")&amp;IF(AND(ISNUMBER(H56),WEEKDAY(H56,2)&lt;&gt;1)," | Sprint Start is not a Monday - dates still calculated from the date entered","")&amp;IF(AND(A56&lt;&gt;"",NOT(ISNUMBER(H56)),NOT(ISNUMBER(J56)))," | Enter Sprint Start or Release Date","")&amp;IF(AND(ISNUMBER(F56),F56&lt;TODAY(),D56&lt;&gt;"Completed")," | One or more raise-by dates are in the past and not completed","")&amp;IF(AND(ISNUMBER(K56),K56-TODAY()&lt;SprintWarningDays,K56&gt;=TODAY(),OR(D56="Yet to start",D56="Blocked"))," | Sprint starts in under 10 days - raise access requests now","")&amp;IF(AND(ISNUMBER(BQ56),BR56&lt;&gt;"Completed",BQ56-TODAY()&lt;CodeReviewInviteCalendarDays)," | Code Review invite should be sent at least 4 days before Code Review",""),4,500)))</f>
        <v/>
      </c>
      <c r="BU56" s="26">
        <f>IF(AND(ISNUMBER(Q56),S56&lt;&gt;"Completed"),Q56,"")</f>
        <v/>
      </c>
      <c r="BV56" s="26">
        <f>IF(AND(ISNUMBER(T56),V56&lt;&gt;"Completed"),T56,"")</f>
        <v/>
      </c>
      <c r="BW56" s="26">
        <f>IF(AND(ISNUMBER(W56),Y56&lt;&gt;"Completed"),W56,"")</f>
        <v/>
      </c>
      <c r="BX56" s="26">
        <f>IF(AND(ISNUMBER(AA56),AC56&lt;&gt;"Completed"),AA56,"")</f>
        <v/>
      </c>
      <c r="BY56" s="26">
        <f>IF(AND(ISNUMBER(AG56),AI56&lt;&gt;"Completed"),AG56,"")</f>
        <v/>
      </c>
      <c r="BZ56" s="26">
        <f>IF(AND(ISNUMBER(AJ56),AL56&lt;&gt;"Completed"),AJ56,"")</f>
        <v/>
      </c>
      <c r="CA56" s="26">
        <f>IF(AND(ISNUMBER(AM56),AO56&lt;&gt;"Completed"),AM56,"")</f>
        <v/>
      </c>
      <c r="CB56" s="26">
        <f>IF(AND(ISNUMBER(AQ56),AS56&lt;&gt;"Completed"),AQ56,"")</f>
        <v/>
      </c>
      <c r="CC56" s="26">
        <f>IF(AND(ISNUMBER(AW56),AY56&lt;&gt;"Completed"),AW56,"")</f>
        <v/>
      </c>
      <c r="CD56" s="26">
        <f>IF(AND(ISNUMBER(AZ56),BB56&lt;&gt;"Completed"),AZ56,"")</f>
        <v/>
      </c>
      <c r="CE56" s="26">
        <f>IF(AND(ISNUMBER(BC56),BE56&lt;&gt;"Completed"),BC56,"")</f>
        <v/>
      </c>
      <c r="CF56" s="26">
        <f>IF(AND(ISNUMBER(BG56),BI56&lt;&gt;"Completed"),BG56,"")</f>
        <v/>
      </c>
      <c r="CG56" s="26">
        <f>IF(AND(ISNUMBER(O56),P56&lt;&gt;"Completed"),O56,"")</f>
        <v/>
      </c>
      <c r="CH56" s="26">
        <f>IF(AND(ISNUMBER(BQ56),BR56&lt;&gt;"Completed"),BQ56,"")</f>
        <v/>
      </c>
      <c r="CI56" s="26">
        <f>IF(AND(ISNUMBER(BO56),BP56&lt;&gt;"Completed"),BO56,"")</f>
        <v/>
      </c>
      <c r="CJ56" s="26">
        <f>IF(AND(ISNUMBER(BM56),BN56&lt;&gt;"Completed"),BM56,"")</f>
        <v/>
      </c>
      <c r="CK56" s="26">
        <f>IF(OR(A56="",D56="Completed"),"",IF(N(G56)&gt;0,1/(N(G56)+ROW()/100000),IF(ISNUMBER(F56),1000+F56+ROW()/100000,TODAY()+400+ROW()/100000)))</f>
        <v/>
      </c>
    </row>
    <row r="57" ht="16" customHeight="1" s="39">
      <c r="A57" s="29" t="inlineStr">
        <is>
          <t>Maximo_EDW_CDC</t>
        </is>
      </c>
      <c r="B57" s="29" t="inlineStr">
        <is>
          <t>Vidhesha &lt;vkumaran@randomtrees.com&gt;</t>
        </is>
      </c>
      <c r="C57" s="29" t="inlineStr">
        <is>
          <t>Sprint 22</t>
        </is>
      </c>
      <c r="D57" s="30">
        <f>IF(A57="","",IF(((S57="Blocked")+(V57="Blocked")+(Y57="Blocked")+(AC57="Blocked")+(AI57="Blocked")+(AL57="Blocked")+(AO57="Blocked")+(AS57="Blocked")+(AY57="Blocked")+(BB57="Blocked")+(BE57="Blocked")+(BI57="Blocked")+(P57="Blocked")+(BN57="Blocked")+(BP57="Blocked")+(BR57="Blocked")+(BS57="Blocked"))&gt;0,"Blocked",IF((ISNUMBER(Q57)+ISNUMBER(T57)+ISNUMBER(W57)+ISNUMBER(AA57)+ISNUMBER(AG57)+ISNUMBER(AJ57)+ISNUMBER(AM57)+ISNUMBER(AQ57)+ISNUMBER(AW57)+ISNUMBER(AZ57)+ISNUMBER(BC57)+ISNUMBER(BG57)+ISNUMBER(O57)+ISNUMBER(BM57)+ISNUMBER(BO57)+ISNUMBER(BQ57))=0,"Yet to start",IF(AND(OR(NOT(ISNUMBER(Q57)),S57="Completed"),OR(NOT(ISNUMBER(T57)),V57="Completed"),OR(NOT(ISNUMBER(W57)),Y57="Completed"),OR(NOT(ISNUMBER(AA57)),AC57="Completed"),OR(NOT(ISNUMBER(AG57)),AI57="Completed"),OR(NOT(ISNUMBER(AJ57)),AL57="Completed"),OR(NOT(ISNUMBER(AM57)),AO57="Completed"),OR(NOT(ISNUMBER(AQ57)),AS57="Completed"),OR(NOT(ISNUMBER(AW57)),AY57="Completed"),OR(NOT(ISNUMBER(AZ57)),BB57="Completed"),OR(NOT(ISNUMBER(BC57)),BE57="Completed"),OR(NOT(ISNUMBER(BG57)),BI57="Completed"),OR(NOT(ISNUMBER(O57)),P57="Completed"),OR(NOT(ISNUMBER(BM57)),BN57="Completed"),OR(NOT(ISNUMBER(BO57)),BP57="Completed"),OR(NOT(ISNUMBER(BQ57)),BR57="Completed"),BS57="Completed"),"Completed",IF(((S57="In Progress")+(V57="In Progress")+(Y57="In Progress")+(AC57="In Progress")+(AI57="In Progress")+(AL57="In Progress")+(AO57="In Progress")+(AS57="In Progress")+(AY57="In Progress")+(BB57="In Progress")+(BE57="In Progress")+(BI57="In Progress")+(P57="In Progress")+(BN57="In Progress")+(BP57="In Progress")+(BR57="In Progress")+(BS57="In Progress"))&gt;0,"In Progress","Yet to start")))))</f>
        <v/>
      </c>
      <c r="E57" s="30">
        <f>IF(A57="","",IF(F57="","All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Review","CAB"},MATCH(F57,BU57:CJ57,0))))</f>
        <v/>
      </c>
      <c r="F57" s="31">
        <f>IF(A57="","",IF(COUNT(BU57:CJ57)=0,"",MIN(BU57:CJ57)))</f>
        <v/>
      </c>
      <c r="G57" s="30">
        <f>IF(A57="","",MAX(0,IF(AND(ISNUMBER(Q57),S57&lt;&gt;"Completed",Q57&lt;TODAY()),TODAY()-Q57,0),IF(AND(ISNUMBER(T57),V57&lt;&gt;"Completed",T57&lt;TODAY()),TODAY()-T57,0),IF(AND(ISNUMBER(W57),Y57&lt;&gt;"Completed",W57&lt;TODAY()),TODAY()-W57,0),IF(AND(ISNUMBER(AA57),AC57&lt;&gt;"Completed",AA57&lt;TODAY()),TODAY()-AA57,0),IF(AND(ISNUMBER(AG57),AI57&lt;&gt;"Completed",AG57&lt;TODAY()),TODAY()-AG57,0),IF(AND(ISNUMBER(AJ57),AL57&lt;&gt;"Completed",AJ57&lt;TODAY()),TODAY()-AJ57,0),IF(AND(ISNUMBER(AM57),AO57&lt;&gt;"Completed",AM57&lt;TODAY()),TODAY()-AM57,0),IF(AND(ISNUMBER(AQ57),AS57&lt;&gt;"Completed",AQ57&lt;TODAY()),TODAY()-AQ57,0),IF(AND(ISNUMBER(AW57),AY57&lt;&gt;"Completed",AW57&lt;TODAY()),TODAY()-AW57,0),IF(AND(ISNUMBER(AZ57),BB57&lt;&gt;"Completed",AZ57&lt;TODAY()),TODAY()-AZ57,0),IF(AND(ISNUMBER(BC57),BE57&lt;&gt;"Completed",BC57&lt;TODAY()),TODAY()-BC57,0),IF(AND(ISNUMBER(BG57),BI57&lt;&gt;"Completed",BG57&lt;TODAY()),TODAY()-BG57,0),IF(AND(ISNUMBER(O57),P57&lt;&gt;"Completed",O57&lt;TODAY()),TODAY()-O57,0),IF(AND(ISNUMBER(BQ57),BR57&lt;&gt;"Completed",BQ57&lt;TODAY()),TODAY()-BQ57,0),IF(AND(ISNUMBER(BO57),BP57&lt;&gt;"Completed",BO57&lt;TODAY()),TODAY()-BO57,0),IF(AND(ISNUMBER(BM57),BN57&lt;&gt;"Completed",BM57&lt;TODAY()),TODAY()-BM57,0)))</f>
        <v/>
      </c>
      <c r="H57" s="32" t="n">
        <v>46302</v>
      </c>
      <c r="I57" s="32" t="n">
        <v>46315</v>
      </c>
      <c r="J57" s="32" t="n"/>
      <c r="K57" s="31">
        <f>IF(ISNUMBER(H57),H57,IF(ISNUMBER(M57),M57-WEEKDAY(M57,2)+1-7,""))</f>
        <v/>
      </c>
      <c r="L57" s="31">
        <f>IF(ISNUMBER(I57),I57,IF(ISNUMBER(H57),WORKDAY(H57,SprintWorkingDays-1),IF(ISNUMBER(K57),WORKDAY(K57,SprintWorkingDays-1),"")))</f>
        <v/>
      </c>
      <c r="M57" s="31">
        <f>IF(ISNUMBER(J57),J57,IF(ISNUMBER(I57),I57-IF(OR(WEEKDAY(I57,2)=2,WEEKDAY(I57,2)=4),0,IF(WEEKDAY(I57,2)=57,1,IF(WEEKDAY(I57,2)=1,4,WEEKDAY(I57,2)-4))),IF(ISNUMBER(H57),WORKDAY(H57,SprintWorkingDays-1)-IF(OR(WEEKDAY(WORKDAY(H57,SprintWorkingDays-1),2)=2,WEEKDAY(WORKDAY(H57,SprintWorkingDays-1),2)=4),0,IF(WEEKDAY(WORKDAY(H57,SprintWorkingDays-1),2)=57,1,IF(WEEKDAY(WORKDAY(H57,SprintWorkingDays-1),2)=1,4,WEEKDAY(WORKDAY(H57,SprintWorkingDays-1),2)-4))),"")))</f>
        <v/>
      </c>
      <c r="N57" s="31">
        <f>IF(NOT(ISNUMBER(K57)),"",WORKDAY(K57,ReadyOffsetWD))</f>
        <v/>
      </c>
      <c r="O57" s="31">
        <f>IF(NOT(ISNUMBER(K57)),"",WORKDAY(K57,SprintReadinessOffsetWD))</f>
        <v/>
      </c>
      <c r="P57" s="29" t="n"/>
      <c r="Q57" s="31">
        <f>IF(NOT(ISNUMBER(T57)),"",WORKDAY(T57,RTSKOffsetFromOUR_WD))</f>
        <v/>
      </c>
      <c r="R57" s="32" t="n"/>
      <c r="S57" s="29" t="n"/>
      <c r="T57" s="31">
        <f>IF(NOT(ISNUMBER(W57)),"",WORKDAY(W57,OUROffsetFromSR_WD))</f>
        <v/>
      </c>
      <c r="U57" s="32" t="n"/>
      <c r="V57" s="29" t="n"/>
      <c r="W57" s="31">
        <f>IF(NOT(ISNUMBER(K57)),"",WORKDAY(K57,SROffsetFromStartWD))</f>
        <v/>
      </c>
      <c r="X57" s="32" t="n"/>
      <c r="Y57" s="29" t="n"/>
      <c r="Z57" s="29" t="n"/>
      <c r="AA57" s="31">
        <f>IF(ISNUMBER(Q57),Q57,"")</f>
        <v/>
      </c>
      <c r="AB57" s="32" t="n"/>
      <c r="AC57" s="29" t="n"/>
      <c r="AD57" s="29" t="n"/>
      <c r="AE57" s="29" t="n"/>
      <c r="AF57" s="29" t="n"/>
      <c r="AG57" s="31">
        <f>IF(NOT(ISNUMBER(Q57)),"",Q57)</f>
        <v/>
      </c>
      <c r="AH57" s="32" t="n"/>
      <c r="AI57" s="29" t="n"/>
      <c r="AJ57" s="31">
        <f>IF(NOT(ISNUMBER(T57)),"",T57)</f>
        <v/>
      </c>
      <c r="AK57" s="32" t="n"/>
      <c r="AL57" s="29" t="n"/>
      <c r="AM57" s="31">
        <f>IF(NOT(ISNUMBER(W57)),"",W57)</f>
        <v/>
      </c>
      <c r="AN57" s="32" t="n"/>
      <c r="AO57" s="29" t="n"/>
      <c r="AP57" s="29" t="n"/>
      <c r="AQ57" s="31">
        <f>IF(ISNUMBER(AG57),AG57,"")</f>
        <v/>
      </c>
      <c r="AR57" s="32" t="n"/>
      <c r="AS57" s="29" t="n"/>
      <c r="AT57" s="29" t="n"/>
      <c r="AU57" s="29" t="n"/>
      <c r="AV57" s="29" t="n"/>
      <c r="AW57" s="31">
        <f>IF(NOT(ISNUMBER(Q57)),"",Q57)</f>
        <v/>
      </c>
      <c r="AX57" s="32" t="n"/>
      <c r="AY57" s="29" t="n"/>
      <c r="AZ57" s="31">
        <f>IF(NOT(ISNUMBER(T57)),"",T57)</f>
        <v/>
      </c>
      <c r="BA57" s="32" t="n"/>
      <c r="BB57" s="29" t="n"/>
      <c r="BC57" s="31">
        <f>IF(NOT(ISNUMBER(W57)),"",W57)</f>
        <v/>
      </c>
      <c r="BD57" s="32" t="n"/>
      <c r="BE57" s="29" t="n"/>
      <c r="BF57" s="29" t="n"/>
      <c r="BG57" s="31">
        <f>IF(ISNUMBER(AW57),AW57,"")</f>
        <v/>
      </c>
      <c r="BH57" s="32" t="n"/>
      <c r="BI57" s="29" t="n"/>
      <c r="BJ57" s="29" t="n"/>
      <c r="BK57" s="29" t="n"/>
      <c r="BL57" s="29" t="n"/>
      <c r="BM57" s="31">
        <f>IF(OR(NOT(ISNUMBER(M57)),AND(WEEKDAY(M57,2)&lt;&gt;2,WEEKDAY(M57,2)&lt;&gt;4)),"",WORKDAY(M57,CABOffsetFromReleaseWD))</f>
        <v/>
      </c>
      <c r="BN57" s="29" t="n"/>
      <c r="BO57" s="31">
        <f>IF(NOT(ISNUMBER(BM57)),"",IF(WEEKDAY(BM57-CodeReviewCalendarDays,2)&gt;5,BM57-CodeReviewCalendarDays-(WEEKDAY(BM57-CodeReviewCalendarDays,2)-5),BM57-CodeReviewCalendarDays))</f>
        <v/>
      </c>
      <c r="BP57" s="29" t="n"/>
      <c r="BQ57" s="31">
        <f>IF(NOT(ISNUMBER(BO57)),"",IF(WEEKDAY(BO57-CodeReviewInviteCalendarDays,2)&gt;5,BO57-CodeReviewInviteCalendarDays-(WEEKDAY(BO57-CodeReviewInviteCalendarDays,2)-5),BO57-CodeReviewInviteCalendarDays))</f>
        <v/>
      </c>
      <c r="BR57" s="29" t="n"/>
      <c r="BS57" s="29" t="n"/>
      <c r="BT57" s="30">
        <f>IF(A57="","",IF(IF(AND(ISNUMBER(J57),WEEKDAY(J57,2)&lt;&gt;2,WEEKDAY(J57,2)&lt;&gt;4)," | Release must be Tuesday or Thursday","")&amp;IF(AND(ISNUMBER(H57),WEEKDAY(H57,2)&lt;&gt;1)," | Sprint Start is not a Monday - dates still calculated from the date entered","")&amp;IF(AND(A57&lt;&gt;"",NOT(ISNUMBER(H57)),NOT(ISNUMBER(J57)))," | Enter Sprint Start or Release Date","")&amp;IF(AND(ISNUMBER(F57),F57&lt;TODAY(),D57&lt;&gt;"Completed")," | One or more raise-by dates are in the past and not completed","")&amp;IF(AND(ISNUMBER(K57),K57-TODAY()&lt;SprintWarningDays,K57&gt;=TODAY(),OR(D57="Yet to start",D57="Blocked"))," | Sprint starts in under 10 days - raise access requests now","")&amp;IF(AND(ISNUMBER(BQ57),BR57&lt;&gt;"Completed",BQ57-TODAY()&lt;CodeReviewInviteCalendarDays)," | Code Review invite should be sent at least 4 days before Code Review","")="","",MID(IF(AND(ISNUMBER(J57),WEEKDAY(J57,2)&lt;&gt;2,WEEKDAY(J57,2)&lt;&gt;4)," | Release must be Tuesday or Thursday","")&amp;IF(AND(ISNUMBER(H57),WEEKDAY(H57,2)&lt;&gt;1)," | Sprint Start is not a Monday - dates still calculated from the date entered","")&amp;IF(AND(A57&lt;&gt;"",NOT(ISNUMBER(H57)),NOT(ISNUMBER(J57)))," | Enter Sprint Start or Release Date","")&amp;IF(AND(ISNUMBER(F57),F57&lt;TODAY(),D57&lt;&gt;"Completed")," | One or more raise-by dates are in the past and not completed","")&amp;IF(AND(ISNUMBER(K57),K57-TODAY()&lt;SprintWarningDays,K57&gt;=TODAY(),OR(D57="Yet to start",D57="Blocked"))," | Sprint starts in under 10 days - raise access requests now","")&amp;IF(AND(ISNUMBER(BQ57),BR57&lt;&gt;"Completed",BQ57-TODAY()&lt;CodeReviewInviteCalendarDays)," | Code Review invite should be sent at least 4 days before Code Review",""),4,500)))</f>
        <v/>
      </c>
      <c r="BU57" s="26">
        <f>IF(AND(ISNUMBER(Q57),S57&lt;&gt;"Completed"),Q57,"")</f>
        <v/>
      </c>
      <c r="BV57" s="26">
        <f>IF(AND(ISNUMBER(T57),V57&lt;&gt;"Completed"),T57,"")</f>
        <v/>
      </c>
      <c r="BW57" s="26">
        <f>IF(AND(ISNUMBER(W57),Y57&lt;&gt;"Completed"),W57,"")</f>
        <v/>
      </c>
      <c r="BX57" s="26">
        <f>IF(AND(ISNUMBER(AA57),AC57&lt;&gt;"Completed"),AA57,"")</f>
        <v/>
      </c>
      <c r="BY57" s="26">
        <f>IF(AND(ISNUMBER(AG57),AI57&lt;&gt;"Completed"),AG57,"")</f>
        <v/>
      </c>
      <c r="BZ57" s="26">
        <f>IF(AND(ISNUMBER(AJ57),AL57&lt;&gt;"Completed"),AJ57,"")</f>
        <v/>
      </c>
      <c r="CA57" s="26">
        <f>IF(AND(ISNUMBER(AM57),AO57&lt;&gt;"Completed"),AM57,"")</f>
        <v/>
      </c>
      <c r="CB57" s="26">
        <f>IF(AND(ISNUMBER(AQ57),AS57&lt;&gt;"Completed"),AQ57,"")</f>
        <v/>
      </c>
      <c r="CC57" s="26">
        <f>IF(AND(ISNUMBER(AW57),AY57&lt;&gt;"Completed"),AW57,"")</f>
        <v/>
      </c>
      <c r="CD57" s="26">
        <f>IF(AND(ISNUMBER(AZ57),BB57&lt;&gt;"Completed"),AZ57,"")</f>
        <v/>
      </c>
      <c r="CE57" s="26">
        <f>IF(AND(ISNUMBER(BC57),BE57&lt;&gt;"Completed"),BC57,"")</f>
        <v/>
      </c>
      <c r="CF57" s="26">
        <f>IF(AND(ISNUMBER(BG57),BI57&lt;&gt;"Completed"),BG57,"")</f>
        <v/>
      </c>
      <c r="CG57" s="26">
        <f>IF(AND(ISNUMBER(O57),P57&lt;&gt;"Completed"),O57,"")</f>
        <v/>
      </c>
      <c r="CH57" s="26">
        <f>IF(AND(ISNUMBER(BQ57),BR57&lt;&gt;"Completed"),BQ57,"")</f>
        <v/>
      </c>
      <c r="CI57" s="26">
        <f>IF(AND(ISNUMBER(BO57),BP57&lt;&gt;"Completed"),BO57,"")</f>
        <v/>
      </c>
      <c r="CJ57" s="26">
        <f>IF(AND(ISNUMBER(BM57),BN57&lt;&gt;"Completed"),BM57,"")</f>
        <v/>
      </c>
      <c r="CK57" s="26">
        <f>IF(OR(A57="",D57="Completed"),"",IF(N(G57)&gt;0,1/(N(G57)+ROW()/100000),IF(ISNUMBER(F57),1000+F57+ROW()/100000,TODAY()+400+ROW()/100000)))</f>
        <v/>
      </c>
    </row>
    <row r="58" ht="16" customHeight="1" s="39">
      <c r="A58" s="29" t="inlineStr">
        <is>
          <t>DSTRACK</t>
        </is>
      </c>
      <c r="B58" s="29" t="inlineStr">
        <is>
          <t>Sharath &lt;Skotha1@randomtrees.com&gt;</t>
        </is>
      </c>
      <c r="C58" s="29" t="inlineStr">
        <is>
          <t>Sprint 22</t>
        </is>
      </c>
      <c r="D58" s="30">
        <f>IF(A58="","",IF(((S58="Blocked")+(V58="Blocked")+(Y58="Blocked")+(AC58="Blocked")+(AI58="Blocked")+(AL58="Blocked")+(AO58="Blocked")+(AS58="Blocked")+(AY58="Blocked")+(BB58="Blocked")+(BE58="Blocked")+(BI58="Blocked")+(P58="Blocked")+(BN58="Blocked")+(BP58="Blocked")+(BR58="Blocked")+(BS58="Blocked"))&gt;0,"Blocked",IF((ISNUMBER(Q58)+ISNUMBER(T58)+ISNUMBER(W58)+ISNUMBER(AA58)+ISNUMBER(AG58)+ISNUMBER(AJ58)+ISNUMBER(AM58)+ISNUMBER(AQ58)+ISNUMBER(AW58)+ISNUMBER(AZ58)+ISNUMBER(BC58)+ISNUMBER(BG58)+ISNUMBER(O58)+ISNUMBER(BM58)+ISNUMBER(BO58)+ISNUMBER(BQ58))=0,"Yet to start",IF(AND(OR(NOT(ISNUMBER(Q58)),S58="Completed"),OR(NOT(ISNUMBER(T58)),V58="Completed"),OR(NOT(ISNUMBER(W58)),Y58="Completed"),OR(NOT(ISNUMBER(AA58)),AC58="Completed"),OR(NOT(ISNUMBER(AG58)),AI58="Completed"),OR(NOT(ISNUMBER(AJ58)),AL58="Completed"),OR(NOT(ISNUMBER(AM58)),AO58="Completed"),OR(NOT(ISNUMBER(AQ58)),AS58="Completed"),OR(NOT(ISNUMBER(AW58)),AY58="Completed"),OR(NOT(ISNUMBER(AZ58)),BB58="Completed"),OR(NOT(ISNUMBER(BC58)),BE58="Completed"),OR(NOT(ISNUMBER(BG58)),BI58="Completed"),OR(NOT(ISNUMBER(O58)),P58="Completed"),OR(NOT(ISNUMBER(BM58)),BN58="Completed"),OR(NOT(ISNUMBER(BO58)),BP58="Completed"),OR(NOT(ISNUMBER(BQ58)),BR58="Completed"),BS58="Completed"),"Completed",IF(((S58="In Progress")+(V58="In Progress")+(Y58="In Progress")+(AC58="In Progress")+(AI58="In Progress")+(AL58="In Progress")+(AO58="In Progress")+(AS58="In Progress")+(AY58="In Progress")+(BB58="In Progress")+(BE58="In Progress")+(BI58="In Progress")+(P58="In Progress")+(BN58="In Progress")+(BP58="In Progress")+(BR58="In Progress")+(BS58="In Progress"))&gt;0,"In Progress","Yet to start")))))</f>
        <v/>
      </c>
      <c r="E58" s="30">
        <f>IF(A58="","",IF(F58="","All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Review","CAB"},MATCH(F58,BU58:CJ58,0))))</f>
        <v/>
      </c>
      <c r="F58" s="31">
        <f>IF(A58="","",IF(COUNT(BU58:CJ58)=0,"",MIN(BU58:CJ58)))</f>
        <v/>
      </c>
      <c r="G58" s="30">
        <f>IF(A58="","",MAX(0,IF(AND(ISNUMBER(Q58),S58&lt;&gt;"Completed",Q58&lt;TODAY()),TODAY()-Q58,0),IF(AND(ISNUMBER(T58),V58&lt;&gt;"Completed",T58&lt;TODAY()),TODAY()-T58,0),IF(AND(ISNUMBER(W58),Y58&lt;&gt;"Completed",W58&lt;TODAY()),TODAY()-W58,0),IF(AND(ISNUMBER(AA58),AC58&lt;&gt;"Completed",AA58&lt;TODAY()),TODAY()-AA58,0),IF(AND(ISNUMBER(AG58),AI58&lt;&gt;"Completed",AG58&lt;TODAY()),TODAY()-AG58,0),IF(AND(ISNUMBER(AJ58),AL58&lt;&gt;"Completed",AJ58&lt;TODAY()),TODAY()-AJ58,0),IF(AND(ISNUMBER(AM58),AO58&lt;&gt;"Completed",AM58&lt;TODAY()),TODAY()-AM58,0),IF(AND(ISNUMBER(AQ58),AS58&lt;&gt;"Completed",AQ58&lt;TODAY()),TODAY()-AQ58,0),IF(AND(ISNUMBER(AW58),AY58&lt;&gt;"Completed",AW58&lt;TODAY()),TODAY()-AW58,0),IF(AND(ISNUMBER(AZ58),BB58&lt;&gt;"Completed",AZ58&lt;TODAY()),TODAY()-AZ58,0),IF(AND(ISNUMBER(BC58),BE58&lt;&gt;"Completed",BC58&lt;TODAY()),TODAY()-BC58,0),IF(AND(ISNUMBER(BG58),BI58&lt;&gt;"Completed",BG58&lt;TODAY()),TODAY()-BG58,0),IF(AND(ISNUMBER(O58),P58&lt;&gt;"Completed",O58&lt;TODAY()),TODAY()-O58,0),IF(AND(ISNUMBER(BQ58),BR58&lt;&gt;"Completed",BQ58&lt;TODAY()),TODAY()-BQ58,0),IF(AND(ISNUMBER(BO58),BP58&lt;&gt;"Completed",BO58&lt;TODAY()),TODAY()-BO58,0),IF(AND(ISNUMBER(BM58),BN58&lt;&gt;"Completed",BM58&lt;TODAY()),TODAY()-BM58,0)))</f>
        <v/>
      </c>
      <c r="H58" s="32" t="n">
        <v>46302</v>
      </c>
      <c r="I58" s="32" t="n">
        <v>46315</v>
      </c>
      <c r="J58" s="32" t="n"/>
      <c r="K58" s="31">
        <f>IF(ISNUMBER(H58),H58,IF(ISNUMBER(M58),M58-WEEKDAY(M58,2)+1-7,""))</f>
        <v/>
      </c>
      <c r="L58" s="31">
        <f>IF(ISNUMBER(I58),I58,IF(ISNUMBER(H58),WORKDAY(H58,SprintWorkingDays-1),IF(ISNUMBER(K58),WORKDAY(K58,SprintWorkingDays-1),"")))</f>
        <v/>
      </c>
      <c r="M58" s="31">
        <f>IF(ISNUMBER(J58),J58,IF(ISNUMBER(I58),I58-IF(OR(WEEKDAY(I58,2)=2,WEEKDAY(I58,2)=4),0,IF(WEEKDAY(I58,2)=58,1,IF(WEEKDAY(I58,2)=1,4,WEEKDAY(I58,2)-4))),IF(ISNUMBER(H58),WORKDAY(H58,SprintWorkingDays-1)-IF(OR(WEEKDAY(WORKDAY(H58,SprintWorkingDays-1),2)=2,WEEKDAY(WORKDAY(H58,SprintWorkingDays-1),2)=4),0,IF(WEEKDAY(WORKDAY(H58,SprintWorkingDays-1),2)=58,1,IF(WEEKDAY(WORKDAY(H58,SprintWorkingDays-1),2)=1,4,WEEKDAY(WORKDAY(H58,SprintWorkingDays-1),2)-4))),"")))</f>
        <v/>
      </c>
      <c r="N58" s="31">
        <f>IF(NOT(ISNUMBER(K58)),"",WORKDAY(K58,ReadyOffsetWD))</f>
        <v/>
      </c>
      <c r="O58" s="31">
        <f>IF(NOT(ISNUMBER(K58)),"",WORKDAY(K58,SprintReadinessOffsetWD))</f>
        <v/>
      </c>
      <c r="P58" s="29" t="n"/>
      <c r="Q58" s="31">
        <f>IF(NOT(ISNUMBER(T58)),"",WORKDAY(T58,RTSKOffsetFromOUR_WD))</f>
        <v/>
      </c>
      <c r="R58" s="32" t="n"/>
      <c r="S58" s="29" t="n"/>
      <c r="T58" s="31">
        <f>IF(NOT(ISNUMBER(W58)),"",WORKDAY(W58,OUROffsetFromSR_WD))</f>
        <v/>
      </c>
      <c r="U58" s="32" t="n"/>
      <c r="V58" s="29" t="n"/>
      <c r="W58" s="31">
        <f>IF(NOT(ISNUMBER(K58)),"",WORKDAY(K58,SROffsetFromStartWD))</f>
        <v/>
      </c>
      <c r="X58" s="32" t="n"/>
      <c r="Y58" s="29" t="n"/>
      <c r="Z58" s="29" t="n"/>
      <c r="AA58" s="31">
        <f>IF(ISNUMBER(Q58),Q58,"")</f>
        <v/>
      </c>
      <c r="AB58" s="32" t="n"/>
      <c r="AC58" s="29" t="n"/>
      <c r="AD58" s="29" t="n"/>
      <c r="AE58" s="29" t="n"/>
      <c r="AF58" s="29" t="n"/>
      <c r="AG58" s="31">
        <f>IF(NOT(ISNUMBER(Q58)),"",Q58)</f>
        <v/>
      </c>
      <c r="AH58" s="32" t="n"/>
      <c r="AI58" s="29" t="n"/>
      <c r="AJ58" s="31">
        <f>IF(NOT(ISNUMBER(T58)),"",T58)</f>
        <v/>
      </c>
      <c r="AK58" s="32" t="n"/>
      <c r="AL58" s="29" t="n"/>
      <c r="AM58" s="31">
        <f>IF(NOT(ISNUMBER(W58)),"",W58)</f>
        <v/>
      </c>
      <c r="AN58" s="32" t="n"/>
      <c r="AO58" s="29" t="n"/>
      <c r="AP58" s="29" t="n"/>
      <c r="AQ58" s="31">
        <f>IF(ISNUMBER(AG58),AG58,"")</f>
        <v/>
      </c>
      <c r="AR58" s="32" t="n"/>
      <c r="AS58" s="29" t="n"/>
      <c r="AT58" s="29" t="n"/>
      <c r="AU58" s="29" t="n"/>
      <c r="AV58" s="29" t="n"/>
      <c r="AW58" s="31">
        <f>IF(NOT(ISNUMBER(Q58)),"",Q58)</f>
        <v/>
      </c>
      <c r="AX58" s="32" t="n"/>
      <c r="AY58" s="29" t="n"/>
      <c r="AZ58" s="31">
        <f>IF(NOT(ISNUMBER(T58)),"",T58)</f>
        <v/>
      </c>
      <c r="BA58" s="32" t="n"/>
      <c r="BB58" s="29" t="n"/>
      <c r="BC58" s="31">
        <f>IF(NOT(ISNUMBER(W58)),"",W58)</f>
        <v/>
      </c>
      <c r="BD58" s="32" t="n"/>
      <c r="BE58" s="29" t="n"/>
      <c r="BF58" s="29" t="n"/>
      <c r="BG58" s="31">
        <f>IF(ISNUMBER(AW58),AW58,"")</f>
        <v/>
      </c>
      <c r="BH58" s="32" t="n"/>
      <c r="BI58" s="29" t="n"/>
      <c r="BJ58" s="29" t="n"/>
      <c r="BK58" s="29" t="n"/>
      <c r="BL58" s="29" t="n"/>
      <c r="BM58" s="31">
        <f>IF(OR(NOT(ISNUMBER(M58)),AND(WEEKDAY(M58,2)&lt;&gt;2,WEEKDAY(M58,2)&lt;&gt;4)),"",WORKDAY(M58,CABOffsetFromReleaseWD))</f>
        <v/>
      </c>
      <c r="BN58" s="29" t="n"/>
      <c r="BO58" s="31">
        <f>IF(NOT(ISNUMBER(BM58)),"",IF(WEEKDAY(BM58-CodeReviewCalendarDays,2)&gt;5,BM58-CodeReviewCalendarDays-(WEEKDAY(BM58-CodeReviewCalendarDays,2)-5),BM58-CodeReviewCalendarDays))</f>
        <v/>
      </c>
      <c r="BP58" s="29" t="n"/>
      <c r="BQ58" s="31">
        <f>IF(NOT(ISNUMBER(BO58)),"",IF(WEEKDAY(BO58-CodeReviewInviteCalendarDays,2)&gt;5,BO58-CodeReviewInviteCalendarDays-(WEEKDAY(BO58-CodeReviewInviteCalendarDays,2)-5),BO58-CodeReviewInviteCalendarDays))</f>
        <v/>
      </c>
      <c r="BR58" s="29" t="n"/>
      <c r="BS58" s="29" t="n"/>
      <c r="BT58" s="30">
        <f>IF(A58="","",IF(IF(AND(ISNUMBER(J58),WEEKDAY(J58,2)&lt;&gt;2,WEEKDAY(J58,2)&lt;&gt;4)," | Release must be Tuesday or Thursday","")&amp;IF(AND(ISNUMBER(H58),WEEKDAY(H58,2)&lt;&gt;1)," | Sprint Start is not a Monday - dates still calculated from the date entered","")&amp;IF(AND(A58&lt;&gt;"",NOT(ISNUMBER(H58)),NOT(ISNUMBER(J58)))," | Enter Sprint Start or Release Date","")&amp;IF(AND(ISNUMBER(F58),F58&lt;TODAY(),D58&lt;&gt;"Completed")," | One or more raise-by dates are in the past and not completed","")&amp;IF(AND(ISNUMBER(K58),K58-TODAY()&lt;SprintWarningDays,K58&gt;=TODAY(),OR(D58="Yet to start",D58="Blocked"))," | Sprint starts in under 10 days - raise access requests now","")&amp;IF(AND(ISNUMBER(BQ58),BR58&lt;&gt;"Completed",BQ58-TODAY()&lt;CodeReviewInviteCalendarDays)," | Code Review invite should be sent at least 4 days before Code Review","")="","",MID(IF(AND(ISNUMBER(J58),WEEKDAY(J58,2)&lt;&gt;2,WEEKDAY(J58,2)&lt;&gt;4)," | Release must be Tuesday or Thursday","")&amp;IF(AND(ISNUMBER(H58),WEEKDAY(H58,2)&lt;&gt;1)," | Sprint Start is not a Monday - dates still calculated from the date entered","")&amp;IF(AND(A58&lt;&gt;"",NOT(ISNUMBER(H58)),NOT(ISNUMBER(J58)))," | Enter Sprint Start or Release Date","")&amp;IF(AND(ISNUMBER(F58),F58&lt;TODAY(),D58&lt;&gt;"Completed")," | One or more raise-by dates are in the past and not completed","")&amp;IF(AND(ISNUMBER(K58),K58-TODAY()&lt;SprintWarningDays,K58&gt;=TODAY(),OR(D58="Yet to start",D58="Blocked"))," | Sprint starts in under 10 days - raise access requests now","")&amp;IF(AND(ISNUMBER(BQ58),BR58&lt;&gt;"Completed",BQ58-TODAY()&lt;CodeReviewInviteCalendarDays)," | Code Review invite should be sent at least 4 days before Code Review",""),4,500)))</f>
        <v/>
      </c>
      <c r="BU58" s="26">
        <f>IF(AND(ISNUMBER(Q58),S58&lt;&gt;"Completed"),Q58,"")</f>
        <v/>
      </c>
      <c r="BV58" s="26">
        <f>IF(AND(ISNUMBER(T58),V58&lt;&gt;"Completed"),T58,"")</f>
        <v/>
      </c>
      <c r="BW58" s="26">
        <f>IF(AND(ISNUMBER(W58),Y58&lt;&gt;"Completed"),W58,"")</f>
        <v/>
      </c>
      <c r="BX58" s="26">
        <f>IF(AND(ISNUMBER(AA58),AC58&lt;&gt;"Completed"),AA58,"")</f>
        <v/>
      </c>
      <c r="BY58" s="26">
        <f>IF(AND(ISNUMBER(AG58),AI58&lt;&gt;"Completed"),AG58,"")</f>
        <v/>
      </c>
      <c r="BZ58" s="26">
        <f>IF(AND(ISNUMBER(AJ58),AL58&lt;&gt;"Completed"),AJ58,"")</f>
        <v/>
      </c>
      <c r="CA58" s="26">
        <f>IF(AND(ISNUMBER(AM58),AO58&lt;&gt;"Completed"),AM58,"")</f>
        <v/>
      </c>
      <c r="CB58" s="26">
        <f>IF(AND(ISNUMBER(AQ58),AS58&lt;&gt;"Completed"),AQ58,"")</f>
        <v/>
      </c>
      <c r="CC58" s="26">
        <f>IF(AND(ISNUMBER(AW58),AY58&lt;&gt;"Completed"),AW58,"")</f>
        <v/>
      </c>
      <c r="CD58" s="26">
        <f>IF(AND(ISNUMBER(AZ58),BB58&lt;&gt;"Completed"),AZ58,"")</f>
        <v/>
      </c>
      <c r="CE58" s="26">
        <f>IF(AND(ISNUMBER(BC58),BE58&lt;&gt;"Completed"),BC58,"")</f>
        <v/>
      </c>
      <c r="CF58" s="26">
        <f>IF(AND(ISNUMBER(BG58),BI58&lt;&gt;"Completed"),BG58,"")</f>
        <v/>
      </c>
      <c r="CG58" s="26">
        <f>IF(AND(ISNUMBER(O58),P58&lt;&gt;"Completed"),O58,"")</f>
        <v/>
      </c>
      <c r="CH58" s="26">
        <f>IF(AND(ISNUMBER(BQ58),BR58&lt;&gt;"Completed"),BQ58,"")</f>
        <v/>
      </c>
      <c r="CI58" s="26">
        <f>IF(AND(ISNUMBER(BO58),BP58&lt;&gt;"Completed"),BO58,"")</f>
        <v/>
      </c>
      <c r="CJ58" s="26">
        <f>IF(AND(ISNUMBER(BM58),BN58&lt;&gt;"Completed"),BM58,"")</f>
        <v/>
      </c>
      <c r="CK58" s="26">
        <f>IF(OR(A58="",D58="Completed"),"",IF(N(G58)&gt;0,1/(N(G58)+ROW()/100000),IF(ISNUMBER(F58),1000+F58+ROW()/100000,TODAY()+400+ROW()/100000)))</f>
        <v/>
      </c>
    </row>
    <row r="59" ht="16" customHeight="1" s="39">
      <c r="A59" s="29" t="inlineStr">
        <is>
          <t>RAT</t>
        </is>
      </c>
      <c r="B59" s="29" t="inlineStr">
        <is>
          <t>Santhosh &lt;skoyalkar@randomtrees.com&gt;</t>
        </is>
      </c>
      <c r="C59" s="29" t="inlineStr">
        <is>
          <t>Sprint 22</t>
        </is>
      </c>
      <c r="D59" s="30">
        <f>IF(A59="","",IF(((S59="Blocked")+(V59="Blocked")+(Y59="Blocked")+(AC59="Blocked")+(AI59="Blocked")+(AL59="Blocked")+(AO59="Blocked")+(AS59="Blocked")+(AY59="Blocked")+(BB59="Blocked")+(BE59="Blocked")+(BI59="Blocked")+(P59="Blocked")+(BN59="Blocked")+(BP59="Blocked")+(BR59="Blocked")+(BS59="Blocked"))&gt;0,"Blocked",IF((ISNUMBER(Q59)+ISNUMBER(T59)+ISNUMBER(W59)+ISNUMBER(AA59)+ISNUMBER(AG59)+ISNUMBER(AJ59)+ISNUMBER(AM59)+ISNUMBER(AQ59)+ISNUMBER(AW59)+ISNUMBER(AZ59)+ISNUMBER(BC59)+ISNUMBER(BG59)+ISNUMBER(O59)+ISNUMBER(BM59)+ISNUMBER(BO59)+ISNUMBER(BQ59))=0,"Yet to start",IF(AND(OR(NOT(ISNUMBER(Q59)),S59="Completed"),OR(NOT(ISNUMBER(T59)),V59="Completed"),OR(NOT(ISNUMBER(W59)),Y59="Completed"),OR(NOT(ISNUMBER(AA59)),AC59="Completed"),OR(NOT(ISNUMBER(AG59)),AI59="Completed"),OR(NOT(ISNUMBER(AJ59)),AL59="Completed"),OR(NOT(ISNUMBER(AM59)),AO59="Completed"),OR(NOT(ISNUMBER(AQ59)),AS59="Completed"),OR(NOT(ISNUMBER(AW59)),AY59="Completed"),OR(NOT(ISNUMBER(AZ59)),BB59="Completed"),OR(NOT(ISNUMBER(BC59)),BE59="Completed"),OR(NOT(ISNUMBER(BG59)),BI59="Completed"),OR(NOT(ISNUMBER(O59)),P59="Completed"),OR(NOT(ISNUMBER(BM59)),BN59="Completed"),OR(NOT(ISNUMBER(BO59)),BP59="Completed"),OR(NOT(ISNUMBER(BQ59)),BR59="Completed"),BS59="Completed"),"Completed",IF(((S59="In Progress")+(V59="In Progress")+(Y59="In Progress")+(AC59="In Progress")+(AI59="In Progress")+(AL59="In Progress")+(AO59="In Progress")+(AS59="In Progress")+(AY59="In Progress")+(BB59="In Progress")+(BE59="In Progress")+(BI59="In Progress")+(P59="In Progress")+(BN59="In Progress")+(BP59="In Progress")+(BR59="In Progress")+(BS59="In Progress"))&gt;0,"In Progress","Yet to start")))))</f>
        <v/>
      </c>
      <c r="E59" s="30">
        <f>IF(A59="","",IF(F59="","All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Review","CAB"},MATCH(F59,BU59:CJ59,0))))</f>
        <v/>
      </c>
      <c r="F59" s="31">
        <f>IF(A59="","",IF(COUNT(BU59:CJ59)=0,"",MIN(BU59:CJ59)))</f>
        <v/>
      </c>
      <c r="G59" s="30">
        <f>IF(A59="","",MAX(0,IF(AND(ISNUMBER(Q59),S59&lt;&gt;"Completed",Q59&lt;TODAY()),TODAY()-Q59,0),IF(AND(ISNUMBER(T59),V59&lt;&gt;"Completed",T59&lt;TODAY()),TODAY()-T59,0),IF(AND(ISNUMBER(W59),Y59&lt;&gt;"Completed",W59&lt;TODAY()),TODAY()-W59,0),IF(AND(ISNUMBER(AA59),AC59&lt;&gt;"Completed",AA59&lt;TODAY()),TODAY()-AA59,0),IF(AND(ISNUMBER(AG59),AI59&lt;&gt;"Completed",AG59&lt;TODAY()),TODAY()-AG59,0),IF(AND(ISNUMBER(AJ59),AL59&lt;&gt;"Completed",AJ59&lt;TODAY()),TODAY()-AJ59,0),IF(AND(ISNUMBER(AM59),AO59&lt;&gt;"Completed",AM59&lt;TODAY()),TODAY()-AM59,0),IF(AND(ISNUMBER(AQ59),AS59&lt;&gt;"Completed",AQ59&lt;TODAY()),TODAY()-AQ59,0),IF(AND(ISNUMBER(AW59),AY59&lt;&gt;"Completed",AW59&lt;TODAY()),TODAY()-AW59,0),IF(AND(ISNUMBER(AZ59),BB59&lt;&gt;"Completed",AZ59&lt;TODAY()),TODAY()-AZ59,0),IF(AND(ISNUMBER(BC59),BE59&lt;&gt;"Completed",BC59&lt;TODAY()),TODAY()-BC59,0),IF(AND(ISNUMBER(BG59),BI59&lt;&gt;"Completed",BG59&lt;TODAY()),TODAY()-BG59,0),IF(AND(ISNUMBER(O59),P59&lt;&gt;"Completed",O59&lt;TODAY()),TODAY()-O59,0),IF(AND(ISNUMBER(BQ59),BR59&lt;&gt;"Completed",BQ59&lt;TODAY()),TODAY()-BQ59,0),IF(AND(ISNUMBER(BO59),BP59&lt;&gt;"Completed",BO59&lt;TODAY()),TODAY()-BO59,0),IF(AND(ISNUMBER(BM59),BN59&lt;&gt;"Completed",BM59&lt;TODAY()),TODAY()-BM59,0)))</f>
        <v/>
      </c>
      <c r="H59" s="32" t="n">
        <v>46302</v>
      </c>
      <c r="I59" s="32" t="n">
        <v>46315</v>
      </c>
      <c r="J59" s="32" t="n"/>
      <c r="K59" s="31">
        <f>IF(ISNUMBER(H59),H59,IF(ISNUMBER(M59),M59-WEEKDAY(M59,2)+1-7,""))</f>
        <v/>
      </c>
      <c r="L59" s="31">
        <f>IF(ISNUMBER(I59),I59,IF(ISNUMBER(H59),WORKDAY(H59,SprintWorkingDays-1),IF(ISNUMBER(K59),WORKDAY(K59,SprintWorkingDays-1),"")))</f>
        <v/>
      </c>
      <c r="M59" s="31">
        <f>IF(ISNUMBER(J59),J59,IF(ISNUMBER(I59),I59-IF(OR(WEEKDAY(I59,2)=2,WEEKDAY(I59,2)=4),0,IF(WEEKDAY(I59,2)=59,1,IF(WEEKDAY(I59,2)=1,4,WEEKDAY(I59,2)-4))),IF(ISNUMBER(H59),WORKDAY(H59,SprintWorkingDays-1)-IF(OR(WEEKDAY(WORKDAY(H59,SprintWorkingDays-1),2)=2,WEEKDAY(WORKDAY(H59,SprintWorkingDays-1),2)=4),0,IF(WEEKDAY(WORKDAY(H59,SprintWorkingDays-1),2)=59,1,IF(WEEKDAY(WORKDAY(H59,SprintWorkingDays-1),2)=1,4,WEEKDAY(WORKDAY(H59,SprintWorkingDays-1),2)-4))),"")))</f>
        <v/>
      </c>
      <c r="N59" s="31">
        <f>IF(NOT(ISNUMBER(K59)),"",WORKDAY(K59,ReadyOffsetWD))</f>
        <v/>
      </c>
      <c r="O59" s="31">
        <f>IF(NOT(ISNUMBER(K59)),"",WORKDAY(K59,SprintReadinessOffsetWD))</f>
        <v/>
      </c>
      <c r="P59" s="29" t="n"/>
      <c r="Q59" s="31">
        <f>IF(NOT(ISNUMBER(T59)),"",WORKDAY(T59,RTSKOffsetFromOUR_WD))</f>
        <v/>
      </c>
      <c r="R59" s="32" t="n"/>
      <c r="S59" s="29" t="n"/>
      <c r="T59" s="31">
        <f>IF(NOT(ISNUMBER(W59)),"",WORKDAY(W59,OUROffsetFromSR_WD))</f>
        <v/>
      </c>
      <c r="U59" s="32" t="n"/>
      <c r="V59" s="29" t="n"/>
      <c r="W59" s="31">
        <f>IF(NOT(ISNUMBER(K59)),"",WORKDAY(K59,SROffsetFromStartWD))</f>
        <v/>
      </c>
      <c r="X59" s="32" t="n"/>
      <c r="Y59" s="29" t="n"/>
      <c r="Z59" s="29" t="n"/>
      <c r="AA59" s="31">
        <f>IF(ISNUMBER(Q59),Q59,"")</f>
        <v/>
      </c>
      <c r="AB59" s="32" t="n"/>
      <c r="AC59" s="29" t="n"/>
      <c r="AD59" s="29" t="n"/>
      <c r="AE59" s="29" t="n"/>
      <c r="AF59" s="29" t="n"/>
      <c r="AG59" s="31">
        <f>IF(NOT(ISNUMBER(Q59)),"",Q59)</f>
        <v/>
      </c>
      <c r="AH59" s="32" t="n"/>
      <c r="AI59" s="29" t="n"/>
      <c r="AJ59" s="31">
        <f>IF(NOT(ISNUMBER(T59)),"",T59)</f>
        <v/>
      </c>
      <c r="AK59" s="32" t="n"/>
      <c r="AL59" s="29" t="n"/>
      <c r="AM59" s="31">
        <f>IF(NOT(ISNUMBER(W59)),"",W59)</f>
        <v/>
      </c>
      <c r="AN59" s="32" t="n"/>
      <c r="AO59" s="29" t="n"/>
      <c r="AP59" s="29" t="n"/>
      <c r="AQ59" s="31">
        <f>IF(ISNUMBER(AG59),AG59,"")</f>
        <v/>
      </c>
      <c r="AR59" s="32" t="n"/>
      <c r="AS59" s="29" t="n"/>
      <c r="AT59" s="29" t="n"/>
      <c r="AU59" s="29" t="n"/>
      <c r="AV59" s="29" t="n"/>
      <c r="AW59" s="31">
        <f>IF(NOT(ISNUMBER(Q59)),"",Q59)</f>
        <v/>
      </c>
      <c r="AX59" s="32" t="n"/>
      <c r="AY59" s="29" t="n"/>
      <c r="AZ59" s="31">
        <f>IF(NOT(ISNUMBER(T59)),"",T59)</f>
        <v/>
      </c>
      <c r="BA59" s="32" t="n"/>
      <c r="BB59" s="29" t="n"/>
      <c r="BC59" s="31">
        <f>IF(NOT(ISNUMBER(W59)),"",W59)</f>
        <v/>
      </c>
      <c r="BD59" s="32" t="n"/>
      <c r="BE59" s="29" t="n"/>
      <c r="BF59" s="29" t="n"/>
      <c r="BG59" s="31">
        <f>IF(ISNUMBER(AW59),AW59,"")</f>
        <v/>
      </c>
      <c r="BH59" s="32" t="n"/>
      <c r="BI59" s="29" t="n"/>
      <c r="BJ59" s="29" t="n"/>
      <c r="BK59" s="29" t="n"/>
      <c r="BL59" s="29" t="n"/>
      <c r="BM59" s="31">
        <f>IF(OR(NOT(ISNUMBER(M59)),AND(WEEKDAY(M59,2)&lt;&gt;2,WEEKDAY(M59,2)&lt;&gt;4)),"",WORKDAY(M59,CABOffsetFromReleaseWD))</f>
        <v/>
      </c>
      <c r="BN59" s="29" t="n"/>
      <c r="BO59" s="31">
        <f>IF(NOT(ISNUMBER(BM59)),"",IF(WEEKDAY(BM59-CodeReviewCalendarDays,2)&gt;5,BM59-CodeReviewCalendarDays-(WEEKDAY(BM59-CodeReviewCalendarDays,2)-5),BM59-CodeReviewCalendarDays))</f>
        <v/>
      </c>
      <c r="BP59" s="29" t="n"/>
      <c r="BQ59" s="31">
        <f>IF(NOT(ISNUMBER(BO59)),"",IF(WEEKDAY(BO59-CodeReviewInviteCalendarDays,2)&gt;5,BO59-CodeReviewInviteCalendarDays-(WEEKDAY(BO59-CodeReviewInviteCalendarDays,2)-5),BO59-CodeReviewInviteCalendarDays))</f>
        <v/>
      </c>
      <c r="BR59" s="29" t="n"/>
      <c r="BS59" s="29" t="n"/>
      <c r="BT59" s="30">
        <f>IF(A59="","",IF(IF(AND(ISNUMBER(J59),WEEKDAY(J59,2)&lt;&gt;2,WEEKDAY(J59,2)&lt;&gt;4)," | Release must be Tuesday or Thursday","")&amp;IF(AND(ISNUMBER(H59),WEEKDAY(H59,2)&lt;&gt;1)," | Sprint Start is not a Monday - dates still calculated from the date entered","")&amp;IF(AND(A59&lt;&gt;"",NOT(ISNUMBER(H59)),NOT(ISNUMBER(J59)))," | Enter Sprint Start or Release Date","")&amp;IF(AND(ISNUMBER(F59),F59&lt;TODAY(),D59&lt;&gt;"Completed")," | One or more raise-by dates are in the past and not completed","")&amp;IF(AND(ISNUMBER(K59),K59-TODAY()&lt;SprintWarningDays,K59&gt;=TODAY(),OR(D59="Yet to start",D59="Blocked"))," | Sprint starts in under 10 days - raise access requests now","")&amp;IF(AND(ISNUMBER(BQ59),BR59&lt;&gt;"Completed",BQ59-TODAY()&lt;CodeReviewInviteCalendarDays)," | Code Review invite should be sent at least 4 days before Code Review","")="","",MID(IF(AND(ISNUMBER(J59),WEEKDAY(J59,2)&lt;&gt;2,WEEKDAY(J59,2)&lt;&gt;4)," | Release must be Tuesday or Thursday","")&amp;IF(AND(ISNUMBER(H59),WEEKDAY(H59,2)&lt;&gt;1)," | Sprint Start is not a Monday - dates still calculated from the date entered","")&amp;IF(AND(A59&lt;&gt;"",NOT(ISNUMBER(H59)),NOT(ISNUMBER(J59)))," | Enter Sprint Start or Release Date","")&amp;IF(AND(ISNUMBER(F59),F59&lt;TODAY(),D59&lt;&gt;"Completed")," | One or more raise-by dates are in the past and not completed","")&amp;IF(AND(ISNUMBER(K59),K59-TODAY()&lt;SprintWarningDays,K59&gt;=TODAY(),OR(D59="Yet to start",D59="Blocked"))," | Sprint starts in under 10 days - raise access requests now","")&amp;IF(AND(ISNUMBER(BQ59),BR59&lt;&gt;"Completed",BQ59-TODAY()&lt;CodeReviewInviteCalendarDays)," | Code Review invite should be sent at least 4 days before Code Review",""),4,500)))</f>
        <v/>
      </c>
      <c r="BU59" s="26">
        <f>IF(AND(ISNUMBER(Q59),S59&lt;&gt;"Completed"),Q59,"")</f>
        <v/>
      </c>
      <c r="BV59" s="26">
        <f>IF(AND(ISNUMBER(T59),V59&lt;&gt;"Completed"),T59,"")</f>
        <v/>
      </c>
      <c r="BW59" s="26">
        <f>IF(AND(ISNUMBER(W59),Y59&lt;&gt;"Completed"),W59,"")</f>
        <v/>
      </c>
      <c r="BX59" s="26">
        <f>IF(AND(ISNUMBER(AA59),AC59&lt;&gt;"Completed"),AA59,"")</f>
        <v/>
      </c>
      <c r="BY59" s="26">
        <f>IF(AND(ISNUMBER(AG59),AI59&lt;&gt;"Completed"),AG59,"")</f>
        <v/>
      </c>
      <c r="BZ59" s="26">
        <f>IF(AND(ISNUMBER(AJ59),AL59&lt;&gt;"Completed"),AJ59,"")</f>
        <v/>
      </c>
      <c r="CA59" s="26">
        <f>IF(AND(ISNUMBER(AM59),AO59&lt;&gt;"Completed"),AM59,"")</f>
        <v/>
      </c>
      <c r="CB59" s="26">
        <f>IF(AND(ISNUMBER(AQ59),AS59&lt;&gt;"Completed"),AQ59,"")</f>
        <v/>
      </c>
      <c r="CC59" s="26">
        <f>IF(AND(ISNUMBER(AW59),AY59&lt;&gt;"Completed"),AW59,"")</f>
        <v/>
      </c>
      <c r="CD59" s="26">
        <f>IF(AND(ISNUMBER(AZ59),BB59&lt;&gt;"Completed"),AZ59,"")</f>
        <v/>
      </c>
      <c r="CE59" s="26">
        <f>IF(AND(ISNUMBER(BC59),BE59&lt;&gt;"Completed"),BC59,"")</f>
        <v/>
      </c>
      <c r="CF59" s="26">
        <f>IF(AND(ISNUMBER(BG59),BI59&lt;&gt;"Completed"),BG59,"")</f>
        <v/>
      </c>
      <c r="CG59" s="26">
        <f>IF(AND(ISNUMBER(O59),P59&lt;&gt;"Completed"),O59,"")</f>
        <v/>
      </c>
      <c r="CH59" s="26">
        <f>IF(AND(ISNUMBER(BQ59),BR59&lt;&gt;"Completed"),BQ59,"")</f>
        <v/>
      </c>
      <c r="CI59" s="26">
        <f>IF(AND(ISNUMBER(BO59),BP59&lt;&gt;"Completed"),BO59,"")</f>
        <v/>
      </c>
      <c r="CJ59" s="26">
        <f>IF(AND(ISNUMBER(BM59),BN59&lt;&gt;"Completed"),BM59,"")</f>
        <v/>
      </c>
      <c r="CK59" s="26">
        <f>IF(OR(A59="",D59="Completed"),"",IF(N(G59)&gt;0,1/(N(G59)+ROW()/100000),IF(ISNUMBER(F59),1000+F59+ROW()/100000,TODAY()+400+ROW()/100000)))</f>
        <v/>
      </c>
    </row>
    <row r="60" ht="16" customHeight="1" s="39">
      <c r="A60" s="29" t="inlineStr">
        <is>
          <t>SDR</t>
        </is>
      </c>
      <c r="B60" s="29" t="inlineStr">
        <is>
          <t>Sandeep &lt;sgodi@randomtrees.com&gt;</t>
        </is>
      </c>
      <c r="C60" s="29" t="inlineStr">
        <is>
          <t>Sprint 22</t>
        </is>
      </c>
      <c r="D60" s="30">
        <f>IF(A60="","",IF(((S60="Blocked")+(V60="Blocked")+(Y60="Blocked")+(AC60="Blocked")+(AI60="Blocked")+(AL60="Blocked")+(AO60="Blocked")+(AS60="Blocked")+(AY60="Blocked")+(BB60="Blocked")+(BE60="Blocked")+(BI60="Blocked")+(P60="Blocked")+(BN60="Blocked")+(BP60="Blocked")+(BR60="Blocked")+(BS60="Blocked"))&gt;0,"Blocked",IF((ISNUMBER(Q60)+ISNUMBER(T60)+ISNUMBER(W60)+ISNUMBER(AA60)+ISNUMBER(AG60)+ISNUMBER(AJ60)+ISNUMBER(AM60)+ISNUMBER(AQ60)+ISNUMBER(AW60)+ISNUMBER(AZ60)+ISNUMBER(BC60)+ISNUMBER(BG60)+ISNUMBER(O60)+ISNUMBER(BM60)+ISNUMBER(BO60)+ISNUMBER(BQ60))=0,"Yet to start",IF(AND(OR(NOT(ISNUMBER(Q60)),S60="Completed"),OR(NOT(ISNUMBER(T60)),V60="Completed"),OR(NOT(ISNUMBER(W60)),Y60="Completed"),OR(NOT(ISNUMBER(AA60)),AC60="Completed"),OR(NOT(ISNUMBER(AG60)),AI60="Completed"),OR(NOT(ISNUMBER(AJ60)),AL60="Completed"),OR(NOT(ISNUMBER(AM60)),AO60="Completed"),OR(NOT(ISNUMBER(AQ60)),AS60="Completed"),OR(NOT(ISNUMBER(AW60)),AY60="Completed"),OR(NOT(ISNUMBER(AZ60)),BB60="Completed"),OR(NOT(ISNUMBER(BC60)),BE60="Completed"),OR(NOT(ISNUMBER(BG60)),BI60="Completed"),OR(NOT(ISNUMBER(O60)),P60="Completed"),OR(NOT(ISNUMBER(BM60)),BN60="Completed"),OR(NOT(ISNUMBER(BO60)),BP60="Completed"),OR(NOT(ISNUMBER(BQ60)),BR60="Completed"),BS60="Completed"),"Completed",IF(((S60="In Progress")+(V60="In Progress")+(Y60="In Progress")+(AC60="In Progress")+(AI60="In Progress")+(AL60="In Progress")+(AO60="In Progress")+(AS60="In Progress")+(AY60="In Progress")+(BB60="In Progress")+(BE60="In Progress")+(BI60="In Progress")+(P60="In Progress")+(BN60="In Progress")+(BP60="In Progress")+(BR60="In Progress")+(BS60="In Progress"))&gt;0,"In Progress","Yet to start")))))</f>
        <v/>
      </c>
      <c r="E60" s="30">
        <f>IF(A60="","",IF(F60="","All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Review","CAB"},MATCH(F60,BU60:CJ60,0))))</f>
        <v/>
      </c>
      <c r="F60" s="31">
        <f>IF(A60="","",IF(COUNT(BU60:CJ60)=0,"",MIN(BU60:CJ60)))</f>
        <v/>
      </c>
      <c r="G60" s="30">
        <f>IF(A60="","",MAX(0,IF(AND(ISNUMBER(Q60),S60&lt;&gt;"Completed",Q60&lt;TODAY()),TODAY()-Q60,0),IF(AND(ISNUMBER(T60),V60&lt;&gt;"Completed",T60&lt;TODAY()),TODAY()-T60,0),IF(AND(ISNUMBER(W60),Y60&lt;&gt;"Completed",W60&lt;TODAY()),TODAY()-W60,0),IF(AND(ISNUMBER(AA60),AC60&lt;&gt;"Completed",AA60&lt;TODAY()),TODAY()-AA60,0),IF(AND(ISNUMBER(AG60),AI60&lt;&gt;"Completed",AG60&lt;TODAY()),TODAY()-AG60,0),IF(AND(ISNUMBER(AJ60),AL60&lt;&gt;"Completed",AJ60&lt;TODAY()),TODAY()-AJ60,0),IF(AND(ISNUMBER(AM60),AO60&lt;&gt;"Completed",AM60&lt;TODAY()),TODAY()-AM60,0),IF(AND(ISNUMBER(AQ60),AS60&lt;&gt;"Completed",AQ60&lt;TODAY()),TODAY()-AQ60,0),IF(AND(ISNUMBER(AW60),AY60&lt;&gt;"Completed",AW60&lt;TODAY()),TODAY()-AW60,0),IF(AND(ISNUMBER(AZ60),BB60&lt;&gt;"Completed",AZ60&lt;TODAY()),TODAY()-AZ60,0),IF(AND(ISNUMBER(BC60),BE60&lt;&gt;"Completed",BC60&lt;TODAY()),TODAY()-BC60,0),IF(AND(ISNUMBER(BG60),BI60&lt;&gt;"Completed",BG60&lt;TODAY()),TODAY()-BG60,0),IF(AND(ISNUMBER(O60),P60&lt;&gt;"Completed",O60&lt;TODAY()),TODAY()-O60,0),IF(AND(ISNUMBER(BQ60),BR60&lt;&gt;"Completed",BQ60&lt;TODAY()),TODAY()-BQ60,0),IF(AND(ISNUMBER(BO60),BP60&lt;&gt;"Completed",BO60&lt;TODAY()),TODAY()-BO60,0),IF(AND(ISNUMBER(BM60),BN60&lt;&gt;"Completed",BM60&lt;TODAY()),TODAY()-BM60,0)))</f>
        <v/>
      </c>
      <c r="H60" s="32" t="n">
        <v>46302</v>
      </c>
      <c r="I60" s="32" t="n">
        <v>46315</v>
      </c>
      <c r="J60" s="32" t="n"/>
      <c r="K60" s="31">
        <f>IF(ISNUMBER(H60),H60,IF(ISNUMBER(M60),M60-WEEKDAY(M60,2)+1-7,""))</f>
        <v/>
      </c>
      <c r="L60" s="31">
        <f>IF(ISNUMBER(I60),I60,IF(ISNUMBER(H60),WORKDAY(H60,SprintWorkingDays-1),IF(ISNUMBER(K60),WORKDAY(K60,SprintWorkingDays-1),"")))</f>
        <v/>
      </c>
      <c r="M60" s="31">
        <f>IF(ISNUMBER(J60),J60,IF(ISNUMBER(I60),I60-IF(OR(WEEKDAY(I60,2)=2,WEEKDAY(I60,2)=4),0,IF(WEEKDAY(I60,2)=60,1,IF(WEEKDAY(I60,2)=1,4,WEEKDAY(I60,2)-4))),IF(ISNUMBER(H60),WORKDAY(H60,SprintWorkingDays-1)-IF(OR(WEEKDAY(WORKDAY(H60,SprintWorkingDays-1),2)=2,WEEKDAY(WORKDAY(H60,SprintWorkingDays-1),2)=4),0,IF(WEEKDAY(WORKDAY(H60,SprintWorkingDays-1),2)=60,1,IF(WEEKDAY(WORKDAY(H60,SprintWorkingDays-1),2)=1,4,WEEKDAY(WORKDAY(H60,SprintWorkingDays-1),2)-4))),"")))</f>
        <v/>
      </c>
      <c r="N60" s="31">
        <f>IF(NOT(ISNUMBER(K60)),"",WORKDAY(K60,ReadyOffsetWD))</f>
        <v/>
      </c>
      <c r="O60" s="31">
        <f>IF(NOT(ISNUMBER(K60)),"",WORKDAY(K60,SprintReadinessOffsetWD))</f>
        <v/>
      </c>
      <c r="P60" s="29" t="n"/>
      <c r="Q60" s="31">
        <f>IF(NOT(ISNUMBER(T60)),"",WORKDAY(T60,RTSKOffsetFromOUR_WD))</f>
        <v/>
      </c>
      <c r="R60" s="32" t="n"/>
      <c r="S60" s="29" t="n"/>
      <c r="T60" s="31">
        <f>IF(NOT(ISNUMBER(W60)),"",WORKDAY(W60,OUROffsetFromSR_WD))</f>
        <v/>
      </c>
      <c r="U60" s="32" t="n"/>
      <c r="V60" s="29" t="n"/>
      <c r="W60" s="31">
        <f>IF(NOT(ISNUMBER(K60)),"",WORKDAY(K60,SROffsetFromStartWD))</f>
        <v/>
      </c>
      <c r="X60" s="32" t="n"/>
      <c r="Y60" s="29" t="n"/>
      <c r="Z60" s="29" t="n"/>
      <c r="AA60" s="31">
        <f>IF(ISNUMBER(Q60),Q60,"")</f>
        <v/>
      </c>
      <c r="AB60" s="32" t="n"/>
      <c r="AC60" s="29" t="n"/>
      <c r="AD60" s="29" t="n"/>
      <c r="AE60" s="29" t="n"/>
      <c r="AF60" s="29" t="n"/>
      <c r="AG60" s="31">
        <f>IF(NOT(ISNUMBER(Q60)),"",Q60)</f>
        <v/>
      </c>
      <c r="AH60" s="32" t="n"/>
      <c r="AI60" s="29" t="n"/>
      <c r="AJ60" s="31">
        <f>IF(NOT(ISNUMBER(T60)),"",T60)</f>
        <v/>
      </c>
      <c r="AK60" s="32" t="n"/>
      <c r="AL60" s="29" t="n"/>
      <c r="AM60" s="31">
        <f>IF(NOT(ISNUMBER(W60)),"",W60)</f>
        <v/>
      </c>
      <c r="AN60" s="32" t="n"/>
      <c r="AO60" s="29" t="n"/>
      <c r="AP60" s="29" t="n"/>
      <c r="AQ60" s="31">
        <f>IF(ISNUMBER(AG60),AG60,"")</f>
        <v/>
      </c>
      <c r="AR60" s="32" t="n"/>
      <c r="AS60" s="29" t="n"/>
      <c r="AT60" s="29" t="n"/>
      <c r="AU60" s="29" t="n"/>
      <c r="AV60" s="29" t="n"/>
      <c r="AW60" s="31">
        <f>IF(NOT(ISNUMBER(Q60)),"",Q60)</f>
        <v/>
      </c>
      <c r="AX60" s="32" t="n"/>
      <c r="AY60" s="29" t="n"/>
      <c r="AZ60" s="31">
        <f>IF(NOT(ISNUMBER(T60)),"",T60)</f>
        <v/>
      </c>
      <c r="BA60" s="32" t="n"/>
      <c r="BB60" s="29" t="n"/>
      <c r="BC60" s="31">
        <f>IF(NOT(ISNUMBER(W60)),"",W60)</f>
        <v/>
      </c>
      <c r="BD60" s="32" t="n"/>
      <c r="BE60" s="29" t="n"/>
      <c r="BF60" s="29" t="n"/>
      <c r="BG60" s="31">
        <f>IF(ISNUMBER(AW60),AW60,"")</f>
        <v/>
      </c>
      <c r="BH60" s="32" t="n"/>
      <c r="BI60" s="29" t="n"/>
      <c r="BJ60" s="29" t="n"/>
      <c r="BK60" s="29" t="n"/>
      <c r="BL60" s="29" t="n"/>
      <c r="BM60" s="31">
        <f>IF(OR(NOT(ISNUMBER(M60)),AND(WEEKDAY(M60,2)&lt;&gt;2,WEEKDAY(M60,2)&lt;&gt;4)),"",WORKDAY(M60,CABOffsetFromReleaseWD))</f>
        <v/>
      </c>
      <c r="BN60" s="29" t="n"/>
      <c r="BO60" s="31">
        <f>IF(NOT(ISNUMBER(BM60)),"",IF(WEEKDAY(BM60-CodeReviewCalendarDays,2)&gt;5,BM60-CodeReviewCalendarDays-(WEEKDAY(BM60-CodeReviewCalendarDays,2)-5),BM60-CodeReviewCalendarDays))</f>
        <v/>
      </c>
      <c r="BP60" s="29" t="n"/>
      <c r="BQ60" s="31">
        <f>IF(NOT(ISNUMBER(BO60)),"",IF(WEEKDAY(BO60-CodeReviewInviteCalendarDays,2)&gt;5,BO60-CodeReviewInviteCalendarDays-(WEEKDAY(BO60-CodeReviewInviteCalendarDays,2)-5),BO60-CodeReviewInviteCalendarDays))</f>
        <v/>
      </c>
      <c r="BR60" s="29" t="n"/>
      <c r="BS60" s="29" t="n"/>
      <c r="BT60" s="30">
        <f>IF(A60="","",IF(IF(AND(ISNUMBER(J60),WEEKDAY(J60,2)&lt;&gt;2,WEEKDAY(J60,2)&lt;&gt;4)," | Release must be Tuesday or Thursday","")&amp;IF(AND(ISNUMBER(H60),WEEKDAY(H60,2)&lt;&gt;1)," | Sprint Start is not a Monday - dates still calculated from the date entered","")&amp;IF(AND(A60&lt;&gt;"",NOT(ISNUMBER(H60)),NOT(ISNUMBER(J60)))," | Enter Sprint Start or Release Date","")&amp;IF(AND(ISNUMBER(F60),F60&lt;TODAY(),D60&lt;&gt;"Completed")," | One or more raise-by dates are in the past and not completed","")&amp;IF(AND(ISNUMBER(K60),K60-TODAY()&lt;SprintWarningDays,K60&gt;=TODAY(),OR(D60="Yet to start",D60="Blocked"))," | Sprint starts in under 10 days - raise access requests now","")&amp;IF(AND(ISNUMBER(BQ60),BR60&lt;&gt;"Completed",BQ60-TODAY()&lt;CodeReviewInviteCalendarDays)," | Code Review invite should be sent at least 4 days before Code Review","")="","",MID(IF(AND(ISNUMBER(J60),WEEKDAY(J60,2)&lt;&gt;2,WEEKDAY(J60,2)&lt;&gt;4)," | Release must be Tuesday or Thursday","")&amp;IF(AND(ISNUMBER(H60),WEEKDAY(H60,2)&lt;&gt;1)," | Sprint Start is not a Monday - dates still calculated from the date entered","")&amp;IF(AND(A60&lt;&gt;"",NOT(ISNUMBER(H60)),NOT(ISNUMBER(J60)))," | Enter Sprint Start or Release Date","")&amp;IF(AND(ISNUMBER(F60),F60&lt;TODAY(),D60&lt;&gt;"Completed")," | One or more raise-by dates are in the past and not completed","")&amp;IF(AND(ISNUMBER(K60),K60-TODAY()&lt;SprintWarningDays,K60&gt;=TODAY(),OR(D60="Yet to start",D60="Blocked"))," | Sprint starts in under 10 days - raise access requests now","")&amp;IF(AND(ISNUMBER(BQ60),BR60&lt;&gt;"Completed",BQ60-TODAY()&lt;CodeReviewInviteCalendarDays)," | Code Review invite should be sent at least 4 days before Code Review",""),4,500)))</f>
        <v/>
      </c>
      <c r="BU60" s="26">
        <f>IF(AND(ISNUMBER(Q60),S60&lt;&gt;"Completed"),Q60,"")</f>
        <v/>
      </c>
      <c r="BV60" s="26">
        <f>IF(AND(ISNUMBER(T60),V60&lt;&gt;"Completed"),T60,"")</f>
        <v/>
      </c>
      <c r="BW60" s="26">
        <f>IF(AND(ISNUMBER(W60),Y60&lt;&gt;"Completed"),W60,"")</f>
        <v/>
      </c>
      <c r="BX60" s="26">
        <f>IF(AND(ISNUMBER(AA60),AC60&lt;&gt;"Completed"),AA60,"")</f>
        <v/>
      </c>
      <c r="BY60" s="26">
        <f>IF(AND(ISNUMBER(AG60),AI60&lt;&gt;"Completed"),AG60,"")</f>
        <v/>
      </c>
      <c r="BZ60" s="26">
        <f>IF(AND(ISNUMBER(AJ60),AL60&lt;&gt;"Completed"),AJ60,"")</f>
        <v/>
      </c>
      <c r="CA60" s="26">
        <f>IF(AND(ISNUMBER(AM60),AO60&lt;&gt;"Completed"),AM60,"")</f>
        <v/>
      </c>
      <c r="CB60" s="26">
        <f>IF(AND(ISNUMBER(AQ60),AS60&lt;&gt;"Completed"),AQ60,"")</f>
        <v/>
      </c>
      <c r="CC60" s="26">
        <f>IF(AND(ISNUMBER(AW60),AY60&lt;&gt;"Completed"),AW60,"")</f>
        <v/>
      </c>
      <c r="CD60" s="26">
        <f>IF(AND(ISNUMBER(AZ60),BB60&lt;&gt;"Completed"),AZ60,"")</f>
        <v/>
      </c>
      <c r="CE60" s="26">
        <f>IF(AND(ISNUMBER(BC60),BE60&lt;&gt;"Completed"),BC60,"")</f>
        <v/>
      </c>
      <c r="CF60" s="26">
        <f>IF(AND(ISNUMBER(BG60),BI60&lt;&gt;"Completed"),BG60,"")</f>
        <v/>
      </c>
      <c r="CG60" s="26">
        <f>IF(AND(ISNUMBER(O60),P60&lt;&gt;"Completed"),O60,"")</f>
        <v/>
      </c>
      <c r="CH60" s="26">
        <f>IF(AND(ISNUMBER(BQ60),BR60&lt;&gt;"Completed"),BQ60,"")</f>
        <v/>
      </c>
      <c r="CI60" s="26">
        <f>IF(AND(ISNUMBER(BO60),BP60&lt;&gt;"Completed"),BO60,"")</f>
        <v/>
      </c>
      <c r="CJ60" s="26">
        <f>IF(AND(ISNUMBER(BM60),BN60&lt;&gt;"Completed"),BM60,"")</f>
        <v/>
      </c>
      <c r="CK60" s="26">
        <f>IF(OR(A60="",D60="Completed"),"",IF(N(G60)&gt;0,1/(N(G60)+ROW()/100000),IF(ISNUMBER(F60),1000+F60+ROW()/100000,TODAY()+400+ROW()/100000)))</f>
        <v/>
      </c>
    </row>
    <row r="61" ht="16" customHeight="1" s="39">
      <c r="A61" s="29" t="inlineStr">
        <is>
          <t>SOE</t>
        </is>
      </c>
      <c r="B61" s="29" t="inlineStr">
        <is>
          <t>Ragavendhar &lt;aragavendhar@randomtrees.com&gt;</t>
        </is>
      </c>
      <c r="C61" s="29" t="inlineStr">
        <is>
          <t>Sprint 22</t>
        </is>
      </c>
      <c r="D61" s="30">
        <f>IF(A61="","",IF(((S61="Blocked")+(V61="Blocked")+(Y61="Blocked")+(AC61="Blocked")+(AI61="Blocked")+(AL61="Blocked")+(AO61="Blocked")+(AS61="Blocked")+(AY61="Blocked")+(BB61="Blocked")+(BE61="Blocked")+(BI61="Blocked")+(P61="Blocked")+(BN61="Blocked")+(BP61="Blocked")+(BR61="Blocked")+(BS61="Blocked"))&gt;0,"Blocked",IF((ISNUMBER(Q61)+ISNUMBER(T61)+ISNUMBER(W61)+ISNUMBER(AA61)+ISNUMBER(AG61)+ISNUMBER(AJ61)+ISNUMBER(AM61)+ISNUMBER(AQ61)+ISNUMBER(AW61)+ISNUMBER(AZ61)+ISNUMBER(BC61)+ISNUMBER(BG61)+ISNUMBER(O61)+ISNUMBER(BM61)+ISNUMBER(BO61)+ISNUMBER(BQ61))=0,"Yet to start",IF(AND(OR(NOT(ISNUMBER(Q61)),S61="Completed"),OR(NOT(ISNUMBER(T61)),V61="Completed"),OR(NOT(ISNUMBER(W61)),Y61="Completed"),OR(NOT(ISNUMBER(AA61)),AC61="Completed"),OR(NOT(ISNUMBER(AG61)),AI61="Completed"),OR(NOT(ISNUMBER(AJ61)),AL61="Completed"),OR(NOT(ISNUMBER(AM61)),AO61="Completed"),OR(NOT(ISNUMBER(AQ61)),AS61="Completed"),OR(NOT(ISNUMBER(AW61)),AY61="Completed"),OR(NOT(ISNUMBER(AZ61)),BB61="Completed"),OR(NOT(ISNUMBER(BC61)),BE61="Completed"),OR(NOT(ISNUMBER(BG61)),BI61="Completed"),OR(NOT(ISNUMBER(O61)),P61="Completed"),OR(NOT(ISNUMBER(BM61)),BN61="Completed"),OR(NOT(ISNUMBER(BO61)),BP61="Completed"),OR(NOT(ISNUMBER(BQ61)),BR61="Completed"),BS61="Completed"),"Completed",IF(((S61="In Progress")+(V61="In Progress")+(Y61="In Progress")+(AC61="In Progress")+(AI61="In Progress")+(AL61="In Progress")+(AO61="In Progress")+(AS61="In Progress")+(AY61="In Progress")+(BB61="In Progress")+(BE61="In Progress")+(BI61="In Progress")+(P61="In Progress")+(BN61="In Progress")+(BP61="In Progress")+(BR61="In Progress")+(BS61="In Progress"))&gt;0,"In Progress","Yet to start")))))</f>
        <v/>
      </c>
      <c r="E61" s="30">
        <f>IF(A61="","",IF(F61="","All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Review","CAB"},MATCH(F61,BU61:CJ61,0))))</f>
        <v/>
      </c>
      <c r="F61" s="31">
        <f>IF(A61="","",IF(COUNT(BU61:CJ61)=0,"",MIN(BU61:CJ61)))</f>
        <v/>
      </c>
      <c r="G61" s="30">
        <f>IF(A61="","",MAX(0,IF(AND(ISNUMBER(Q61),S61&lt;&gt;"Completed",Q61&lt;TODAY()),TODAY()-Q61,0),IF(AND(ISNUMBER(T61),V61&lt;&gt;"Completed",T61&lt;TODAY()),TODAY()-T61,0),IF(AND(ISNUMBER(W61),Y61&lt;&gt;"Completed",W61&lt;TODAY()),TODAY()-W61,0),IF(AND(ISNUMBER(AA61),AC61&lt;&gt;"Completed",AA61&lt;TODAY()),TODAY()-AA61,0),IF(AND(ISNUMBER(AG61),AI61&lt;&gt;"Completed",AG61&lt;TODAY()),TODAY()-AG61,0),IF(AND(ISNUMBER(AJ61),AL61&lt;&gt;"Completed",AJ61&lt;TODAY()),TODAY()-AJ61,0),IF(AND(ISNUMBER(AM61),AO61&lt;&gt;"Completed",AM61&lt;TODAY()),TODAY()-AM61,0),IF(AND(ISNUMBER(AQ61),AS61&lt;&gt;"Completed",AQ61&lt;TODAY()),TODAY()-AQ61,0),IF(AND(ISNUMBER(AW61),AY61&lt;&gt;"Completed",AW61&lt;TODAY()),TODAY()-AW61,0),IF(AND(ISNUMBER(AZ61),BB61&lt;&gt;"Completed",AZ61&lt;TODAY()),TODAY()-AZ61,0),IF(AND(ISNUMBER(BC61),BE61&lt;&gt;"Completed",BC61&lt;TODAY()),TODAY()-BC61,0),IF(AND(ISNUMBER(BG61),BI61&lt;&gt;"Completed",BG61&lt;TODAY()),TODAY()-BG61,0),IF(AND(ISNUMBER(O61),P61&lt;&gt;"Completed",O61&lt;TODAY()),TODAY()-O61,0),IF(AND(ISNUMBER(BQ61),BR61&lt;&gt;"Completed",BQ61&lt;TODAY()),TODAY()-BQ61,0),IF(AND(ISNUMBER(BO61),BP61&lt;&gt;"Completed",BO61&lt;TODAY()),TODAY()-BO61,0),IF(AND(ISNUMBER(BM61),BN61&lt;&gt;"Completed",BM61&lt;TODAY()),TODAY()-BM61,0)))</f>
        <v/>
      </c>
      <c r="H61" s="32" t="n">
        <v>46302</v>
      </c>
      <c r="I61" s="32" t="n">
        <v>46315</v>
      </c>
      <c r="J61" s="32" t="n"/>
      <c r="K61" s="31">
        <f>IF(ISNUMBER(H61),H61,IF(ISNUMBER(M61),M61-WEEKDAY(M61,2)+1-7,""))</f>
        <v/>
      </c>
      <c r="L61" s="31">
        <f>IF(ISNUMBER(I61),I61,IF(ISNUMBER(H61),WORKDAY(H61,SprintWorkingDays-1),IF(ISNUMBER(K61),WORKDAY(K61,SprintWorkingDays-1),"")))</f>
        <v/>
      </c>
      <c r="M61" s="31">
        <f>IF(ISNUMBER(J61),J61,IF(ISNUMBER(I61),I61-IF(OR(WEEKDAY(I61,2)=2,WEEKDAY(I61,2)=4),0,IF(WEEKDAY(I61,2)=61,1,IF(WEEKDAY(I61,2)=1,4,WEEKDAY(I61,2)-4))),IF(ISNUMBER(H61),WORKDAY(H61,SprintWorkingDays-1)-IF(OR(WEEKDAY(WORKDAY(H61,SprintWorkingDays-1),2)=2,WEEKDAY(WORKDAY(H61,SprintWorkingDays-1),2)=4),0,IF(WEEKDAY(WORKDAY(H61,SprintWorkingDays-1),2)=61,1,IF(WEEKDAY(WORKDAY(H61,SprintWorkingDays-1),2)=1,4,WEEKDAY(WORKDAY(H61,SprintWorkingDays-1),2)-4))),"")))</f>
        <v/>
      </c>
      <c r="N61" s="31">
        <f>IF(NOT(ISNUMBER(K61)),"",WORKDAY(K61,ReadyOffsetWD))</f>
        <v/>
      </c>
      <c r="O61" s="31">
        <f>IF(NOT(ISNUMBER(K61)),"",WORKDAY(K61,SprintReadinessOffsetWD))</f>
        <v/>
      </c>
      <c r="P61" s="29" t="n"/>
      <c r="Q61" s="31">
        <f>IF(NOT(ISNUMBER(T61)),"",WORKDAY(T61,RTSKOffsetFromOUR_WD))</f>
        <v/>
      </c>
      <c r="R61" s="32" t="n"/>
      <c r="S61" s="29" t="n"/>
      <c r="T61" s="31">
        <f>IF(NOT(ISNUMBER(W61)),"",WORKDAY(W61,OUROffsetFromSR_WD))</f>
        <v/>
      </c>
      <c r="U61" s="32" t="n"/>
      <c r="V61" s="29" t="n"/>
      <c r="W61" s="31">
        <f>IF(NOT(ISNUMBER(K61)),"",WORKDAY(K61,SROffsetFromStartWD))</f>
        <v/>
      </c>
      <c r="X61" s="32" t="n"/>
      <c r="Y61" s="29" t="n"/>
      <c r="Z61" s="29" t="n"/>
      <c r="AA61" s="31">
        <f>IF(ISNUMBER(Q61),Q61,"")</f>
        <v/>
      </c>
      <c r="AB61" s="32" t="n"/>
      <c r="AC61" s="29" t="n"/>
      <c r="AD61" s="29" t="n"/>
      <c r="AE61" s="29" t="n"/>
      <c r="AF61" s="29" t="n"/>
      <c r="AG61" s="31">
        <f>IF(NOT(ISNUMBER(Q61)),"",Q61)</f>
        <v/>
      </c>
      <c r="AH61" s="32" t="n"/>
      <c r="AI61" s="29" t="n"/>
      <c r="AJ61" s="31">
        <f>IF(NOT(ISNUMBER(T61)),"",T61)</f>
        <v/>
      </c>
      <c r="AK61" s="32" t="n"/>
      <c r="AL61" s="29" t="n"/>
      <c r="AM61" s="31">
        <f>IF(NOT(ISNUMBER(W61)),"",W61)</f>
        <v/>
      </c>
      <c r="AN61" s="32" t="n"/>
      <c r="AO61" s="29" t="n"/>
      <c r="AP61" s="29" t="n"/>
      <c r="AQ61" s="31">
        <f>IF(ISNUMBER(AG61),AG61,"")</f>
        <v/>
      </c>
      <c r="AR61" s="32" t="n"/>
      <c r="AS61" s="29" t="n"/>
      <c r="AT61" s="29" t="n"/>
      <c r="AU61" s="29" t="n"/>
      <c r="AV61" s="29" t="n"/>
      <c r="AW61" s="31">
        <f>IF(NOT(ISNUMBER(Q61)),"",Q61)</f>
        <v/>
      </c>
      <c r="AX61" s="32" t="n"/>
      <c r="AY61" s="29" t="n"/>
      <c r="AZ61" s="31">
        <f>IF(NOT(ISNUMBER(T61)),"",T61)</f>
        <v/>
      </c>
      <c r="BA61" s="32" t="n"/>
      <c r="BB61" s="29" t="n"/>
      <c r="BC61" s="31">
        <f>IF(NOT(ISNUMBER(W61)),"",W61)</f>
        <v/>
      </c>
      <c r="BD61" s="32" t="n"/>
      <c r="BE61" s="29" t="n"/>
      <c r="BF61" s="29" t="n"/>
      <c r="BG61" s="31">
        <f>IF(ISNUMBER(AW61),AW61,"")</f>
        <v/>
      </c>
      <c r="BH61" s="32" t="n"/>
      <c r="BI61" s="29" t="n"/>
      <c r="BJ61" s="29" t="n"/>
      <c r="BK61" s="29" t="n"/>
      <c r="BL61" s="29" t="n"/>
      <c r="BM61" s="31">
        <f>IF(OR(NOT(ISNUMBER(M61)),AND(WEEKDAY(M61,2)&lt;&gt;2,WEEKDAY(M61,2)&lt;&gt;4)),"",WORKDAY(M61,CABOffsetFromReleaseWD))</f>
        <v/>
      </c>
      <c r="BN61" s="29" t="n"/>
      <c r="BO61" s="31">
        <f>IF(NOT(ISNUMBER(BM61)),"",IF(WEEKDAY(BM61-CodeReviewCalendarDays,2)&gt;5,BM61-CodeReviewCalendarDays-(WEEKDAY(BM61-CodeReviewCalendarDays,2)-5),BM61-CodeReviewCalendarDays))</f>
        <v/>
      </c>
      <c r="BP61" s="29" t="n"/>
      <c r="BQ61" s="31">
        <f>IF(NOT(ISNUMBER(BO61)),"",IF(WEEKDAY(BO61-CodeReviewInviteCalendarDays,2)&gt;5,BO61-CodeReviewInviteCalendarDays-(WEEKDAY(BO61-CodeReviewInviteCalendarDays,2)-5),BO61-CodeReviewInviteCalendarDays))</f>
        <v/>
      </c>
      <c r="BR61" s="29" t="n"/>
      <c r="BS61" s="29" t="n"/>
      <c r="BT61" s="30">
        <f>IF(A61="","",IF(IF(AND(ISNUMBER(J61),WEEKDAY(J61,2)&lt;&gt;2,WEEKDAY(J61,2)&lt;&gt;4)," | Release must be Tuesday or Thursday","")&amp;IF(AND(ISNUMBER(H61),WEEKDAY(H61,2)&lt;&gt;1)," | Sprint Start is not a Monday - dates still calculated from the date entered","")&amp;IF(AND(A61&lt;&gt;"",NOT(ISNUMBER(H61)),NOT(ISNUMBER(J61)))," | Enter Sprint Start or Release Date","")&amp;IF(AND(ISNUMBER(F61),F61&lt;TODAY(),D61&lt;&gt;"Completed")," | One or more raise-by dates are in the past and not completed","")&amp;IF(AND(ISNUMBER(K61),K61-TODAY()&lt;SprintWarningDays,K61&gt;=TODAY(),OR(D61="Yet to start",D61="Blocked"))," | Sprint starts in under 10 days - raise access requests now","")&amp;IF(AND(ISNUMBER(BQ61),BR61&lt;&gt;"Completed",BQ61-TODAY()&lt;CodeReviewInviteCalendarDays)," | Code Review invite should be sent at least 4 days before Code Review","")="","",MID(IF(AND(ISNUMBER(J61),WEEKDAY(J61,2)&lt;&gt;2,WEEKDAY(J61,2)&lt;&gt;4)," | Release must be Tuesday or Thursday","")&amp;IF(AND(ISNUMBER(H61),WEEKDAY(H61,2)&lt;&gt;1)," | Sprint Start is not a Monday - dates still calculated from the date entered","")&amp;IF(AND(A61&lt;&gt;"",NOT(ISNUMBER(H61)),NOT(ISNUMBER(J61)))," | Enter Sprint Start or Release Date","")&amp;IF(AND(ISNUMBER(F61),F61&lt;TODAY(),D61&lt;&gt;"Completed")," | One or more raise-by dates are in the past and not completed","")&amp;IF(AND(ISNUMBER(K61),K61-TODAY()&lt;SprintWarningDays,K61&gt;=TODAY(),OR(D61="Yet to start",D61="Blocked"))," | Sprint starts in under 10 days - raise access requests now","")&amp;IF(AND(ISNUMBER(BQ61),BR61&lt;&gt;"Completed",BQ61-TODAY()&lt;CodeReviewInviteCalendarDays)," | Code Review invite should be sent at least 4 days before Code Review",""),4,500)))</f>
        <v/>
      </c>
      <c r="BU61" s="26">
        <f>IF(AND(ISNUMBER(Q61),S61&lt;&gt;"Completed"),Q61,"")</f>
        <v/>
      </c>
      <c r="BV61" s="26">
        <f>IF(AND(ISNUMBER(T61),V61&lt;&gt;"Completed"),T61,"")</f>
        <v/>
      </c>
      <c r="BW61" s="26">
        <f>IF(AND(ISNUMBER(W61),Y61&lt;&gt;"Completed"),W61,"")</f>
        <v/>
      </c>
      <c r="BX61" s="26">
        <f>IF(AND(ISNUMBER(AA61),AC61&lt;&gt;"Completed"),AA61,"")</f>
        <v/>
      </c>
      <c r="BY61" s="26">
        <f>IF(AND(ISNUMBER(AG61),AI61&lt;&gt;"Completed"),AG61,"")</f>
        <v/>
      </c>
      <c r="BZ61" s="26">
        <f>IF(AND(ISNUMBER(AJ61),AL61&lt;&gt;"Completed"),AJ61,"")</f>
        <v/>
      </c>
      <c r="CA61" s="26">
        <f>IF(AND(ISNUMBER(AM61),AO61&lt;&gt;"Completed"),AM61,"")</f>
        <v/>
      </c>
      <c r="CB61" s="26">
        <f>IF(AND(ISNUMBER(AQ61),AS61&lt;&gt;"Completed"),AQ61,"")</f>
        <v/>
      </c>
      <c r="CC61" s="26">
        <f>IF(AND(ISNUMBER(AW61),AY61&lt;&gt;"Completed"),AW61,"")</f>
        <v/>
      </c>
      <c r="CD61" s="26">
        <f>IF(AND(ISNUMBER(AZ61),BB61&lt;&gt;"Completed"),AZ61,"")</f>
        <v/>
      </c>
      <c r="CE61" s="26">
        <f>IF(AND(ISNUMBER(BC61),BE61&lt;&gt;"Completed"),BC61,"")</f>
        <v/>
      </c>
      <c r="CF61" s="26">
        <f>IF(AND(ISNUMBER(BG61),BI61&lt;&gt;"Completed"),BG61,"")</f>
        <v/>
      </c>
      <c r="CG61" s="26">
        <f>IF(AND(ISNUMBER(O61),P61&lt;&gt;"Completed"),O61,"")</f>
        <v/>
      </c>
      <c r="CH61" s="26">
        <f>IF(AND(ISNUMBER(BQ61),BR61&lt;&gt;"Completed"),BQ61,"")</f>
        <v/>
      </c>
      <c r="CI61" s="26">
        <f>IF(AND(ISNUMBER(BO61),BP61&lt;&gt;"Completed"),BO61,"")</f>
        <v/>
      </c>
      <c r="CJ61" s="26">
        <f>IF(AND(ISNUMBER(BM61),BN61&lt;&gt;"Completed"),BM61,"")</f>
        <v/>
      </c>
      <c r="CK61" s="26">
        <f>IF(OR(A61="",D61="Completed"),"",IF(N(G61)&gt;0,1/(N(G61)+ROW()/100000),IF(ISNUMBER(F61),1000+F61+ROW()/100000,TODAY()+400+ROW()/100000)))</f>
        <v/>
      </c>
    </row>
    <row r="62" ht="16" customHeight="1" s="39">
      <c r="A62" s="29" t="inlineStr">
        <is>
          <t>TCA</t>
        </is>
      </c>
      <c r="B62" s="29" t="inlineStr">
        <is>
          <t>Vidhesha &lt;vkumaran@randomtrees.com&gt;</t>
        </is>
      </c>
      <c r="C62" s="29" t="inlineStr">
        <is>
          <t>Sprint 22</t>
        </is>
      </c>
      <c r="D62" s="30">
        <f>IF(A62="","",IF(((S62="Blocked")+(V62="Blocked")+(Y62="Blocked")+(AC62="Blocked")+(AI62="Blocked")+(AL62="Blocked")+(AO62="Blocked")+(AS62="Blocked")+(AY62="Blocked")+(BB62="Blocked")+(BE62="Blocked")+(BI62="Blocked")+(P62="Blocked")+(BN62="Blocked")+(BP62="Blocked")+(BR62="Blocked")+(BS62="Blocked"))&gt;0,"Blocked",IF((ISNUMBER(Q62)+ISNUMBER(T62)+ISNUMBER(W62)+ISNUMBER(AA62)+ISNUMBER(AG62)+ISNUMBER(AJ62)+ISNUMBER(AM62)+ISNUMBER(AQ62)+ISNUMBER(AW62)+ISNUMBER(AZ62)+ISNUMBER(BC62)+ISNUMBER(BG62)+ISNUMBER(O62)+ISNUMBER(BM62)+ISNUMBER(BO62)+ISNUMBER(BQ62))=0,"Yet to start",IF(AND(OR(NOT(ISNUMBER(Q62)),S62="Completed"),OR(NOT(ISNUMBER(T62)),V62="Completed"),OR(NOT(ISNUMBER(W62)),Y62="Completed"),OR(NOT(ISNUMBER(AA62)),AC62="Completed"),OR(NOT(ISNUMBER(AG62)),AI62="Completed"),OR(NOT(ISNUMBER(AJ62)),AL62="Completed"),OR(NOT(ISNUMBER(AM62)),AO62="Completed"),OR(NOT(ISNUMBER(AQ62)),AS62="Completed"),OR(NOT(ISNUMBER(AW62)),AY62="Completed"),OR(NOT(ISNUMBER(AZ62)),BB62="Completed"),OR(NOT(ISNUMBER(BC62)),BE62="Completed"),OR(NOT(ISNUMBER(BG62)),BI62="Completed"),OR(NOT(ISNUMBER(O62)),P62="Completed"),OR(NOT(ISNUMBER(BM62)),BN62="Completed"),OR(NOT(ISNUMBER(BO62)),BP62="Completed"),OR(NOT(ISNUMBER(BQ62)),BR62="Completed"),BS62="Completed"),"Completed",IF(((S62="In Progress")+(V62="In Progress")+(Y62="In Progress")+(AC62="In Progress")+(AI62="In Progress")+(AL62="In Progress")+(AO62="In Progress")+(AS62="In Progress")+(AY62="In Progress")+(BB62="In Progress")+(BE62="In Progress")+(BI62="In Progress")+(P62="In Progress")+(BN62="In Progress")+(BP62="In Progress")+(BR62="In Progress")+(BS62="In Progress"))&gt;0,"In Progress","Yet to start")))))</f>
        <v/>
      </c>
      <c r="E62" s="30">
        <f>IF(A62="","",IF(F62="","All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Review","CAB"},MATCH(F62,BU62:CJ62,0))))</f>
        <v/>
      </c>
      <c r="F62" s="31">
        <f>IF(A62="","",IF(COUNT(BU62:CJ62)=0,"",MIN(BU62:CJ62)))</f>
        <v/>
      </c>
      <c r="G62" s="30">
        <f>IF(A62="","",MAX(0,IF(AND(ISNUMBER(Q62),S62&lt;&gt;"Completed",Q62&lt;TODAY()),TODAY()-Q62,0),IF(AND(ISNUMBER(T62),V62&lt;&gt;"Completed",T62&lt;TODAY()),TODAY()-T62,0),IF(AND(ISNUMBER(W62),Y62&lt;&gt;"Completed",W62&lt;TODAY()),TODAY()-W62,0),IF(AND(ISNUMBER(AA62),AC62&lt;&gt;"Completed",AA62&lt;TODAY()),TODAY()-AA62,0),IF(AND(ISNUMBER(AG62),AI62&lt;&gt;"Completed",AG62&lt;TODAY()),TODAY()-AG62,0),IF(AND(ISNUMBER(AJ62),AL62&lt;&gt;"Completed",AJ62&lt;TODAY()),TODAY()-AJ62,0),IF(AND(ISNUMBER(AM62),AO62&lt;&gt;"Completed",AM62&lt;TODAY()),TODAY()-AM62,0),IF(AND(ISNUMBER(AQ62),AS62&lt;&gt;"Completed",AQ62&lt;TODAY()),TODAY()-AQ62,0),IF(AND(ISNUMBER(AW62),AY62&lt;&gt;"Completed",AW62&lt;TODAY()),TODAY()-AW62,0),IF(AND(ISNUMBER(AZ62),BB62&lt;&gt;"Completed",AZ62&lt;TODAY()),TODAY()-AZ62,0),IF(AND(ISNUMBER(BC62),BE62&lt;&gt;"Completed",BC62&lt;TODAY()),TODAY()-BC62,0),IF(AND(ISNUMBER(BG62),BI62&lt;&gt;"Completed",BG62&lt;TODAY()),TODAY()-BG62,0),IF(AND(ISNUMBER(O62),P62&lt;&gt;"Completed",O62&lt;TODAY()),TODAY()-O62,0),IF(AND(ISNUMBER(BQ62),BR62&lt;&gt;"Completed",BQ62&lt;TODAY()),TODAY()-BQ62,0),IF(AND(ISNUMBER(BO62),BP62&lt;&gt;"Completed",BO62&lt;TODAY()),TODAY()-BO62,0),IF(AND(ISNUMBER(BM62),BN62&lt;&gt;"Completed",BM62&lt;TODAY()),TODAY()-BM62,0)))</f>
        <v/>
      </c>
      <c r="H62" s="32" t="n">
        <v>46302</v>
      </c>
      <c r="I62" s="32" t="n">
        <v>46315</v>
      </c>
      <c r="J62" s="32" t="n"/>
      <c r="K62" s="31">
        <f>IF(ISNUMBER(H62),H62,IF(ISNUMBER(M62),M62-WEEKDAY(M62,2)+1-7,""))</f>
        <v/>
      </c>
      <c r="L62" s="31">
        <f>IF(ISNUMBER(I62),I62,IF(ISNUMBER(H62),WORKDAY(H62,SprintWorkingDays-1),IF(ISNUMBER(K62),WORKDAY(K62,SprintWorkingDays-1),"")))</f>
        <v/>
      </c>
      <c r="M62" s="31">
        <f>IF(ISNUMBER(J62),J62,IF(ISNUMBER(I62),I62-IF(OR(WEEKDAY(I62,2)=2,WEEKDAY(I62,2)=4),0,IF(WEEKDAY(I62,2)=62,1,IF(WEEKDAY(I62,2)=1,4,WEEKDAY(I62,2)-4))),IF(ISNUMBER(H62),WORKDAY(H62,SprintWorkingDays-1)-IF(OR(WEEKDAY(WORKDAY(H62,SprintWorkingDays-1),2)=2,WEEKDAY(WORKDAY(H62,SprintWorkingDays-1),2)=4),0,IF(WEEKDAY(WORKDAY(H62,SprintWorkingDays-1),2)=62,1,IF(WEEKDAY(WORKDAY(H62,SprintWorkingDays-1),2)=1,4,WEEKDAY(WORKDAY(H62,SprintWorkingDays-1),2)-4))),"")))</f>
        <v/>
      </c>
      <c r="N62" s="31">
        <f>IF(NOT(ISNUMBER(K62)),"",WORKDAY(K62,ReadyOffsetWD))</f>
        <v/>
      </c>
      <c r="O62" s="31">
        <f>IF(NOT(ISNUMBER(K62)),"",WORKDAY(K62,SprintReadinessOffsetWD))</f>
        <v/>
      </c>
      <c r="P62" s="29" t="n"/>
      <c r="Q62" s="31">
        <f>IF(NOT(ISNUMBER(T62)),"",WORKDAY(T62,RTSKOffsetFromOUR_WD))</f>
        <v/>
      </c>
      <c r="R62" s="32" t="n"/>
      <c r="S62" s="29" t="n"/>
      <c r="T62" s="31">
        <f>IF(NOT(ISNUMBER(W62)),"",WORKDAY(W62,OUROffsetFromSR_WD))</f>
        <v/>
      </c>
      <c r="U62" s="32" t="n"/>
      <c r="V62" s="29" t="n"/>
      <c r="W62" s="31">
        <f>IF(NOT(ISNUMBER(K62)),"",WORKDAY(K62,SROffsetFromStartWD))</f>
        <v/>
      </c>
      <c r="X62" s="32" t="n"/>
      <c r="Y62" s="29" t="n"/>
      <c r="Z62" s="29" t="n"/>
      <c r="AA62" s="31">
        <f>IF(ISNUMBER(Q62),Q62,"")</f>
        <v/>
      </c>
      <c r="AB62" s="32" t="n"/>
      <c r="AC62" s="29" t="n"/>
      <c r="AD62" s="29" t="n"/>
      <c r="AE62" s="29" t="n"/>
      <c r="AF62" s="29" t="n"/>
      <c r="AG62" s="31">
        <f>IF(NOT(ISNUMBER(Q62)),"",Q62)</f>
        <v/>
      </c>
      <c r="AH62" s="32" t="n"/>
      <c r="AI62" s="29" t="n"/>
      <c r="AJ62" s="31">
        <f>IF(NOT(ISNUMBER(T62)),"",T62)</f>
        <v/>
      </c>
      <c r="AK62" s="32" t="n"/>
      <c r="AL62" s="29" t="n"/>
      <c r="AM62" s="31">
        <f>IF(NOT(ISNUMBER(W62)),"",W62)</f>
        <v/>
      </c>
      <c r="AN62" s="32" t="n"/>
      <c r="AO62" s="29" t="n"/>
      <c r="AP62" s="29" t="n"/>
      <c r="AQ62" s="31">
        <f>IF(ISNUMBER(AG62),AG62,"")</f>
        <v/>
      </c>
      <c r="AR62" s="32" t="n"/>
      <c r="AS62" s="29" t="n"/>
      <c r="AT62" s="29" t="n"/>
      <c r="AU62" s="29" t="n"/>
      <c r="AV62" s="29" t="n"/>
      <c r="AW62" s="31">
        <f>IF(NOT(ISNUMBER(Q62)),"",Q62)</f>
        <v/>
      </c>
      <c r="AX62" s="32" t="n"/>
      <c r="AY62" s="29" t="n"/>
      <c r="AZ62" s="31">
        <f>IF(NOT(ISNUMBER(T62)),"",T62)</f>
        <v/>
      </c>
      <c r="BA62" s="32" t="n"/>
      <c r="BB62" s="29" t="n"/>
      <c r="BC62" s="31">
        <f>IF(NOT(ISNUMBER(W62)),"",W62)</f>
        <v/>
      </c>
      <c r="BD62" s="32" t="n"/>
      <c r="BE62" s="29" t="n"/>
      <c r="BF62" s="29" t="n"/>
      <c r="BG62" s="31">
        <f>IF(ISNUMBER(AW62),AW62,"")</f>
        <v/>
      </c>
      <c r="BH62" s="32" t="n"/>
      <c r="BI62" s="29" t="n"/>
      <c r="BJ62" s="29" t="n"/>
      <c r="BK62" s="29" t="n"/>
      <c r="BL62" s="29" t="n"/>
      <c r="BM62" s="31">
        <f>IF(OR(NOT(ISNUMBER(M62)),AND(WEEKDAY(M62,2)&lt;&gt;2,WEEKDAY(M62,2)&lt;&gt;4)),"",WORKDAY(M62,CABOffsetFromReleaseWD))</f>
        <v/>
      </c>
      <c r="BN62" s="29" t="n"/>
      <c r="BO62" s="31">
        <f>IF(NOT(ISNUMBER(BM62)),"",IF(WEEKDAY(BM62-CodeReviewCalendarDays,2)&gt;5,BM62-CodeReviewCalendarDays-(WEEKDAY(BM62-CodeReviewCalendarDays,2)-5),BM62-CodeReviewCalendarDays))</f>
        <v/>
      </c>
      <c r="BP62" s="29" t="n"/>
      <c r="BQ62" s="31">
        <f>IF(NOT(ISNUMBER(BO62)),"",IF(WEEKDAY(BO62-CodeReviewInviteCalendarDays,2)&gt;5,BO62-CodeReviewInviteCalendarDays-(WEEKDAY(BO62-CodeReviewInviteCalendarDays,2)-5),BO62-CodeReviewInviteCalendarDays))</f>
        <v/>
      </c>
      <c r="BR62" s="29" t="n"/>
      <c r="BS62" s="29" t="n"/>
      <c r="BT62" s="30">
        <f>IF(A62="","",IF(IF(AND(ISNUMBER(J62),WEEKDAY(J62,2)&lt;&gt;2,WEEKDAY(J62,2)&lt;&gt;4)," | Release must be Tuesday or Thursday","")&amp;IF(AND(ISNUMBER(H62),WEEKDAY(H62,2)&lt;&gt;1)," | Sprint Start is not a Monday - dates still calculated from the date entered","")&amp;IF(AND(A62&lt;&gt;"",NOT(ISNUMBER(H62)),NOT(ISNUMBER(J62)))," | Enter Sprint Start or Release Date","")&amp;IF(AND(ISNUMBER(F62),F62&lt;TODAY(),D62&lt;&gt;"Completed")," | One or more raise-by dates are in the past and not completed","")&amp;IF(AND(ISNUMBER(K62),K62-TODAY()&lt;SprintWarningDays,K62&gt;=TODAY(),OR(D62="Yet to start",D62="Blocked"))," | Sprint starts in under 10 days - raise access requests now","")&amp;IF(AND(ISNUMBER(BQ62),BR62&lt;&gt;"Completed",BQ62-TODAY()&lt;CodeReviewInviteCalendarDays)," | Code Review invite should be sent at least 4 days before Code Review","")="","",MID(IF(AND(ISNUMBER(J62),WEEKDAY(J62,2)&lt;&gt;2,WEEKDAY(J62,2)&lt;&gt;4)," | Release must be Tuesday or Thursday","")&amp;IF(AND(ISNUMBER(H62),WEEKDAY(H62,2)&lt;&gt;1)," | Sprint Start is not a Monday - dates still calculated from the date entered","")&amp;IF(AND(A62&lt;&gt;"",NOT(ISNUMBER(H62)),NOT(ISNUMBER(J62)))," | Enter Sprint Start or Release Date","")&amp;IF(AND(ISNUMBER(F62),F62&lt;TODAY(),D62&lt;&gt;"Completed")," | One or more raise-by dates are in the past and not completed","")&amp;IF(AND(ISNUMBER(K62),K62-TODAY()&lt;SprintWarningDays,K62&gt;=TODAY(),OR(D62="Yet to start",D62="Blocked"))," | Sprint starts in under 10 days - raise access requests now","")&amp;IF(AND(ISNUMBER(BQ62),BR62&lt;&gt;"Completed",BQ62-TODAY()&lt;CodeReviewInviteCalendarDays)," | Code Review invite should be sent at least 4 days before Code Review",""),4,500)))</f>
        <v/>
      </c>
      <c r="BU62" s="26">
        <f>IF(AND(ISNUMBER(Q62),S62&lt;&gt;"Completed"),Q62,"")</f>
        <v/>
      </c>
      <c r="BV62" s="26">
        <f>IF(AND(ISNUMBER(T62),V62&lt;&gt;"Completed"),T62,"")</f>
        <v/>
      </c>
      <c r="BW62" s="26">
        <f>IF(AND(ISNUMBER(W62),Y62&lt;&gt;"Completed"),W62,"")</f>
        <v/>
      </c>
      <c r="BX62" s="26">
        <f>IF(AND(ISNUMBER(AA62),AC62&lt;&gt;"Completed"),AA62,"")</f>
        <v/>
      </c>
      <c r="BY62" s="26">
        <f>IF(AND(ISNUMBER(AG62),AI62&lt;&gt;"Completed"),AG62,"")</f>
        <v/>
      </c>
      <c r="BZ62" s="26">
        <f>IF(AND(ISNUMBER(AJ62),AL62&lt;&gt;"Completed"),AJ62,"")</f>
        <v/>
      </c>
      <c r="CA62" s="26">
        <f>IF(AND(ISNUMBER(AM62),AO62&lt;&gt;"Completed"),AM62,"")</f>
        <v/>
      </c>
      <c r="CB62" s="26">
        <f>IF(AND(ISNUMBER(AQ62),AS62&lt;&gt;"Completed"),AQ62,"")</f>
        <v/>
      </c>
      <c r="CC62" s="26">
        <f>IF(AND(ISNUMBER(AW62),AY62&lt;&gt;"Completed"),AW62,"")</f>
        <v/>
      </c>
      <c r="CD62" s="26">
        <f>IF(AND(ISNUMBER(AZ62),BB62&lt;&gt;"Completed"),AZ62,"")</f>
        <v/>
      </c>
      <c r="CE62" s="26">
        <f>IF(AND(ISNUMBER(BC62),BE62&lt;&gt;"Completed"),BC62,"")</f>
        <v/>
      </c>
      <c r="CF62" s="26">
        <f>IF(AND(ISNUMBER(BG62),BI62&lt;&gt;"Completed"),BG62,"")</f>
        <v/>
      </c>
      <c r="CG62" s="26">
        <f>IF(AND(ISNUMBER(O62),P62&lt;&gt;"Completed"),O62,"")</f>
        <v/>
      </c>
      <c r="CH62" s="26">
        <f>IF(AND(ISNUMBER(BQ62),BR62&lt;&gt;"Completed"),BQ62,"")</f>
        <v/>
      </c>
      <c r="CI62" s="26">
        <f>IF(AND(ISNUMBER(BO62),BP62&lt;&gt;"Completed"),BO62,"")</f>
        <v/>
      </c>
      <c r="CJ62" s="26">
        <f>IF(AND(ISNUMBER(BM62),BN62&lt;&gt;"Completed"),BM62,"")</f>
        <v/>
      </c>
      <c r="CK62" s="26">
        <f>IF(OR(A62="",D62="Completed"),"",IF(N(G62)&gt;0,1/(N(G62)+ROW()/100000),IF(ISNUMBER(F62),1000+F62+ROW()/100000,TODAY()+400+ROW()/100000)))</f>
        <v/>
      </c>
    </row>
    <row r="63" ht="16" customHeight="1" s="39">
      <c r="A63" s="29" t="n"/>
      <c r="B63" s="29" t="n"/>
      <c r="C63" s="29" t="n"/>
      <c r="D63" s="30">
        <f>IF(A63="","",IF(((S63="Blocked")+(V63="Blocked")+(Y63="Blocked")+(AC63="Blocked")+(AI63="Blocked")+(AL63="Blocked")+(AO63="Blocked")+(AS63="Blocked")+(AY63="Blocked")+(BB63="Blocked")+(BE63="Blocked")+(BI63="Blocked")+(P63="Blocked")+(BN63="Blocked")+(BP63="Blocked")+(BR63="Blocked")+(BS63="Blocked"))&gt;0,"Blocked",IF((ISNUMBER(Q63)+ISNUMBER(T63)+ISNUMBER(W63)+ISNUMBER(AA63)+ISNUMBER(AG63)+ISNUMBER(AJ63)+ISNUMBER(AM63)+ISNUMBER(AQ63)+ISNUMBER(AW63)+ISNUMBER(AZ63)+ISNUMBER(BC63)+ISNUMBER(BG63)+ISNUMBER(O63)+ISNUMBER(BM63)+ISNUMBER(BO63)+ISNUMBER(BQ63))=0,"Yet to start",IF(AND(OR(NOT(ISNUMBER(Q63)),S63="Completed"),OR(NOT(ISNUMBER(T63)),V63="Completed"),OR(NOT(ISNUMBER(W63)),Y63="Completed"),OR(NOT(ISNUMBER(AA63)),AC63="Completed"),OR(NOT(ISNUMBER(AG63)),AI63="Completed"),OR(NOT(ISNUMBER(AJ63)),AL63="Completed"),OR(NOT(ISNUMBER(AM63)),AO63="Completed"),OR(NOT(ISNUMBER(AQ63)),AS63="Completed"),OR(NOT(ISNUMBER(AW63)),AY63="Completed"),OR(NOT(ISNUMBER(AZ63)),BB63="Completed"),OR(NOT(ISNUMBER(BC63)),BE63="Completed"),OR(NOT(ISNUMBER(BG63)),BI63="Completed"),OR(NOT(ISNUMBER(O63)),P63="Completed"),OR(NOT(ISNUMBER(BM63)),BN63="Completed"),OR(NOT(ISNUMBER(BO63)),BP63="Completed"),OR(NOT(ISNUMBER(BQ63)),BR63="Completed"),BS63="Completed"),"Completed",IF(((S63="In Progress")+(V63="In Progress")+(Y63="In Progress")+(AC63="In Progress")+(AI63="In Progress")+(AL63="In Progress")+(AO63="In Progress")+(AS63="In Progress")+(AY63="In Progress")+(BB63="In Progress")+(BE63="In Progress")+(BI63="In Progress")+(P63="In Progress")+(BN63="In Progress")+(BP63="In Progress")+(BR63="In Progress")+(BS63="In Progress"))&gt;0,"In Progress","Yet to start")))))</f>
        <v/>
      </c>
      <c r="E63" s="30">
        <f>IF(A63="","",IF(F63="","All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Review","CAB"},MATCH(F63,BU63:CJ63,0))))</f>
        <v/>
      </c>
      <c r="F63" s="31">
        <f>IF(A63="","",IF(COUNT(BU63:CJ63)=0,"",MIN(BU63:CJ63)))</f>
        <v/>
      </c>
      <c r="G63" s="30">
        <f>IF(A63="","",MAX(0,IF(AND(ISNUMBER(Q63),S63&lt;&gt;"Completed",Q63&lt;TODAY()),TODAY()-Q63,0),IF(AND(ISNUMBER(T63),V63&lt;&gt;"Completed",T63&lt;TODAY()),TODAY()-T63,0),IF(AND(ISNUMBER(W63),Y63&lt;&gt;"Completed",W63&lt;TODAY()),TODAY()-W63,0),IF(AND(ISNUMBER(AA63),AC63&lt;&gt;"Completed",AA63&lt;TODAY()),TODAY()-AA63,0),IF(AND(ISNUMBER(AG63),AI63&lt;&gt;"Completed",AG63&lt;TODAY()),TODAY()-AG63,0),IF(AND(ISNUMBER(AJ63),AL63&lt;&gt;"Completed",AJ63&lt;TODAY()),TODAY()-AJ63,0),IF(AND(ISNUMBER(AM63),AO63&lt;&gt;"Completed",AM63&lt;TODAY()),TODAY()-AM63,0),IF(AND(ISNUMBER(AQ63),AS63&lt;&gt;"Completed",AQ63&lt;TODAY()),TODAY()-AQ63,0),IF(AND(ISNUMBER(AW63),AY63&lt;&gt;"Completed",AW63&lt;TODAY()),TODAY()-AW63,0),IF(AND(ISNUMBER(AZ63),BB63&lt;&gt;"Completed",AZ63&lt;TODAY()),TODAY()-AZ63,0),IF(AND(ISNUMBER(BC63),BE63&lt;&gt;"Completed",BC63&lt;TODAY()),TODAY()-BC63,0),IF(AND(ISNUMBER(BG63),BI63&lt;&gt;"Completed",BG63&lt;TODAY()),TODAY()-BG63,0),IF(AND(ISNUMBER(O63),P63&lt;&gt;"Completed",O63&lt;TODAY()),TODAY()-O63,0),IF(AND(ISNUMBER(BQ63),BR63&lt;&gt;"Completed",BQ63&lt;TODAY()),TODAY()-BQ63,0),IF(AND(ISNUMBER(BO63),BP63&lt;&gt;"Completed",BO63&lt;TODAY()),TODAY()-BO63,0),IF(AND(ISNUMBER(BM63),BN63&lt;&gt;"Completed",BM63&lt;TODAY()),TODAY()-BM63,0)))</f>
        <v/>
      </c>
      <c r="H63" s="32" t="n"/>
      <c r="I63" s="32" t="n"/>
      <c r="J63" s="32" t="n"/>
      <c r="K63" s="31">
        <f>IF(ISNUMBER(H63),H63,IF(ISNUMBER(M63),M63-WEEKDAY(M63,2)+1-7,""))</f>
        <v/>
      </c>
      <c r="L63" s="31">
        <f>IF(ISNUMBER(I63),I63,IF(ISNUMBER(H63),WORKDAY(H63,SprintWorkingDays-1),IF(ISNUMBER(K63),WORKDAY(K63,SprintWorkingDays-1),"")))</f>
        <v/>
      </c>
      <c r="M63" s="31">
        <f>IF(ISNUMBER(J63),J63,IF(ISNUMBER(I63),I63-IF(OR(WEEKDAY(I63,2)=2,WEEKDAY(I63,2)=4),0,IF(WEEKDAY(I63,2)=63,1,IF(WEEKDAY(I63,2)=1,4,WEEKDAY(I63,2)-4))),IF(ISNUMBER(H63),WORKDAY(H63,SprintWorkingDays-1)-IF(OR(WEEKDAY(WORKDAY(H63,SprintWorkingDays-1),2)=2,WEEKDAY(WORKDAY(H63,SprintWorkingDays-1),2)=4),0,IF(WEEKDAY(WORKDAY(H63,SprintWorkingDays-1),2)=63,1,IF(WEEKDAY(WORKDAY(H63,SprintWorkingDays-1),2)=1,4,WEEKDAY(WORKDAY(H63,SprintWorkingDays-1),2)-4))),"")))</f>
        <v/>
      </c>
      <c r="N63" s="31">
        <f>IF(NOT(ISNUMBER(K63)),"",WORKDAY(K63,ReadyOffsetWD))</f>
        <v/>
      </c>
      <c r="O63" s="31">
        <f>IF(NOT(ISNUMBER(K63)),"",WORKDAY(K63,SprintReadinessOffsetWD))</f>
        <v/>
      </c>
      <c r="P63" s="29" t="n"/>
      <c r="Q63" s="31">
        <f>IF(NOT(ISNUMBER(T63)),"",WORKDAY(T63,RTSKOffsetFromOUR_WD))</f>
        <v/>
      </c>
      <c r="R63" s="32" t="n"/>
      <c r="S63" s="29" t="n"/>
      <c r="T63" s="31">
        <f>IF(NOT(ISNUMBER(W63)),"",WORKDAY(W63,OUROffsetFromSR_WD))</f>
        <v/>
      </c>
      <c r="U63" s="32" t="n"/>
      <c r="V63" s="29" t="n"/>
      <c r="W63" s="31">
        <f>IF(NOT(ISNUMBER(K63)),"",WORKDAY(K63,SROffsetFromStartWD))</f>
        <v/>
      </c>
      <c r="X63" s="32" t="n"/>
      <c r="Y63" s="29" t="n"/>
      <c r="Z63" s="29" t="n"/>
      <c r="AA63" s="31">
        <f>IF(ISNUMBER(Q63),Q63,"")</f>
        <v/>
      </c>
      <c r="AB63" s="32" t="n"/>
      <c r="AC63" s="29" t="n"/>
      <c r="AD63" s="29" t="n"/>
      <c r="AE63" s="29" t="n"/>
      <c r="AF63" s="29" t="n"/>
      <c r="AG63" s="31">
        <f>IF(NOT(ISNUMBER(Q63)),"",Q63)</f>
        <v/>
      </c>
      <c r="AH63" s="32" t="n"/>
      <c r="AI63" s="29" t="n"/>
      <c r="AJ63" s="31">
        <f>IF(NOT(ISNUMBER(T63)),"",T63)</f>
        <v/>
      </c>
      <c r="AK63" s="32" t="n"/>
      <c r="AL63" s="29" t="n"/>
      <c r="AM63" s="31">
        <f>IF(NOT(ISNUMBER(W63)),"",W63)</f>
        <v/>
      </c>
      <c r="AN63" s="32" t="n"/>
      <c r="AO63" s="29" t="n"/>
      <c r="AP63" s="29" t="n"/>
      <c r="AQ63" s="31">
        <f>IF(ISNUMBER(AG63),AG63,"")</f>
        <v/>
      </c>
      <c r="AR63" s="32" t="n"/>
      <c r="AS63" s="29" t="n"/>
      <c r="AT63" s="29" t="n"/>
      <c r="AU63" s="29" t="n"/>
      <c r="AV63" s="29" t="n"/>
      <c r="AW63" s="31">
        <f>IF(NOT(ISNUMBER(Q63)),"",Q63)</f>
        <v/>
      </c>
      <c r="AX63" s="32" t="n"/>
      <c r="AY63" s="29" t="n"/>
      <c r="AZ63" s="31">
        <f>IF(NOT(ISNUMBER(T63)),"",T63)</f>
        <v/>
      </c>
      <c r="BA63" s="32" t="n"/>
      <c r="BB63" s="29" t="n"/>
      <c r="BC63" s="31">
        <f>IF(NOT(ISNUMBER(W63)),"",W63)</f>
        <v/>
      </c>
      <c r="BD63" s="32" t="n"/>
      <c r="BE63" s="29" t="n"/>
      <c r="BF63" s="29" t="n"/>
      <c r="BG63" s="31">
        <f>IF(ISNUMBER(AW63),AW63,"")</f>
        <v/>
      </c>
      <c r="BH63" s="32" t="n"/>
      <c r="BI63" s="29" t="n"/>
      <c r="BJ63" s="29" t="n"/>
      <c r="BK63" s="29" t="n"/>
      <c r="BL63" s="29" t="n"/>
      <c r="BM63" s="31">
        <f>IF(OR(NOT(ISNUMBER(M63)),AND(WEEKDAY(M63,2)&lt;&gt;2,WEEKDAY(M63,2)&lt;&gt;4)),"",WORKDAY(M63,CABOffsetFromReleaseWD))</f>
        <v/>
      </c>
      <c r="BN63" s="29" t="n"/>
      <c r="BO63" s="31">
        <f>IF(NOT(ISNUMBER(BM63)),"",IF(WEEKDAY(BM63-CodeReviewCalendarDays,2)&gt;5,BM63-CodeReviewCalendarDays-(WEEKDAY(BM63-CodeReviewCalendarDays,2)-5),BM63-CodeReviewCalendarDays))</f>
        <v/>
      </c>
      <c r="BP63" s="29" t="n"/>
      <c r="BQ63" s="31">
        <f>IF(NOT(ISNUMBER(BO63)),"",IF(WEEKDAY(BO63-CodeReviewInviteCalendarDays,2)&gt;5,BO63-CodeReviewInviteCalendarDays-(WEEKDAY(BO63-CodeReviewInviteCalendarDays,2)-5),BO63-CodeReviewInviteCalendarDays))</f>
        <v/>
      </c>
      <c r="BR63" s="29" t="n"/>
      <c r="BS63" s="29" t="n"/>
      <c r="BT63" s="30">
        <f>IF(A63="","",IF(IF(AND(ISNUMBER(J63),WEEKDAY(J63,2)&lt;&gt;2,WEEKDAY(J63,2)&lt;&gt;4)," | Release must be Tuesday or Thursday","")&amp;IF(AND(ISNUMBER(H63),WEEKDAY(H63,2)&lt;&gt;1)," | Sprint Start is not a Monday - dates still calculated from the date entered","")&amp;IF(AND(A63&lt;&gt;"",NOT(ISNUMBER(H63)),NOT(ISNUMBER(J63)))," | Enter Sprint Start or Release Date","")&amp;IF(AND(ISNUMBER(F63),F63&lt;TODAY(),D63&lt;&gt;"Completed")," | One or more raise-by dates are in the past and not completed","")&amp;IF(AND(ISNUMBER(K63),K63-TODAY()&lt;SprintWarningDays,K63&gt;=TODAY(),OR(D63="Yet to start",D63="Blocked"))," | Sprint starts in under 10 days - raise access requests now","")&amp;IF(AND(ISNUMBER(BQ63),BR63&lt;&gt;"Completed",BQ63-TODAY()&lt;CodeReviewInviteCalendarDays)," | Code Review invite should be sent at least 4 days before Code Review","")="","",MID(IF(AND(ISNUMBER(J63),WEEKDAY(J63,2)&lt;&gt;2,WEEKDAY(J63,2)&lt;&gt;4)," | Release must be Tuesday or Thursday","")&amp;IF(AND(ISNUMBER(H63),WEEKDAY(H63,2)&lt;&gt;1)," | Sprint Start is not a Monday - dates still calculated from the date entered","")&amp;IF(AND(A63&lt;&gt;"",NOT(ISNUMBER(H63)),NOT(ISNUMBER(J63)))," | Enter Sprint Start or Release Date","")&amp;IF(AND(ISNUMBER(F63),F63&lt;TODAY(),D63&lt;&gt;"Completed")," | One or more raise-by dates are in the past and not completed","")&amp;IF(AND(ISNUMBER(K63),K63-TODAY()&lt;SprintWarningDays,K63&gt;=TODAY(),OR(D63="Yet to start",D63="Blocked"))," | Sprint starts in under 10 days - raise access requests now","")&amp;IF(AND(ISNUMBER(BQ63),BR63&lt;&gt;"Completed",BQ63-TODAY()&lt;CodeReviewInviteCalendarDays)," | Code Review invite should be sent at least 4 days before Code Review",""),4,500)))</f>
        <v/>
      </c>
      <c r="BU63" s="26">
        <f>IF(AND(ISNUMBER(Q63),S63&lt;&gt;"Completed"),Q63,"")</f>
        <v/>
      </c>
      <c r="BV63" s="26">
        <f>IF(AND(ISNUMBER(T63),V63&lt;&gt;"Completed"),T63,"")</f>
        <v/>
      </c>
      <c r="BW63" s="26">
        <f>IF(AND(ISNUMBER(W63),Y63&lt;&gt;"Completed"),W63,"")</f>
        <v/>
      </c>
      <c r="BX63" s="26">
        <f>IF(AND(ISNUMBER(AA63),AC63&lt;&gt;"Completed"),AA63,"")</f>
        <v/>
      </c>
      <c r="BY63" s="26">
        <f>IF(AND(ISNUMBER(AG63),AI63&lt;&gt;"Completed"),AG63,"")</f>
        <v/>
      </c>
      <c r="BZ63" s="26">
        <f>IF(AND(ISNUMBER(AJ63),AL63&lt;&gt;"Completed"),AJ63,"")</f>
        <v/>
      </c>
      <c r="CA63" s="26">
        <f>IF(AND(ISNUMBER(AM63),AO63&lt;&gt;"Completed"),AM63,"")</f>
        <v/>
      </c>
      <c r="CB63" s="26">
        <f>IF(AND(ISNUMBER(AQ63),AS63&lt;&gt;"Completed"),AQ63,"")</f>
        <v/>
      </c>
      <c r="CC63" s="26">
        <f>IF(AND(ISNUMBER(AW63),AY63&lt;&gt;"Completed"),AW63,"")</f>
        <v/>
      </c>
      <c r="CD63" s="26">
        <f>IF(AND(ISNUMBER(AZ63),BB63&lt;&gt;"Completed"),AZ63,"")</f>
        <v/>
      </c>
      <c r="CE63" s="26">
        <f>IF(AND(ISNUMBER(BC63),BE63&lt;&gt;"Completed"),BC63,"")</f>
        <v/>
      </c>
      <c r="CF63" s="26">
        <f>IF(AND(ISNUMBER(BG63),BI63&lt;&gt;"Completed"),BG63,"")</f>
        <v/>
      </c>
      <c r="CG63" s="26">
        <f>IF(AND(ISNUMBER(O63),P63&lt;&gt;"Completed"),O63,"")</f>
        <v/>
      </c>
      <c r="CH63" s="26">
        <f>IF(AND(ISNUMBER(BQ63),BR63&lt;&gt;"Completed"),BQ63,"")</f>
        <v/>
      </c>
      <c r="CI63" s="26">
        <f>IF(AND(ISNUMBER(BO63),BP63&lt;&gt;"Completed"),BO63,"")</f>
        <v/>
      </c>
      <c r="CJ63" s="26">
        <f>IF(AND(ISNUMBER(BM63),BN63&lt;&gt;"Completed"),BM63,"")</f>
        <v/>
      </c>
      <c r="CK63" s="26">
        <f>IF(OR(A63="",D63="Completed"),"",IF(N(G63)&gt;0,1/(N(G63)+ROW()/100000),IF(ISNUMBER(F63),1000+F63+ROW()/100000,TODAY()+400+ROW()/100000)))</f>
        <v/>
      </c>
    </row>
    <row r="64" ht="16" customHeight="1" s="39">
      <c r="A64" s="29" t="n"/>
      <c r="B64" s="29" t="n"/>
      <c r="C64" s="29" t="n"/>
      <c r="D64" s="30">
        <f>IF(A64="","",IF(((S64="Blocked")+(V64="Blocked")+(Y64="Blocked")+(AC64="Blocked")+(AI64="Blocked")+(AL64="Blocked")+(AO64="Blocked")+(AS64="Blocked")+(AY64="Blocked")+(BB64="Blocked")+(BE64="Blocked")+(BI64="Blocked")+(P64="Blocked")+(BN64="Blocked")+(BP64="Blocked")+(BR64="Blocked")+(BS64="Blocked"))&gt;0,"Blocked",IF((ISNUMBER(Q64)+ISNUMBER(T64)+ISNUMBER(W64)+ISNUMBER(AA64)+ISNUMBER(AG64)+ISNUMBER(AJ64)+ISNUMBER(AM64)+ISNUMBER(AQ64)+ISNUMBER(AW64)+ISNUMBER(AZ64)+ISNUMBER(BC64)+ISNUMBER(BG64)+ISNUMBER(O64)+ISNUMBER(BM64)+ISNUMBER(BO64)+ISNUMBER(BQ64))=0,"Yet to start",IF(AND(OR(NOT(ISNUMBER(Q64)),S64="Completed"),OR(NOT(ISNUMBER(T64)),V64="Completed"),OR(NOT(ISNUMBER(W64)),Y64="Completed"),OR(NOT(ISNUMBER(AA64)),AC64="Completed"),OR(NOT(ISNUMBER(AG64)),AI64="Completed"),OR(NOT(ISNUMBER(AJ64)),AL64="Completed"),OR(NOT(ISNUMBER(AM64)),AO64="Completed"),OR(NOT(ISNUMBER(AQ64)),AS64="Completed"),OR(NOT(ISNUMBER(AW64)),AY64="Completed"),OR(NOT(ISNUMBER(AZ64)),BB64="Completed"),OR(NOT(ISNUMBER(BC64)),BE64="Completed"),OR(NOT(ISNUMBER(BG64)),BI64="Completed"),OR(NOT(ISNUMBER(O64)),P64="Completed"),OR(NOT(ISNUMBER(BM64)),BN64="Completed"),OR(NOT(ISNUMBER(BO64)),BP64="Completed"),OR(NOT(ISNUMBER(BQ64)),BR64="Completed"),BS64="Completed"),"Completed",IF(((S64="In Progress")+(V64="In Progress")+(Y64="In Progress")+(AC64="In Progress")+(AI64="In Progress")+(AL64="In Progress")+(AO64="In Progress")+(AS64="In Progress")+(AY64="In Progress")+(BB64="In Progress")+(BE64="In Progress")+(BI64="In Progress")+(P64="In Progress")+(BN64="In Progress")+(BP64="In Progress")+(BR64="In Progress")+(BS64="In Progress"))&gt;0,"In Progress","Yet to start")))))</f>
        <v/>
      </c>
      <c r="E64" s="30">
        <f>IF(A64="","",IF(F64="","All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Review","CAB"},MATCH(F64,BU64:CJ64,0))))</f>
        <v/>
      </c>
      <c r="F64" s="31">
        <f>IF(A64="","",IF(COUNT(BU64:CJ64)=0,"",MIN(BU64:CJ64)))</f>
        <v/>
      </c>
      <c r="G64" s="30">
        <f>IF(A64="","",MAX(0,IF(AND(ISNUMBER(Q64),S64&lt;&gt;"Completed",Q64&lt;TODAY()),TODAY()-Q64,0),IF(AND(ISNUMBER(T64),V64&lt;&gt;"Completed",T64&lt;TODAY()),TODAY()-T64,0),IF(AND(ISNUMBER(W64),Y64&lt;&gt;"Completed",W64&lt;TODAY()),TODAY()-W64,0),IF(AND(ISNUMBER(AA64),AC64&lt;&gt;"Completed",AA64&lt;TODAY()),TODAY()-AA64,0),IF(AND(ISNUMBER(AG64),AI64&lt;&gt;"Completed",AG64&lt;TODAY()),TODAY()-AG64,0),IF(AND(ISNUMBER(AJ64),AL64&lt;&gt;"Completed",AJ64&lt;TODAY()),TODAY()-AJ64,0),IF(AND(ISNUMBER(AM64),AO64&lt;&gt;"Completed",AM64&lt;TODAY()),TODAY()-AM64,0),IF(AND(ISNUMBER(AQ64),AS64&lt;&gt;"Completed",AQ64&lt;TODAY()),TODAY()-AQ64,0),IF(AND(ISNUMBER(AW64),AY64&lt;&gt;"Completed",AW64&lt;TODAY()),TODAY()-AW64,0),IF(AND(ISNUMBER(AZ64),BB64&lt;&gt;"Completed",AZ64&lt;TODAY()),TODAY()-AZ64,0),IF(AND(ISNUMBER(BC64),BE64&lt;&gt;"Completed",BC64&lt;TODAY()),TODAY()-BC64,0),IF(AND(ISNUMBER(BG64),BI64&lt;&gt;"Completed",BG64&lt;TODAY()),TODAY()-BG64,0),IF(AND(ISNUMBER(O64),P64&lt;&gt;"Completed",O64&lt;TODAY()),TODAY()-O64,0),IF(AND(ISNUMBER(BQ64),BR64&lt;&gt;"Completed",BQ64&lt;TODAY()),TODAY()-BQ64,0),IF(AND(ISNUMBER(BO64),BP64&lt;&gt;"Completed",BO64&lt;TODAY()),TODAY()-BO64,0),IF(AND(ISNUMBER(BM64),BN64&lt;&gt;"Completed",BM64&lt;TODAY()),TODAY()-BM64,0)))</f>
        <v/>
      </c>
      <c r="H64" s="32" t="n"/>
      <c r="I64" s="32" t="n"/>
      <c r="J64" s="32" t="n"/>
      <c r="K64" s="31">
        <f>IF(ISNUMBER(H64),H64,IF(ISNUMBER(M64),M64-WEEKDAY(M64,2)+1-7,""))</f>
        <v/>
      </c>
      <c r="L64" s="31">
        <f>IF(ISNUMBER(I64),I64,IF(ISNUMBER(H64),WORKDAY(H64,SprintWorkingDays-1),IF(ISNUMBER(K64),WORKDAY(K64,SprintWorkingDays-1),"")))</f>
        <v/>
      </c>
      <c r="M64" s="31">
        <f>IF(ISNUMBER(J64),J64,IF(ISNUMBER(I64),I64-IF(OR(WEEKDAY(I64,2)=2,WEEKDAY(I64,2)=4),0,IF(WEEKDAY(I64,2)=64,1,IF(WEEKDAY(I64,2)=1,4,WEEKDAY(I64,2)-4))),IF(ISNUMBER(H64),WORKDAY(H64,SprintWorkingDays-1)-IF(OR(WEEKDAY(WORKDAY(H64,SprintWorkingDays-1),2)=2,WEEKDAY(WORKDAY(H64,SprintWorkingDays-1),2)=4),0,IF(WEEKDAY(WORKDAY(H64,SprintWorkingDays-1),2)=64,1,IF(WEEKDAY(WORKDAY(H64,SprintWorkingDays-1),2)=1,4,WEEKDAY(WORKDAY(H64,SprintWorkingDays-1),2)-4))),"")))</f>
        <v/>
      </c>
      <c r="N64" s="31">
        <f>IF(NOT(ISNUMBER(K64)),"",WORKDAY(K64,ReadyOffsetWD))</f>
        <v/>
      </c>
      <c r="O64" s="31">
        <f>IF(NOT(ISNUMBER(K64)),"",WORKDAY(K64,SprintReadinessOffsetWD))</f>
        <v/>
      </c>
      <c r="P64" s="29" t="n"/>
      <c r="Q64" s="31">
        <f>IF(NOT(ISNUMBER(T64)),"",WORKDAY(T64,RTSKOffsetFromOUR_WD))</f>
        <v/>
      </c>
      <c r="R64" s="32" t="n"/>
      <c r="S64" s="29" t="n"/>
      <c r="T64" s="31">
        <f>IF(NOT(ISNUMBER(W64)),"",WORKDAY(W64,OUROffsetFromSR_WD))</f>
        <v/>
      </c>
      <c r="U64" s="32" t="n"/>
      <c r="V64" s="29" t="n"/>
      <c r="W64" s="31">
        <f>IF(NOT(ISNUMBER(K64)),"",WORKDAY(K64,SROffsetFromStartWD))</f>
        <v/>
      </c>
      <c r="X64" s="32" t="n"/>
      <c r="Y64" s="29" t="n"/>
      <c r="Z64" s="29" t="n"/>
      <c r="AA64" s="31">
        <f>IF(ISNUMBER(Q64),Q64,"")</f>
        <v/>
      </c>
      <c r="AB64" s="32" t="n"/>
      <c r="AC64" s="29" t="n"/>
      <c r="AD64" s="29" t="n"/>
      <c r="AE64" s="29" t="n"/>
      <c r="AF64" s="29" t="n"/>
      <c r="AG64" s="31">
        <f>IF(NOT(ISNUMBER(Q64)),"",Q64)</f>
        <v/>
      </c>
      <c r="AH64" s="32" t="n"/>
      <c r="AI64" s="29" t="n"/>
      <c r="AJ64" s="31">
        <f>IF(NOT(ISNUMBER(T64)),"",T64)</f>
        <v/>
      </c>
      <c r="AK64" s="32" t="n"/>
      <c r="AL64" s="29" t="n"/>
      <c r="AM64" s="31">
        <f>IF(NOT(ISNUMBER(W64)),"",W64)</f>
        <v/>
      </c>
      <c r="AN64" s="32" t="n"/>
      <c r="AO64" s="29" t="n"/>
      <c r="AP64" s="29" t="n"/>
      <c r="AQ64" s="31">
        <f>IF(ISNUMBER(AG64),AG64,"")</f>
        <v/>
      </c>
      <c r="AR64" s="32" t="n"/>
      <c r="AS64" s="29" t="n"/>
      <c r="AT64" s="29" t="n"/>
      <c r="AU64" s="29" t="n"/>
      <c r="AV64" s="29" t="n"/>
      <c r="AW64" s="31">
        <f>IF(NOT(ISNUMBER(Q64)),"",Q64)</f>
        <v/>
      </c>
      <c r="AX64" s="32" t="n"/>
      <c r="AY64" s="29" t="n"/>
      <c r="AZ64" s="31">
        <f>IF(NOT(ISNUMBER(T64)),"",T64)</f>
        <v/>
      </c>
      <c r="BA64" s="32" t="n"/>
      <c r="BB64" s="29" t="n"/>
      <c r="BC64" s="31">
        <f>IF(NOT(ISNUMBER(W64)),"",W64)</f>
        <v/>
      </c>
      <c r="BD64" s="32" t="n"/>
      <c r="BE64" s="29" t="n"/>
      <c r="BF64" s="29" t="n"/>
      <c r="BG64" s="31">
        <f>IF(ISNUMBER(AW64),AW64,"")</f>
        <v/>
      </c>
      <c r="BH64" s="32" t="n"/>
      <c r="BI64" s="29" t="n"/>
      <c r="BJ64" s="29" t="n"/>
      <c r="BK64" s="29" t="n"/>
      <c r="BL64" s="29" t="n"/>
      <c r="BM64" s="31">
        <f>IF(OR(NOT(ISNUMBER(M64)),AND(WEEKDAY(M64,2)&lt;&gt;2,WEEKDAY(M64,2)&lt;&gt;4)),"",WORKDAY(M64,CABOffsetFromReleaseWD))</f>
        <v/>
      </c>
      <c r="BN64" s="29" t="n"/>
      <c r="BO64" s="31">
        <f>IF(NOT(ISNUMBER(BM64)),"",IF(WEEKDAY(BM64-CodeReviewCalendarDays,2)&gt;5,BM64-CodeReviewCalendarDays-(WEEKDAY(BM64-CodeReviewCalendarDays,2)-5),BM64-CodeReviewCalendarDays))</f>
        <v/>
      </c>
      <c r="BP64" s="29" t="n"/>
      <c r="BQ64" s="31">
        <f>IF(NOT(ISNUMBER(BO64)),"",IF(WEEKDAY(BO64-CodeReviewInviteCalendarDays,2)&gt;5,BO64-CodeReviewInviteCalendarDays-(WEEKDAY(BO64-CodeReviewInviteCalendarDays,2)-5),BO64-CodeReviewInviteCalendarDays))</f>
        <v/>
      </c>
      <c r="BR64" s="29" t="n"/>
      <c r="BS64" s="29" t="n"/>
      <c r="BT64" s="30">
        <f>IF(A64="","",IF(IF(AND(ISNUMBER(J64),WEEKDAY(J64,2)&lt;&gt;2,WEEKDAY(J64,2)&lt;&gt;4)," | Release must be Tuesday or Thursday","")&amp;IF(AND(ISNUMBER(H64),WEEKDAY(H64,2)&lt;&gt;1)," | Sprint Start is not a Monday - dates still calculated from the date entered","")&amp;IF(AND(A64&lt;&gt;"",NOT(ISNUMBER(H64)),NOT(ISNUMBER(J64)))," | Enter Sprint Start or Release Date","")&amp;IF(AND(ISNUMBER(F64),F64&lt;TODAY(),D64&lt;&gt;"Completed")," | One or more raise-by dates are in the past and not completed","")&amp;IF(AND(ISNUMBER(K64),K64-TODAY()&lt;SprintWarningDays,K64&gt;=TODAY(),OR(D64="Yet to start",D64="Blocked"))," | Sprint starts in under 10 days - raise access requests now","")&amp;IF(AND(ISNUMBER(BQ64),BR64&lt;&gt;"Completed",BQ64-TODAY()&lt;CodeReviewInviteCalendarDays)," | Code Review invite should be sent at least 4 days before Code Review","")="","",MID(IF(AND(ISNUMBER(J64),WEEKDAY(J64,2)&lt;&gt;2,WEEKDAY(J64,2)&lt;&gt;4)," | Release must be Tuesday or Thursday","")&amp;IF(AND(ISNUMBER(H64),WEEKDAY(H64,2)&lt;&gt;1)," | Sprint Start is not a Monday - dates still calculated from the date entered","")&amp;IF(AND(A64&lt;&gt;"",NOT(ISNUMBER(H64)),NOT(ISNUMBER(J64)))," | Enter Sprint Start or Release Date","")&amp;IF(AND(ISNUMBER(F64),F64&lt;TODAY(),D64&lt;&gt;"Completed")," | One or more raise-by dates are in the past and not completed","")&amp;IF(AND(ISNUMBER(K64),K64-TODAY()&lt;SprintWarningDays,K64&gt;=TODAY(),OR(D64="Yet to start",D64="Blocked"))," | Sprint starts in under 10 days - raise access requests now","")&amp;IF(AND(ISNUMBER(BQ64),BR64&lt;&gt;"Completed",BQ64-TODAY()&lt;CodeReviewInviteCalendarDays)," | Code Review invite should be sent at least 4 days before Code Review",""),4,500)))</f>
        <v/>
      </c>
      <c r="BU64" s="26">
        <f>IF(AND(ISNUMBER(Q64),S64&lt;&gt;"Completed"),Q64,"")</f>
        <v/>
      </c>
      <c r="BV64" s="26">
        <f>IF(AND(ISNUMBER(T64),V64&lt;&gt;"Completed"),T64,"")</f>
        <v/>
      </c>
      <c r="BW64" s="26">
        <f>IF(AND(ISNUMBER(W64),Y64&lt;&gt;"Completed"),W64,"")</f>
        <v/>
      </c>
      <c r="BX64" s="26">
        <f>IF(AND(ISNUMBER(AA64),AC64&lt;&gt;"Completed"),AA64,"")</f>
        <v/>
      </c>
      <c r="BY64" s="26">
        <f>IF(AND(ISNUMBER(AG64),AI64&lt;&gt;"Completed"),AG64,"")</f>
        <v/>
      </c>
      <c r="BZ64" s="26">
        <f>IF(AND(ISNUMBER(AJ64),AL64&lt;&gt;"Completed"),AJ64,"")</f>
        <v/>
      </c>
      <c r="CA64" s="26">
        <f>IF(AND(ISNUMBER(AM64),AO64&lt;&gt;"Completed"),AM64,"")</f>
        <v/>
      </c>
      <c r="CB64" s="26">
        <f>IF(AND(ISNUMBER(AQ64),AS64&lt;&gt;"Completed"),AQ64,"")</f>
        <v/>
      </c>
      <c r="CC64" s="26">
        <f>IF(AND(ISNUMBER(AW64),AY64&lt;&gt;"Completed"),AW64,"")</f>
        <v/>
      </c>
      <c r="CD64" s="26">
        <f>IF(AND(ISNUMBER(AZ64),BB64&lt;&gt;"Completed"),AZ64,"")</f>
        <v/>
      </c>
      <c r="CE64" s="26">
        <f>IF(AND(ISNUMBER(BC64),BE64&lt;&gt;"Completed"),BC64,"")</f>
        <v/>
      </c>
      <c r="CF64" s="26">
        <f>IF(AND(ISNUMBER(BG64),BI64&lt;&gt;"Completed"),BG64,"")</f>
        <v/>
      </c>
      <c r="CG64" s="26">
        <f>IF(AND(ISNUMBER(O64),P64&lt;&gt;"Completed"),O64,"")</f>
        <v/>
      </c>
      <c r="CH64" s="26">
        <f>IF(AND(ISNUMBER(BQ64),BR64&lt;&gt;"Completed"),BQ64,"")</f>
        <v/>
      </c>
      <c r="CI64" s="26">
        <f>IF(AND(ISNUMBER(BO64),BP64&lt;&gt;"Completed"),BO64,"")</f>
        <v/>
      </c>
      <c r="CJ64" s="26">
        <f>IF(AND(ISNUMBER(BM64),BN64&lt;&gt;"Completed"),BM64,"")</f>
        <v/>
      </c>
      <c r="CK64" s="26">
        <f>IF(OR(A64="",D64="Completed"),"",IF(N(G64)&gt;0,1/(N(G64)+ROW()/100000),IF(ISNUMBER(F64),1000+F64+ROW()/100000,TODAY()+400+ROW()/100000)))</f>
        <v/>
      </c>
    </row>
    <row r="65" ht="16" customHeight="1" s="39">
      <c r="A65" s="29" t="n"/>
      <c r="B65" s="29" t="n"/>
      <c r="C65" s="29" t="n"/>
      <c r="D65" s="30">
        <f>IF(A65="","",IF(((S65="Blocked")+(V65="Blocked")+(Y65="Blocked")+(AC65="Blocked")+(AI65="Blocked")+(AL65="Blocked")+(AO65="Blocked")+(AS65="Blocked")+(AY65="Blocked")+(BB65="Blocked")+(BE65="Blocked")+(BI65="Blocked")+(P65="Blocked")+(BN65="Blocked")+(BP65="Blocked")+(BR65="Blocked")+(BS65="Blocked"))&gt;0,"Blocked",IF((ISNUMBER(Q65)+ISNUMBER(T65)+ISNUMBER(W65)+ISNUMBER(AA65)+ISNUMBER(AG65)+ISNUMBER(AJ65)+ISNUMBER(AM65)+ISNUMBER(AQ65)+ISNUMBER(AW65)+ISNUMBER(AZ65)+ISNUMBER(BC65)+ISNUMBER(BG65)+ISNUMBER(O65)+ISNUMBER(BM65)+ISNUMBER(BO65)+ISNUMBER(BQ65))=0,"Yet to start",IF(AND(OR(NOT(ISNUMBER(Q65)),S65="Completed"),OR(NOT(ISNUMBER(T65)),V65="Completed"),OR(NOT(ISNUMBER(W65)),Y65="Completed"),OR(NOT(ISNUMBER(AA65)),AC65="Completed"),OR(NOT(ISNUMBER(AG65)),AI65="Completed"),OR(NOT(ISNUMBER(AJ65)),AL65="Completed"),OR(NOT(ISNUMBER(AM65)),AO65="Completed"),OR(NOT(ISNUMBER(AQ65)),AS65="Completed"),OR(NOT(ISNUMBER(AW65)),AY65="Completed"),OR(NOT(ISNUMBER(AZ65)),BB65="Completed"),OR(NOT(ISNUMBER(BC65)),BE65="Completed"),OR(NOT(ISNUMBER(BG65)),BI65="Completed"),OR(NOT(ISNUMBER(O65)),P65="Completed"),OR(NOT(ISNUMBER(BM65)),BN65="Completed"),OR(NOT(ISNUMBER(BO65)),BP65="Completed"),OR(NOT(ISNUMBER(BQ65)),BR65="Completed"),BS65="Completed"),"Completed",IF(((S65="In Progress")+(V65="In Progress")+(Y65="In Progress")+(AC65="In Progress")+(AI65="In Progress")+(AL65="In Progress")+(AO65="In Progress")+(AS65="In Progress")+(AY65="In Progress")+(BB65="In Progress")+(BE65="In Progress")+(BI65="In Progress")+(P65="In Progress")+(BN65="In Progress")+(BP65="In Progress")+(BR65="In Progress")+(BS65="In Progress"))&gt;0,"In Progress","Yet to start")))))</f>
        <v/>
      </c>
      <c r="E65" s="30">
        <f>IF(A65="","",IF(F65="","All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Review","CAB"},MATCH(F65,BU65:CJ65,0))))</f>
        <v/>
      </c>
      <c r="F65" s="31">
        <f>IF(A65="","",IF(COUNT(BU65:CJ65)=0,"",MIN(BU65:CJ65)))</f>
        <v/>
      </c>
      <c r="G65" s="30">
        <f>IF(A65="","",MAX(0,IF(AND(ISNUMBER(Q65),S65&lt;&gt;"Completed",Q65&lt;TODAY()),TODAY()-Q65,0),IF(AND(ISNUMBER(T65),V65&lt;&gt;"Completed",T65&lt;TODAY()),TODAY()-T65,0),IF(AND(ISNUMBER(W65),Y65&lt;&gt;"Completed",W65&lt;TODAY()),TODAY()-W65,0),IF(AND(ISNUMBER(AA65),AC65&lt;&gt;"Completed",AA65&lt;TODAY()),TODAY()-AA65,0),IF(AND(ISNUMBER(AG65),AI65&lt;&gt;"Completed",AG65&lt;TODAY()),TODAY()-AG65,0),IF(AND(ISNUMBER(AJ65),AL65&lt;&gt;"Completed",AJ65&lt;TODAY()),TODAY()-AJ65,0),IF(AND(ISNUMBER(AM65),AO65&lt;&gt;"Completed",AM65&lt;TODAY()),TODAY()-AM65,0),IF(AND(ISNUMBER(AQ65),AS65&lt;&gt;"Completed",AQ65&lt;TODAY()),TODAY()-AQ65,0),IF(AND(ISNUMBER(AW65),AY65&lt;&gt;"Completed",AW65&lt;TODAY()),TODAY()-AW65,0),IF(AND(ISNUMBER(AZ65),BB65&lt;&gt;"Completed",AZ65&lt;TODAY()),TODAY()-AZ65,0),IF(AND(ISNUMBER(BC65),BE65&lt;&gt;"Completed",BC65&lt;TODAY()),TODAY()-BC65,0),IF(AND(ISNUMBER(BG65),BI65&lt;&gt;"Completed",BG65&lt;TODAY()),TODAY()-BG65,0),IF(AND(ISNUMBER(O65),P65&lt;&gt;"Completed",O65&lt;TODAY()),TODAY()-O65,0),IF(AND(ISNUMBER(BQ65),BR65&lt;&gt;"Completed",BQ65&lt;TODAY()),TODAY()-BQ65,0),IF(AND(ISNUMBER(BO65),BP65&lt;&gt;"Completed",BO65&lt;TODAY()),TODAY()-BO65,0),IF(AND(ISNUMBER(BM65),BN65&lt;&gt;"Completed",BM65&lt;TODAY()),TODAY()-BM65,0)))</f>
        <v/>
      </c>
      <c r="H65" s="32" t="n"/>
      <c r="I65" s="32" t="n"/>
      <c r="J65" s="32" t="n"/>
      <c r="K65" s="31">
        <f>IF(ISNUMBER(H65),H65,IF(ISNUMBER(M65),M65-WEEKDAY(M65,2)+1-7,""))</f>
        <v/>
      </c>
      <c r="L65" s="31">
        <f>IF(ISNUMBER(I65),I65,IF(ISNUMBER(H65),WORKDAY(H65,SprintWorkingDays-1),IF(ISNUMBER(K65),WORKDAY(K65,SprintWorkingDays-1),"")))</f>
        <v/>
      </c>
      <c r="M65" s="31">
        <f>IF(ISNUMBER(J65),J65,IF(ISNUMBER(I65),I65-IF(OR(WEEKDAY(I65,2)=2,WEEKDAY(I65,2)=4),0,IF(WEEKDAY(I65,2)=65,1,IF(WEEKDAY(I65,2)=1,4,WEEKDAY(I65,2)-4))),IF(ISNUMBER(H65),WORKDAY(H65,SprintWorkingDays-1)-IF(OR(WEEKDAY(WORKDAY(H65,SprintWorkingDays-1),2)=2,WEEKDAY(WORKDAY(H65,SprintWorkingDays-1),2)=4),0,IF(WEEKDAY(WORKDAY(H65,SprintWorkingDays-1),2)=65,1,IF(WEEKDAY(WORKDAY(H65,SprintWorkingDays-1),2)=1,4,WEEKDAY(WORKDAY(H65,SprintWorkingDays-1),2)-4))),"")))</f>
        <v/>
      </c>
      <c r="N65" s="31">
        <f>IF(NOT(ISNUMBER(K65)),"",WORKDAY(K65,ReadyOffsetWD))</f>
        <v/>
      </c>
      <c r="O65" s="31">
        <f>IF(NOT(ISNUMBER(K65)),"",WORKDAY(K65,SprintReadinessOffsetWD))</f>
        <v/>
      </c>
      <c r="P65" s="29" t="n"/>
      <c r="Q65" s="31">
        <f>IF(NOT(ISNUMBER(T65)),"",WORKDAY(T65,RTSKOffsetFromOUR_WD))</f>
        <v/>
      </c>
      <c r="R65" s="32" t="n"/>
      <c r="S65" s="29" t="n"/>
      <c r="T65" s="31">
        <f>IF(NOT(ISNUMBER(W65)),"",WORKDAY(W65,OUROffsetFromSR_WD))</f>
        <v/>
      </c>
      <c r="U65" s="32" t="n"/>
      <c r="V65" s="29" t="n"/>
      <c r="W65" s="31">
        <f>IF(NOT(ISNUMBER(K65)),"",WORKDAY(K65,SROffsetFromStartWD))</f>
        <v/>
      </c>
      <c r="X65" s="32" t="n"/>
      <c r="Y65" s="29" t="n"/>
      <c r="Z65" s="29" t="n"/>
      <c r="AA65" s="31">
        <f>IF(ISNUMBER(Q65),Q65,"")</f>
        <v/>
      </c>
      <c r="AB65" s="32" t="n"/>
      <c r="AC65" s="29" t="n"/>
      <c r="AD65" s="29" t="n"/>
      <c r="AE65" s="29" t="n"/>
      <c r="AF65" s="29" t="n"/>
      <c r="AG65" s="31">
        <f>IF(NOT(ISNUMBER(Q65)),"",Q65)</f>
        <v/>
      </c>
      <c r="AH65" s="32" t="n"/>
      <c r="AI65" s="29" t="n"/>
      <c r="AJ65" s="31">
        <f>IF(NOT(ISNUMBER(T65)),"",T65)</f>
        <v/>
      </c>
      <c r="AK65" s="32" t="n"/>
      <c r="AL65" s="29" t="n"/>
      <c r="AM65" s="31">
        <f>IF(NOT(ISNUMBER(W65)),"",W65)</f>
        <v/>
      </c>
      <c r="AN65" s="32" t="n"/>
      <c r="AO65" s="29" t="n"/>
      <c r="AP65" s="29" t="n"/>
      <c r="AQ65" s="31">
        <f>IF(ISNUMBER(AG65),AG65,"")</f>
        <v/>
      </c>
      <c r="AR65" s="32" t="n"/>
      <c r="AS65" s="29" t="n"/>
      <c r="AT65" s="29" t="n"/>
      <c r="AU65" s="29" t="n"/>
      <c r="AV65" s="29" t="n"/>
      <c r="AW65" s="31">
        <f>IF(NOT(ISNUMBER(Q65)),"",Q65)</f>
        <v/>
      </c>
      <c r="AX65" s="32" t="n"/>
      <c r="AY65" s="29" t="n"/>
      <c r="AZ65" s="31">
        <f>IF(NOT(ISNUMBER(T65)),"",T65)</f>
        <v/>
      </c>
      <c r="BA65" s="32" t="n"/>
      <c r="BB65" s="29" t="n"/>
      <c r="BC65" s="31">
        <f>IF(NOT(ISNUMBER(W65)),"",W65)</f>
        <v/>
      </c>
      <c r="BD65" s="32" t="n"/>
      <c r="BE65" s="29" t="n"/>
      <c r="BF65" s="29" t="n"/>
      <c r="BG65" s="31">
        <f>IF(ISNUMBER(AW65),AW65,"")</f>
        <v/>
      </c>
      <c r="BH65" s="32" t="n"/>
      <c r="BI65" s="29" t="n"/>
      <c r="BJ65" s="29" t="n"/>
      <c r="BK65" s="29" t="n"/>
      <c r="BL65" s="29" t="n"/>
      <c r="BM65" s="31">
        <f>IF(OR(NOT(ISNUMBER(M65)),AND(WEEKDAY(M65,2)&lt;&gt;2,WEEKDAY(M65,2)&lt;&gt;4)),"",WORKDAY(M65,CABOffsetFromReleaseWD))</f>
        <v/>
      </c>
      <c r="BN65" s="29" t="n"/>
      <c r="BO65" s="31">
        <f>IF(NOT(ISNUMBER(BM65)),"",IF(WEEKDAY(BM65-CodeReviewCalendarDays,2)&gt;5,BM65-CodeReviewCalendarDays-(WEEKDAY(BM65-CodeReviewCalendarDays,2)-5),BM65-CodeReviewCalendarDays))</f>
        <v/>
      </c>
      <c r="BP65" s="29" t="n"/>
      <c r="BQ65" s="31">
        <f>IF(NOT(ISNUMBER(BO65)),"",IF(WEEKDAY(BO65-CodeReviewInviteCalendarDays,2)&gt;5,BO65-CodeReviewInviteCalendarDays-(WEEKDAY(BO65-CodeReviewInviteCalendarDays,2)-5),BO65-CodeReviewInviteCalendarDays))</f>
        <v/>
      </c>
      <c r="BR65" s="29" t="n"/>
      <c r="BS65" s="29" t="n"/>
      <c r="BT65" s="30">
        <f>IF(A65="","",IF(IF(AND(ISNUMBER(J65),WEEKDAY(J65,2)&lt;&gt;2,WEEKDAY(J65,2)&lt;&gt;4)," | Release must be Tuesday or Thursday","")&amp;IF(AND(ISNUMBER(H65),WEEKDAY(H65,2)&lt;&gt;1)," | Sprint Start is not a Monday - dates still calculated from the date entered","")&amp;IF(AND(A65&lt;&gt;"",NOT(ISNUMBER(H65)),NOT(ISNUMBER(J65)))," | Enter Sprint Start or Release Date","")&amp;IF(AND(ISNUMBER(F65),F65&lt;TODAY(),D65&lt;&gt;"Completed")," | One or more raise-by dates are in the past and not completed","")&amp;IF(AND(ISNUMBER(K65),K65-TODAY()&lt;SprintWarningDays,K65&gt;=TODAY(),OR(D65="Yet to start",D65="Blocked"))," | Sprint starts in under 10 days - raise access requests now","")&amp;IF(AND(ISNUMBER(BQ65),BR65&lt;&gt;"Completed",BQ65-TODAY()&lt;CodeReviewInviteCalendarDays)," | Code Review invite should be sent at least 4 days before Code Review","")="","",MID(IF(AND(ISNUMBER(J65),WEEKDAY(J65,2)&lt;&gt;2,WEEKDAY(J65,2)&lt;&gt;4)," | Release must be Tuesday or Thursday","")&amp;IF(AND(ISNUMBER(H65),WEEKDAY(H65,2)&lt;&gt;1)," | Sprint Start is not a Monday - dates still calculated from the date entered","")&amp;IF(AND(A65&lt;&gt;"",NOT(ISNUMBER(H65)),NOT(ISNUMBER(J65)))," | Enter Sprint Start or Release Date","")&amp;IF(AND(ISNUMBER(F65),F65&lt;TODAY(),D65&lt;&gt;"Completed")," | One or more raise-by dates are in the past and not completed","")&amp;IF(AND(ISNUMBER(K65),K65-TODAY()&lt;SprintWarningDays,K65&gt;=TODAY(),OR(D65="Yet to start",D65="Blocked"))," | Sprint starts in under 10 days - raise access requests now","")&amp;IF(AND(ISNUMBER(BQ65),BR65&lt;&gt;"Completed",BQ65-TODAY()&lt;CodeReviewInviteCalendarDays)," | Code Review invite should be sent at least 4 days before Code Review",""),4,500)))</f>
        <v/>
      </c>
      <c r="BU65" s="26">
        <f>IF(AND(ISNUMBER(Q65),S65&lt;&gt;"Completed"),Q65,"")</f>
        <v/>
      </c>
      <c r="BV65" s="26">
        <f>IF(AND(ISNUMBER(T65),V65&lt;&gt;"Completed"),T65,"")</f>
        <v/>
      </c>
      <c r="BW65" s="26">
        <f>IF(AND(ISNUMBER(W65),Y65&lt;&gt;"Completed"),W65,"")</f>
        <v/>
      </c>
      <c r="BX65" s="26">
        <f>IF(AND(ISNUMBER(AA65),AC65&lt;&gt;"Completed"),AA65,"")</f>
        <v/>
      </c>
      <c r="BY65" s="26">
        <f>IF(AND(ISNUMBER(AG65),AI65&lt;&gt;"Completed"),AG65,"")</f>
        <v/>
      </c>
      <c r="BZ65" s="26">
        <f>IF(AND(ISNUMBER(AJ65),AL65&lt;&gt;"Completed"),AJ65,"")</f>
        <v/>
      </c>
      <c r="CA65" s="26">
        <f>IF(AND(ISNUMBER(AM65),AO65&lt;&gt;"Completed"),AM65,"")</f>
        <v/>
      </c>
      <c r="CB65" s="26">
        <f>IF(AND(ISNUMBER(AQ65),AS65&lt;&gt;"Completed"),AQ65,"")</f>
        <v/>
      </c>
      <c r="CC65" s="26">
        <f>IF(AND(ISNUMBER(AW65),AY65&lt;&gt;"Completed"),AW65,"")</f>
        <v/>
      </c>
      <c r="CD65" s="26">
        <f>IF(AND(ISNUMBER(AZ65),BB65&lt;&gt;"Completed"),AZ65,"")</f>
        <v/>
      </c>
      <c r="CE65" s="26">
        <f>IF(AND(ISNUMBER(BC65),BE65&lt;&gt;"Completed"),BC65,"")</f>
        <v/>
      </c>
      <c r="CF65" s="26">
        <f>IF(AND(ISNUMBER(BG65),BI65&lt;&gt;"Completed"),BG65,"")</f>
        <v/>
      </c>
      <c r="CG65" s="26">
        <f>IF(AND(ISNUMBER(O65),P65&lt;&gt;"Completed"),O65,"")</f>
        <v/>
      </c>
      <c r="CH65" s="26">
        <f>IF(AND(ISNUMBER(BQ65),BR65&lt;&gt;"Completed"),BQ65,"")</f>
        <v/>
      </c>
      <c r="CI65" s="26">
        <f>IF(AND(ISNUMBER(BO65),BP65&lt;&gt;"Completed"),BO65,"")</f>
        <v/>
      </c>
      <c r="CJ65" s="26">
        <f>IF(AND(ISNUMBER(BM65),BN65&lt;&gt;"Completed"),BM65,"")</f>
        <v/>
      </c>
      <c r="CK65" s="26">
        <f>IF(OR(A65="",D65="Completed"),"",IF(N(G65)&gt;0,1/(N(G65)+ROW()/100000),IF(ISNUMBER(F65),1000+F65+ROW()/100000,TODAY()+400+ROW()/100000)))</f>
        <v/>
      </c>
    </row>
    <row r="66" ht="16" customHeight="1" s="39">
      <c r="A66" s="29" t="n"/>
      <c r="B66" s="29" t="n"/>
      <c r="C66" s="29" t="n"/>
      <c r="D66" s="30">
        <f>IF(A66="","",IF(((S66="Blocked")+(V66="Blocked")+(Y66="Blocked")+(AC66="Blocked")+(AI66="Blocked")+(AL66="Blocked")+(AO66="Blocked")+(AS66="Blocked")+(AY66="Blocked")+(BB66="Blocked")+(BE66="Blocked")+(BI66="Blocked")+(P66="Blocked")+(BN66="Blocked")+(BP66="Blocked")+(BR66="Blocked")+(BS66="Blocked"))&gt;0,"Blocked",IF((ISNUMBER(Q66)+ISNUMBER(T66)+ISNUMBER(W66)+ISNUMBER(AA66)+ISNUMBER(AG66)+ISNUMBER(AJ66)+ISNUMBER(AM66)+ISNUMBER(AQ66)+ISNUMBER(AW66)+ISNUMBER(AZ66)+ISNUMBER(BC66)+ISNUMBER(BG66)+ISNUMBER(O66)+ISNUMBER(BM66)+ISNUMBER(BO66)+ISNUMBER(BQ66))=0,"Yet to start",IF(AND(OR(NOT(ISNUMBER(Q66)),S66="Completed"),OR(NOT(ISNUMBER(T66)),V66="Completed"),OR(NOT(ISNUMBER(W66)),Y66="Completed"),OR(NOT(ISNUMBER(AA66)),AC66="Completed"),OR(NOT(ISNUMBER(AG66)),AI66="Completed"),OR(NOT(ISNUMBER(AJ66)),AL66="Completed"),OR(NOT(ISNUMBER(AM66)),AO66="Completed"),OR(NOT(ISNUMBER(AQ66)),AS66="Completed"),OR(NOT(ISNUMBER(AW66)),AY66="Completed"),OR(NOT(ISNUMBER(AZ66)),BB66="Completed"),OR(NOT(ISNUMBER(BC66)),BE66="Completed"),OR(NOT(ISNUMBER(BG66)),BI66="Completed"),OR(NOT(ISNUMBER(O66)),P66="Completed"),OR(NOT(ISNUMBER(BM66)),BN66="Completed"),OR(NOT(ISNUMBER(BO66)),BP66="Completed"),OR(NOT(ISNUMBER(BQ66)),BR66="Completed"),BS66="Completed"),"Completed",IF(((S66="In Progress")+(V66="In Progress")+(Y66="In Progress")+(AC66="In Progress")+(AI66="In Progress")+(AL66="In Progress")+(AO66="In Progress")+(AS66="In Progress")+(AY66="In Progress")+(BB66="In Progress")+(BE66="In Progress")+(BI66="In Progress")+(P66="In Progress")+(BN66="In Progress")+(BP66="In Progress")+(BR66="In Progress")+(BS66="In Progress"))&gt;0,"In Progress","Yet to start")))))</f>
        <v/>
      </c>
      <c r="E66" s="30">
        <f>IF(A66="","",IF(F66="","All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Review","CAB"},MATCH(F66,BU66:CJ66,0))))</f>
        <v/>
      </c>
      <c r="F66" s="31">
        <f>IF(A66="","",IF(COUNT(BU66:CJ66)=0,"",MIN(BU66:CJ66)))</f>
        <v/>
      </c>
      <c r="G66" s="30">
        <f>IF(A66="","",MAX(0,IF(AND(ISNUMBER(Q66),S66&lt;&gt;"Completed",Q66&lt;TODAY()),TODAY()-Q66,0),IF(AND(ISNUMBER(T66),V66&lt;&gt;"Completed",T66&lt;TODAY()),TODAY()-T66,0),IF(AND(ISNUMBER(W66),Y66&lt;&gt;"Completed",W66&lt;TODAY()),TODAY()-W66,0),IF(AND(ISNUMBER(AA66),AC66&lt;&gt;"Completed",AA66&lt;TODAY()),TODAY()-AA66,0),IF(AND(ISNUMBER(AG66),AI66&lt;&gt;"Completed",AG66&lt;TODAY()),TODAY()-AG66,0),IF(AND(ISNUMBER(AJ66),AL66&lt;&gt;"Completed",AJ66&lt;TODAY()),TODAY()-AJ66,0),IF(AND(ISNUMBER(AM66),AO66&lt;&gt;"Completed",AM66&lt;TODAY()),TODAY()-AM66,0),IF(AND(ISNUMBER(AQ66),AS66&lt;&gt;"Completed",AQ66&lt;TODAY()),TODAY()-AQ66,0),IF(AND(ISNUMBER(AW66),AY66&lt;&gt;"Completed",AW66&lt;TODAY()),TODAY()-AW66,0),IF(AND(ISNUMBER(AZ66),BB66&lt;&gt;"Completed",AZ66&lt;TODAY()),TODAY()-AZ66,0),IF(AND(ISNUMBER(BC66),BE66&lt;&gt;"Completed",BC66&lt;TODAY()),TODAY()-BC66,0),IF(AND(ISNUMBER(BG66),BI66&lt;&gt;"Completed",BG66&lt;TODAY()),TODAY()-BG66,0),IF(AND(ISNUMBER(O66),P66&lt;&gt;"Completed",O66&lt;TODAY()),TODAY()-O66,0),IF(AND(ISNUMBER(BQ66),BR66&lt;&gt;"Completed",BQ66&lt;TODAY()),TODAY()-BQ66,0),IF(AND(ISNUMBER(BO66),BP66&lt;&gt;"Completed",BO66&lt;TODAY()),TODAY()-BO66,0),IF(AND(ISNUMBER(BM66),BN66&lt;&gt;"Completed",BM66&lt;TODAY()),TODAY()-BM66,0)))</f>
        <v/>
      </c>
      <c r="H66" s="32" t="n"/>
      <c r="I66" s="32" t="n"/>
      <c r="J66" s="32" t="n"/>
      <c r="K66" s="31">
        <f>IF(ISNUMBER(H66),H66,IF(ISNUMBER(M66),M66-WEEKDAY(M66,2)+1-7,""))</f>
        <v/>
      </c>
      <c r="L66" s="31">
        <f>IF(ISNUMBER(I66),I66,IF(ISNUMBER(H66),WORKDAY(H66,SprintWorkingDays-1),IF(ISNUMBER(K66),WORKDAY(K66,SprintWorkingDays-1),"")))</f>
        <v/>
      </c>
      <c r="M66" s="31">
        <f>IF(ISNUMBER(J66),J66,IF(ISNUMBER(I66),I66-IF(OR(WEEKDAY(I66,2)=2,WEEKDAY(I66,2)=4),0,IF(WEEKDAY(I66,2)=66,1,IF(WEEKDAY(I66,2)=1,4,WEEKDAY(I66,2)-4))),IF(ISNUMBER(H66),WORKDAY(H66,SprintWorkingDays-1)-IF(OR(WEEKDAY(WORKDAY(H66,SprintWorkingDays-1),2)=2,WEEKDAY(WORKDAY(H66,SprintWorkingDays-1),2)=4),0,IF(WEEKDAY(WORKDAY(H66,SprintWorkingDays-1),2)=66,1,IF(WEEKDAY(WORKDAY(H66,SprintWorkingDays-1),2)=1,4,WEEKDAY(WORKDAY(H66,SprintWorkingDays-1),2)-4))),"")))</f>
        <v/>
      </c>
      <c r="N66" s="31">
        <f>IF(NOT(ISNUMBER(K66)),"",WORKDAY(K66,ReadyOffsetWD))</f>
        <v/>
      </c>
      <c r="O66" s="31">
        <f>IF(NOT(ISNUMBER(K66)),"",WORKDAY(K66,SprintReadinessOffsetWD))</f>
        <v/>
      </c>
      <c r="P66" s="29" t="n"/>
      <c r="Q66" s="31">
        <f>IF(NOT(ISNUMBER(T66)),"",WORKDAY(T66,RTSKOffsetFromOUR_WD))</f>
        <v/>
      </c>
      <c r="R66" s="32" t="n"/>
      <c r="S66" s="29" t="n"/>
      <c r="T66" s="31">
        <f>IF(NOT(ISNUMBER(W66)),"",WORKDAY(W66,OUROffsetFromSR_WD))</f>
        <v/>
      </c>
      <c r="U66" s="32" t="n"/>
      <c r="V66" s="29" t="n"/>
      <c r="W66" s="31">
        <f>IF(NOT(ISNUMBER(K66)),"",WORKDAY(K66,SROffsetFromStartWD))</f>
        <v/>
      </c>
      <c r="X66" s="32" t="n"/>
      <c r="Y66" s="29" t="n"/>
      <c r="Z66" s="29" t="n"/>
      <c r="AA66" s="31">
        <f>IF(ISNUMBER(Q66),Q66,"")</f>
        <v/>
      </c>
      <c r="AB66" s="32" t="n"/>
      <c r="AC66" s="29" t="n"/>
      <c r="AD66" s="29" t="n"/>
      <c r="AE66" s="29" t="n"/>
      <c r="AF66" s="29" t="n"/>
      <c r="AG66" s="31">
        <f>IF(NOT(ISNUMBER(Q66)),"",Q66)</f>
        <v/>
      </c>
      <c r="AH66" s="32" t="n"/>
      <c r="AI66" s="29" t="n"/>
      <c r="AJ66" s="31">
        <f>IF(NOT(ISNUMBER(T66)),"",T66)</f>
        <v/>
      </c>
      <c r="AK66" s="32" t="n"/>
      <c r="AL66" s="29" t="n"/>
      <c r="AM66" s="31">
        <f>IF(NOT(ISNUMBER(W66)),"",W66)</f>
        <v/>
      </c>
      <c r="AN66" s="32" t="n"/>
      <c r="AO66" s="29" t="n"/>
      <c r="AP66" s="29" t="n"/>
      <c r="AQ66" s="31">
        <f>IF(ISNUMBER(AG66),AG66,"")</f>
        <v/>
      </c>
      <c r="AR66" s="32" t="n"/>
      <c r="AS66" s="29" t="n"/>
      <c r="AT66" s="29" t="n"/>
      <c r="AU66" s="29" t="n"/>
      <c r="AV66" s="29" t="n"/>
      <c r="AW66" s="31">
        <f>IF(NOT(ISNUMBER(Q66)),"",Q66)</f>
        <v/>
      </c>
      <c r="AX66" s="32" t="n"/>
      <c r="AY66" s="29" t="n"/>
      <c r="AZ66" s="31">
        <f>IF(NOT(ISNUMBER(T66)),"",T66)</f>
        <v/>
      </c>
      <c r="BA66" s="32" t="n"/>
      <c r="BB66" s="29" t="n"/>
      <c r="BC66" s="31">
        <f>IF(NOT(ISNUMBER(W66)),"",W66)</f>
        <v/>
      </c>
      <c r="BD66" s="32" t="n"/>
      <c r="BE66" s="29" t="n"/>
      <c r="BF66" s="29" t="n"/>
      <c r="BG66" s="31">
        <f>IF(ISNUMBER(AW66),AW66,"")</f>
        <v/>
      </c>
      <c r="BH66" s="32" t="n"/>
      <c r="BI66" s="29" t="n"/>
      <c r="BJ66" s="29" t="n"/>
      <c r="BK66" s="29" t="n"/>
      <c r="BL66" s="29" t="n"/>
      <c r="BM66" s="31">
        <f>IF(OR(NOT(ISNUMBER(M66)),AND(WEEKDAY(M66,2)&lt;&gt;2,WEEKDAY(M66,2)&lt;&gt;4)),"",WORKDAY(M66,CABOffsetFromReleaseWD))</f>
        <v/>
      </c>
      <c r="BN66" s="29" t="n"/>
      <c r="BO66" s="31">
        <f>IF(NOT(ISNUMBER(BM66)),"",IF(WEEKDAY(BM66-CodeReviewCalendarDays,2)&gt;5,BM66-CodeReviewCalendarDays-(WEEKDAY(BM66-CodeReviewCalendarDays,2)-5),BM66-CodeReviewCalendarDays))</f>
        <v/>
      </c>
      <c r="BP66" s="29" t="n"/>
      <c r="BQ66" s="31">
        <f>IF(NOT(ISNUMBER(BO66)),"",IF(WEEKDAY(BO66-CodeReviewInviteCalendarDays,2)&gt;5,BO66-CodeReviewInviteCalendarDays-(WEEKDAY(BO66-CodeReviewInviteCalendarDays,2)-5),BO66-CodeReviewInviteCalendarDays))</f>
        <v/>
      </c>
      <c r="BR66" s="29" t="n"/>
      <c r="BS66" s="29" t="n"/>
      <c r="BT66" s="30">
        <f>IF(A66="","",IF(IF(AND(ISNUMBER(J66),WEEKDAY(J66,2)&lt;&gt;2,WEEKDAY(J66,2)&lt;&gt;4)," | Release must be Tuesday or Thursday","")&amp;IF(AND(ISNUMBER(H66),WEEKDAY(H66,2)&lt;&gt;1)," | Sprint Start is not a Monday - dates still calculated from the date entered","")&amp;IF(AND(A66&lt;&gt;"",NOT(ISNUMBER(H66)),NOT(ISNUMBER(J66)))," | Enter Sprint Start or Release Date","")&amp;IF(AND(ISNUMBER(F66),F66&lt;TODAY(),D66&lt;&gt;"Completed")," | One or more raise-by dates are in the past and not completed","")&amp;IF(AND(ISNUMBER(K66),K66-TODAY()&lt;SprintWarningDays,K66&gt;=TODAY(),OR(D66="Yet to start",D66="Blocked"))," | Sprint starts in under 10 days - raise access requests now","")&amp;IF(AND(ISNUMBER(BQ66),BR66&lt;&gt;"Completed",BQ66-TODAY()&lt;CodeReviewInviteCalendarDays)," | Code Review invite should be sent at least 4 days before Code Review","")="","",MID(IF(AND(ISNUMBER(J66),WEEKDAY(J66,2)&lt;&gt;2,WEEKDAY(J66,2)&lt;&gt;4)," | Release must be Tuesday or Thursday","")&amp;IF(AND(ISNUMBER(H66),WEEKDAY(H66,2)&lt;&gt;1)," | Sprint Start is not a Monday - dates still calculated from the date entered","")&amp;IF(AND(A66&lt;&gt;"",NOT(ISNUMBER(H66)),NOT(ISNUMBER(J66)))," | Enter Sprint Start or Release Date","")&amp;IF(AND(ISNUMBER(F66),F66&lt;TODAY(),D66&lt;&gt;"Completed")," | One or more raise-by dates are in the past and not completed","")&amp;IF(AND(ISNUMBER(K66),K66-TODAY()&lt;SprintWarningDays,K66&gt;=TODAY(),OR(D66="Yet to start",D66="Blocked"))," | Sprint starts in under 10 days - raise access requests now","")&amp;IF(AND(ISNUMBER(BQ66),BR66&lt;&gt;"Completed",BQ66-TODAY()&lt;CodeReviewInviteCalendarDays)," | Code Review invite should be sent at least 4 days before Code Review",""),4,500)))</f>
        <v/>
      </c>
      <c r="BU66" s="26">
        <f>IF(AND(ISNUMBER(Q66),S66&lt;&gt;"Completed"),Q66,"")</f>
        <v/>
      </c>
      <c r="BV66" s="26">
        <f>IF(AND(ISNUMBER(T66),V66&lt;&gt;"Completed"),T66,"")</f>
        <v/>
      </c>
      <c r="BW66" s="26">
        <f>IF(AND(ISNUMBER(W66),Y66&lt;&gt;"Completed"),W66,"")</f>
        <v/>
      </c>
      <c r="BX66" s="26">
        <f>IF(AND(ISNUMBER(AA66),AC66&lt;&gt;"Completed"),AA66,"")</f>
        <v/>
      </c>
      <c r="BY66" s="26">
        <f>IF(AND(ISNUMBER(AG66),AI66&lt;&gt;"Completed"),AG66,"")</f>
        <v/>
      </c>
      <c r="BZ66" s="26">
        <f>IF(AND(ISNUMBER(AJ66),AL66&lt;&gt;"Completed"),AJ66,"")</f>
        <v/>
      </c>
      <c r="CA66" s="26">
        <f>IF(AND(ISNUMBER(AM66),AO66&lt;&gt;"Completed"),AM66,"")</f>
        <v/>
      </c>
      <c r="CB66" s="26">
        <f>IF(AND(ISNUMBER(AQ66),AS66&lt;&gt;"Completed"),AQ66,"")</f>
        <v/>
      </c>
      <c r="CC66" s="26">
        <f>IF(AND(ISNUMBER(AW66),AY66&lt;&gt;"Completed"),AW66,"")</f>
        <v/>
      </c>
      <c r="CD66" s="26">
        <f>IF(AND(ISNUMBER(AZ66),BB66&lt;&gt;"Completed"),AZ66,"")</f>
        <v/>
      </c>
      <c r="CE66" s="26">
        <f>IF(AND(ISNUMBER(BC66),BE66&lt;&gt;"Completed"),BC66,"")</f>
        <v/>
      </c>
      <c r="CF66" s="26">
        <f>IF(AND(ISNUMBER(BG66),BI66&lt;&gt;"Completed"),BG66,"")</f>
        <v/>
      </c>
      <c r="CG66" s="26">
        <f>IF(AND(ISNUMBER(O66),P66&lt;&gt;"Completed"),O66,"")</f>
        <v/>
      </c>
      <c r="CH66" s="26">
        <f>IF(AND(ISNUMBER(BQ66),BR66&lt;&gt;"Completed"),BQ66,"")</f>
        <v/>
      </c>
      <c r="CI66" s="26">
        <f>IF(AND(ISNUMBER(BO66),BP66&lt;&gt;"Completed"),BO66,"")</f>
        <v/>
      </c>
      <c r="CJ66" s="26">
        <f>IF(AND(ISNUMBER(BM66),BN66&lt;&gt;"Completed"),BM66,"")</f>
        <v/>
      </c>
      <c r="CK66" s="26">
        <f>IF(OR(A66="",D66="Completed"),"",IF(N(G66)&gt;0,1/(N(G66)+ROW()/100000),IF(ISNUMBER(F66),1000+F66+ROW()/100000,TODAY()+400+ROW()/100000)))</f>
        <v/>
      </c>
    </row>
    <row r="67" ht="16" customHeight="1" s="39">
      <c r="A67" s="29" t="n"/>
      <c r="B67" s="29" t="n"/>
      <c r="C67" s="29" t="n"/>
      <c r="D67" s="30">
        <f>IF(A67="","",IF(((S67="Blocked")+(V67="Blocked")+(Y67="Blocked")+(AC67="Blocked")+(AI67="Blocked")+(AL67="Blocked")+(AO67="Blocked")+(AS67="Blocked")+(AY67="Blocked")+(BB67="Blocked")+(BE67="Blocked")+(BI67="Blocked")+(P67="Blocked")+(BN67="Blocked")+(BP67="Blocked")+(BR67="Blocked")+(BS67="Blocked"))&gt;0,"Blocked",IF((ISNUMBER(Q67)+ISNUMBER(T67)+ISNUMBER(W67)+ISNUMBER(AA67)+ISNUMBER(AG67)+ISNUMBER(AJ67)+ISNUMBER(AM67)+ISNUMBER(AQ67)+ISNUMBER(AW67)+ISNUMBER(AZ67)+ISNUMBER(BC67)+ISNUMBER(BG67)+ISNUMBER(O67)+ISNUMBER(BM67)+ISNUMBER(BO67)+ISNUMBER(BQ67))=0,"Yet to start",IF(AND(OR(NOT(ISNUMBER(Q67)),S67="Completed"),OR(NOT(ISNUMBER(T67)),V67="Completed"),OR(NOT(ISNUMBER(W67)),Y67="Completed"),OR(NOT(ISNUMBER(AA67)),AC67="Completed"),OR(NOT(ISNUMBER(AG67)),AI67="Completed"),OR(NOT(ISNUMBER(AJ67)),AL67="Completed"),OR(NOT(ISNUMBER(AM67)),AO67="Completed"),OR(NOT(ISNUMBER(AQ67)),AS67="Completed"),OR(NOT(ISNUMBER(AW67)),AY67="Completed"),OR(NOT(ISNUMBER(AZ67)),BB67="Completed"),OR(NOT(ISNUMBER(BC67)),BE67="Completed"),OR(NOT(ISNUMBER(BG67)),BI67="Completed"),OR(NOT(ISNUMBER(O67)),P67="Completed"),OR(NOT(ISNUMBER(BM67)),BN67="Completed"),OR(NOT(ISNUMBER(BO67)),BP67="Completed"),OR(NOT(ISNUMBER(BQ67)),BR67="Completed"),BS67="Completed"),"Completed",IF(((S67="In Progress")+(V67="In Progress")+(Y67="In Progress")+(AC67="In Progress")+(AI67="In Progress")+(AL67="In Progress")+(AO67="In Progress")+(AS67="In Progress")+(AY67="In Progress")+(BB67="In Progress")+(BE67="In Progress")+(BI67="In Progress")+(P67="In Progress")+(BN67="In Progress")+(BP67="In Progress")+(BR67="In Progress")+(BS67="In Progress"))&gt;0,"In Progress","Yet to start")))))</f>
        <v/>
      </c>
      <c r="E67" s="30">
        <f>IF(A67="","",IF(F67="","All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Review","CAB"},MATCH(F67,BU67:CJ67,0))))</f>
        <v/>
      </c>
      <c r="F67" s="31">
        <f>IF(A67="","",IF(COUNT(BU67:CJ67)=0,"",MIN(BU67:CJ67)))</f>
        <v/>
      </c>
      <c r="G67" s="30">
        <f>IF(A67="","",MAX(0,IF(AND(ISNUMBER(Q67),S67&lt;&gt;"Completed",Q67&lt;TODAY()),TODAY()-Q67,0),IF(AND(ISNUMBER(T67),V67&lt;&gt;"Completed",T67&lt;TODAY()),TODAY()-T67,0),IF(AND(ISNUMBER(W67),Y67&lt;&gt;"Completed",W67&lt;TODAY()),TODAY()-W67,0),IF(AND(ISNUMBER(AA67),AC67&lt;&gt;"Completed",AA67&lt;TODAY()),TODAY()-AA67,0),IF(AND(ISNUMBER(AG67),AI67&lt;&gt;"Completed",AG67&lt;TODAY()),TODAY()-AG67,0),IF(AND(ISNUMBER(AJ67),AL67&lt;&gt;"Completed",AJ67&lt;TODAY()),TODAY()-AJ67,0),IF(AND(ISNUMBER(AM67),AO67&lt;&gt;"Completed",AM67&lt;TODAY()),TODAY()-AM67,0),IF(AND(ISNUMBER(AQ67),AS67&lt;&gt;"Completed",AQ67&lt;TODAY()),TODAY()-AQ67,0),IF(AND(ISNUMBER(AW67),AY67&lt;&gt;"Completed",AW67&lt;TODAY()),TODAY()-AW67,0),IF(AND(ISNUMBER(AZ67),BB67&lt;&gt;"Completed",AZ67&lt;TODAY()),TODAY()-AZ67,0),IF(AND(ISNUMBER(BC67),BE67&lt;&gt;"Completed",BC67&lt;TODAY()),TODAY()-BC67,0),IF(AND(ISNUMBER(BG67),BI67&lt;&gt;"Completed",BG67&lt;TODAY()),TODAY()-BG67,0),IF(AND(ISNUMBER(O67),P67&lt;&gt;"Completed",O67&lt;TODAY()),TODAY()-O67,0),IF(AND(ISNUMBER(BQ67),BR67&lt;&gt;"Completed",BQ67&lt;TODAY()),TODAY()-BQ67,0),IF(AND(ISNUMBER(BO67),BP67&lt;&gt;"Completed",BO67&lt;TODAY()),TODAY()-BO67,0),IF(AND(ISNUMBER(BM67),BN67&lt;&gt;"Completed",BM67&lt;TODAY()),TODAY()-BM67,0)))</f>
        <v/>
      </c>
      <c r="H67" s="32" t="n"/>
      <c r="I67" s="32" t="n"/>
      <c r="J67" s="32" t="n"/>
      <c r="K67" s="31">
        <f>IF(ISNUMBER(H67),H67,IF(ISNUMBER(M67),M67-WEEKDAY(M67,2)+1-7,""))</f>
        <v/>
      </c>
      <c r="L67" s="31">
        <f>IF(ISNUMBER(I67),I67,IF(ISNUMBER(H67),WORKDAY(H67,SprintWorkingDays-1),IF(ISNUMBER(K67),WORKDAY(K67,SprintWorkingDays-1),"")))</f>
        <v/>
      </c>
      <c r="M67" s="31">
        <f>IF(ISNUMBER(J67),J67,IF(ISNUMBER(I67),I67-IF(OR(WEEKDAY(I67,2)=2,WEEKDAY(I67,2)=4),0,IF(WEEKDAY(I67,2)=67,1,IF(WEEKDAY(I67,2)=1,4,WEEKDAY(I67,2)-4))),IF(ISNUMBER(H67),WORKDAY(H67,SprintWorkingDays-1)-IF(OR(WEEKDAY(WORKDAY(H67,SprintWorkingDays-1),2)=2,WEEKDAY(WORKDAY(H67,SprintWorkingDays-1),2)=4),0,IF(WEEKDAY(WORKDAY(H67,SprintWorkingDays-1),2)=67,1,IF(WEEKDAY(WORKDAY(H67,SprintWorkingDays-1),2)=1,4,WEEKDAY(WORKDAY(H67,SprintWorkingDays-1),2)-4))),"")))</f>
        <v/>
      </c>
      <c r="N67" s="31">
        <f>IF(NOT(ISNUMBER(K67)),"",WORKDAY(K67,ReadyOffsetWD))</f>
        <v/>
      </c>
      <c r="O67" s="31">
        <f>IF(NOT(ISNUMBER(K67)),"",WORKDAY(K67,SprintReadinessOffsetWD))</f>
        <v/>
      </c>
      <c r="P67" s="29" t="n"/>
      <c r="Q67" s="31">
        <f>IF(NOT(ISNUMBER(T67)),"",WORKDAY(T67,RTSKOffsetFromOUR_WD))</f>
        <v/>
      </c>
      <c r="R67" s="32" t="n"/>
      <c r="S67" s="29" t="n"/>
      <c r="T67" s="31">
        <f>IF(NOT(ISNUMBER(W67)),"",WORKDAY(W67,OUROffsetFromSR_WD))</f>
        <v/>
      </c>
      <c r="U67" s="32" t="n"/>
      <c r="V67" s="29" t="n"/>
      <c r="W67" s="31">
        <f>IF(NOT(ISNUMBER(K67)),"",WORKDAY(K67,SROffsetFromStartWD))</f>
        <v/>
      </c>
      <c r="X67" s="32" t="n"/>
      <c r="Y67" s="29" t="n"/>
      <c r="Z67" s="29" t="n"/>
      <c r="AA67" s="31">
        <f>IF(ISNUMBER(Q67),Q67,"")</f>
        <v/>
      </c>
      <c r="AB67" s="32" t="n"/>
      <c r="AC67" s="29" t="n"/>
      <c r="AD67" s="29" t="n"/>
      <c r="AE67" s="29" t="n"/>
      <c r="AF67" s="29" t="n"/>
      <c r="AG67" s="31">
        <f>IF(NOT(ISNUMBER(Q67)),"",Q67)</f>
        <v/>
      </c>
      <c r="AH67" s="32" t="n"/>
      <c r="AI67" s="29" t="n"/>
      <c r="AJ67" s="31">
        <f>IF(NOT(ISNUMBER(T67)),"",T67)</f>
        <v/>
      </c>
      <c r="AK67" s="32" t="n"/>
      <c r="AL67" s="29" t="n"/>
      <c r="AM67" s="31">
        <f>IF(NOT(ISNUMBER(W67)),"",W67)</f>
        <v/>
      </c>
      <c r="AN67" s="32" t="n"/>
      <c r="AO67" s="29" t="n"/>
      <c r="AP67" s="29" t="n"/>
      <c r="AQ67" s="31">
        <f>IF(ISNUMBER(AG67),AG67,"")</f>
        <v/>
      </c>
      <c r="AR67" s="32" t="n"/>
      <c r="AS67" s="29" t="n"/>
      <c r="AT67" s="29" t="n"/>
      <c r="AU67" s="29" t="n"/>
      <c r="AV67" s="29" t="n"/>
      <c r="AW67" s="31">
        <f>IF(NOT(ISNUMBER(Q67)),"",Q67)</f>
        <v/>
      </c>
      <c r="AX67" s="32" t="n"/>
      <c r="AY67" s="29" t="n"/>
      <c r="AZ67" s="31">
        <f>IF(NOT(ISNUMBER(T67)),"",T67)</f>
        <v/>
      </c>
      <c r="BA67" s="32" t="n"/>
      <c r="BB67" s="29" t="n"/>
      <c r="BC67" s="31">
        <f>IF(NOT(ISNUMBER(W67)),"",W67)</f>
        <v/>
      </c>
      <c r="BD67" s="32" t="n"/>
      <c r="BE67" s="29" t="n"/>
      <c r="BF67" s="29" t="n"/>
      <c r="BG67" s="31">
        <f>IF(ISNUMBER(AW67),AW67,"")</f>
        <v/>
      </c>
      <c r="BH67" s="32" t="n"/>
      <c r="BI67" s="29" t="n"/>
      <c r="BJ67" s="29" t="n"/>
      <c r="BK67" s="29" t="n"/>
      <c r="BL67" s="29" t="n"/>
      <c r="BM67" s="31">
        <f>IF(OR(NOT(ISNUMBER(M67)),AND(WEEKDAY(M67,2)&lt;&gt;2,WEEKDAY(M67,2)&lt;&gt;4)),"",WORKDAY(M67,CABOffsetFromReleaseWD))</f>
        <v/>
      </c>
      <c r="BN67" s="29" t="n"/>
      <c r="BO67" s="31">
        <f>IF(NOT(ISNUMBER(BM67)),"",IF(WEEKDAY(BM67-CodeReviewCalendarDays,2)&gt;5,BM67-CodeReviewCalendarDays-(WEEKDAY(BM67-CodeReviewCalendarDays,2)-5),BM67-CodeReviewCalendarDays))</f>
        <v/>
      </c>
      <c r="BP67" s="29" t="n"/>
      <c r="BQ67" s="31">
        <f>IF(NOT(ISNUMBER(BO67)),"",IF(WEEKDAY(BO67-CodeReviewInviteCalendarDays,2)&gt;5,BO67-CodeReviewInviteCalendarDays-(WEEKDAY(BO67-CodeReviewInviteCalendarDays,2)-5),BO67-CodeReviewInviteCalendarDays))</f>
        <v/>
      </c>
      <c r="BR67" s="29" t="n"/>
      <c r="BS67" s="29" t="n"/>
      <c r="BT67" s="30">
        <f>IF(A67="","",IF(IF(AND(ISNUMBER(J67),WEEKDAY(J67,2)&lt;&gt;2,WEEKDAY(J67,2)&lt;&gt;4)," | Release must be Tuesday or Thursday","")&amp;IF(AND(ISNUMBER(H67),WEEKDAY(H67,2)&lt;&gt;1)," | Sprint Start is not a Monday - dates still calculated from the date entered","")&amp;IF(AND(A67&lt;&gt;"",NOT(ISNUMBER(H67)),NOT(ISNUMBER(J67)))," | Enter Sprint Start or Release Date","")&amp;IF(AND(ISNUMBER(F67),F67&lt;TODAY(),D67&lt;&gt;"Completed")," | One or more raise-by dates are in the past and not completed","")&amp;IF(AND(ISNUMBER(K67),K67-TODAY()&lt;SprintWarningDays,K67&gt;=TODAY(),OR(D67="Yet to start",D67="Blocked"))," | Sprint starts in under 10 days - raise access requests now","")&amp;IF(AND(ISNUMBER(BQ67),BR67&lt;&gt;"Completed",BQ67-TODAY()&lt;CodeReviewInviteCalendarDays)," | Code Review invite should be sent at least 4 days before Code Review","")="","",MID(IF(AND(ISNUMBER(J67),WEEKDAY(J67,2)&lt;&gt;2,WEEKDAY(J67,2)&lt;&gt;4)," | Release must be Tuesday or Thursday","")&amp;IF(AND(ISNUMBER(H67),WEEKDAY(H67,2)&lt;&gt;1)," | Sprint Start is not a Monday - dates still calculated from the date entered","")&amp;IF(AND(A67&lt;&gt;"",NOT(ISNUMBER(H67)),NOT(ISNUMBER(J67)))," | Enter Sprint Start or Release Date","")&amp;IF(AND(ISNUMBER(F67),F67&lt;TODAY(),D67&lt;&gt;"Completed")," | One or more raise-by dates are in the past and not completed","")&amp;IF(AND(ISNUMBER(K67),K67-TODAY()&lt;SprintWarningDays,K67&gt;=TODAY(),OR(D67="Yet to start",D67="Blocked"))," | Sprint starts in under 10 days - raise access requests now","")&amp;IF(AND(ISNUMBER(BQ67),BR67&lt;&gt;"Completed",BQ67-TODAY()&lt;CodeReviewInviteCalendarDays)," | Code Review invite should be sent at least 4 days before Code Review",""),4,500)))</f>
        <v/>
      </c>
      <c r="BU67" s="26">
        <f>IF(AND(ISNUMBER(Q67),S67&lt;&gt;"Completed"),Q67,"")</f>
        <v/>
      </c>
      <c r="BV67" s="26">
        <f>IF(AND(ISNUMBER(T67),V67&lt;&gt;"Completed"),T67,"")</f>
        <v/>
      </c>
      <c r="BW67" s="26">
        <f>IF(AND(ISNUMBER(W67),Y67&lt;&gt;"Completed"),W67,"")</f>
        <v/>
      </c>
      <c r="BX67" s="26">
        <f>IF(AND(ISNUMBER(AA67),AC67&lt;&gt;"Completed"),AA67,"")</f>
        <v/>
      </c>
      <c r="BY67" s="26">
        <f>IF(AND(ISNUMBER(AG67),AI67&lt;&gt;"Completed"),AG67,"")</f>
        <v/>
      </c>
      <c r="BZ67" s="26">
        <f>IF(AND(ISNUMBER(AJ67),AL67&lt;&gt;"Completed"),AJ67,"")</f>
        <v/>
      </c>
      <c r="CA67" s="26">
        <f>IF(AND(ISNUMBER(AM67),AO67&lt;&gt;"Completed"),AM67,"")</f>
        <v/>
      </c>
      <c r="CB67" s="26">
        <f>IF(AND(ISNUMBER(AQ67),AS67&lt;&gt;"Completed"),AQ67,"")</f>
        <v/>
      </c>
      <c r="CC67" s="26">
        <f>IF(AND(ISNUMBER(AW67),AY67&lt;&gt;"Completed"),AW67,"")</f>
        <v/>
      </c>
      <c r="CD67" s="26">
        <f>IF(AND(ISNUMBER(AZ67),BB67&lt;&gt;"Completed"),AZ67,"")</f>
        <v/>
      </c>
      <c r="CE67" s="26">
        <f>IF(AND(ISNUMBER(BC67),BE67&lt;&gt;"Completed"),BC67,"")</f>
        <v/>
      </c>
      <c r="CF67" s="26">
        <f>IF(AND(ISNUMBER(BG67),BI67&lt;&gt;"Completed"),BG67,"")</f>
        <v/>
      </c>
      <c r="CG67" s="26">
        <f>IF(AND(ISNUMBER(O67),P67&lt;&gt;"Completed"),O67,"")</f>
        <v/>
      </c>
      <c r="CH67" s="26">
        <f>IF(AND(ISNUMBER(BQ67),BR67&lt;&gt;"Completed"),BQ67,"")</f>
        <v/>
      </c>
      <c r="CI67" s="26">
        <f>IF(AND(ISNUMBER(BO67),BP67&lt;&gt;"Completed"),BO67,"")</f>
        <v/>
      </c>
      <c r="CJ67" s="26">
        <f>IF(AND(ISNUMBER(BM67),BN67&lt;&gt;"Completed"),BM67,"")</f>
        <v/>
      </c>
      <c r="CK67" s="26">
        <f>IF(OR(A67="",D67="Completed"),"",IF(N(G67)&gt;0,1/(N(G67)+ROW()/100000),IF(ISNUMBER(F67),1000+F67+ROW()/100000,TODAY()+400+ROW()/100000)))</f>
        <v/>
      </c>
    </row>
    <row r="68" ht="16" customHeight="1" s="39">
      <c r="A68" s="29" t="n"/>
      <c r="B68" s="29" t="n"/>
      <c r="C68" s="29" t="n"/>
      <c r="D68" s="30">
        <f>IF(A68="","",IF(((S68="Blocked")+(V68="Blocked")+(Y68="Blocked")+(AC68="Blocked")+(AI68="Blocked")+(AL68="Blocked")+(AO68="Blocked")+(AS68="Blocked")+(AY68="Blocked")+(BB68="Blocked")+(BE68="Blocked")+(BI68="Blocked")+(P68="Blocked")+(BN68="Blocked")+(BP68="Blocked")+(BR68="Blocked")+(BS68="Blocked"))&gt;0,"Blocked",IF((ISNUMBER(Q68)+ISNUMBER(T68)+ISNUMBER(W68)+ISNUMBER(AA68)+ISNUMBER(AG68)+ISNUMBER(AJ68)+ISNUMBER(AM68)+ISNUMBER(AQ68)+ISNUMBER(AW68)+ISNUMBER(AZ68)+ISNUMBER(BC68)+ISNUMBER(BG68)+ISNUMBER(O68)+ISNUMBER(BM68)+ISNUMBER(BO68)+ISNUMBER(BQ68))=0,"Yet to start",IF(AND(OR(NOT(ISNUMBER(Q68)),S68="Completed"),OR(NOT(ISNUMBER(T68)),V68="Completed"),OR(NOT(ISNUMBER(W68)),Y68="Completed"),OR(NOT(ISNUMBER(AA68)),AC68="Completed"),OR(NOT(ISNUMBER(AG68)),AI68="Completed"),OR(NOT(ISNUMBER(AJ68)),AL68="Completed"),OR(NOT(ISNUMBER(AM68)),AO68="Completed"),OR(NOT(ISNUMBER(AQ68)),AS68="Completed"),OR(NOT(ISNUMBER(AW68)),AY68="Completed"),OR(NOT(ISNUMBER(AZ68)),BB68="Completed"),OR(NOT(ISNUMBER(BC68)),BE68="Completed"),OR(NOT(ISNUMBER(BG68)),BI68="Completed"),OR(NOT(ISNUMBER(O68)),P68="Completed"),OR(NOT(ISNUMBER(BM68)),BN68="Completed"),OR(NOT(ISNUMBER(BO68)),BP68="Completed"),OR(NOT(ISNUMBER(BQ68)),BR68="Completed"),BS68="Completed"),"Completed",IF(((S68="In Progress")+(V68="In Progress")+(Y68="In Progress")+(AC68="In Progress")+(AI68="In Progress")+(AL68="In Progress")+(AO68="In Progress")+(AS68="In Progress")+(AY68="In Progress")+(BB68="In Progress")+(BE68="In Progress")+(BI68="In Progress")+(P68="In Progress")+(BN68="In Progress")+(BP68="In Progress")+(BR68="In Progress")+(BS68="In Progress"))&gt;0,"In Progress","Yet to start")))))</f>
        <v/>
      </c>
      <c r="E68" s="30">
        <f>IF(A68="","",IF(F68="","All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Review","CAB"},MATCH(F68,BU68:CJ68,0))))</f>
        <v/>
      </c>
      <c r="F68" s="31">
        <f>IF(A68="","",IF(COUNT(BU68:CJ68)=0,"",MIN(BU68:CJ68)))</f>
        <v/>
      </c>
      <c r="G68" s="30">
        <f>IF(A68="","",MAX(0,IF(AND(ISNUMBER(Q68),S68&lt;&gt;"Completed",Q68&lt;TODAY()),TODAY()-Q68,0),IF(AND(ISNUMBER(T68),V68&lt;&gt;"Completed",T68&lt;TODAY()),TODAY()-T68,0),IF(AND(ISNUMBER(W68),Y68&lt;&gt;"Completed",W68&lt;TODAY()),TODAY()-W68,0),IF(AND(ISNUMBER(AA68),AC68&lt;&gt;"Completed",AA68&lt;TODAY()),TODAY()-AA68,0),IF(AND(ISNUMBER(AG68),AI68&lt;&gt;"Completed",AG68&lt;TODAY()),TODAY()-AG68,0),IF(AND(ISNUMBER(AJ68),AL68&lt;&gt;"Completed",AJ68&lt;TODAY()),TODAY()-AJ68,0),IF(AND(ISNUMBER(AM68),AO68&lt;&gt;"Completed",AM68&lt;TODAY()),TODAY()-AM68,0),IF(AND(ISNUMBER(AQ68),AS68&lt;&gt;"Completed",AQ68&lt;TODAY()),TODAY()-AQ68,0),IF(AND(ISNUMBER(AW68),AY68&lt;&gt;"Completed",AW68&lt;TODAY()),TODAY()-AW68,0),IF(AND(ISNUMBER(AZ68),BB68&lt;&gt;"Completed",AZ68&lt;TODAY()),TODAY()-AZ68,0),IF(AND(ISNUMBER(BC68),BE68&lt;&gt;"Completed",BC68&lt;TODAY()),TODAY()-BC68,0),IF(AND(ISNUMBER(BG68),BI68&lt;&gt;"Completed",BG68&lt;TODAY()),TODAY()-BG68,0),IF(AND(ISNUMBER(O68),P68&lt;&gt;"Completed",O68&lt;TODAY()),TODAY()-O68,0),IF(AND(ISNUMBER(BQ68),BR68&lt;&gt;"Completed",BQ68&lt;TODAY()),TODAY()-BQ68,0),IF(AND(ISNUMBER(BO68),BP68&lt;&gt;"Completed",BO68&lt;TODAY()),TODAY()-BO68,0),IF(AND(ISNUMBER(BM68),BN68&lt;&gt;"Completed",BM68&lt;TODAY()),TODAY()-BM68,0)))</f>
        <v/>
      </c>
      <c r="H68" s="32" t="n"/>
      <c r="I68" s="32" t="n"/>
      <c r="J68" s="32" t="n"/>
      <c r="K68" s="31">
        <f>IF(ISNUMBER(H68),H68,IF(ISNUMBER(M68),M68-WEEKDAY(M68,2)+1-7,""))</f>
        <v/>
      </c>
      <c r="L68" s="31">
        <f>IF(ISNUMBER(I68),I68,IF(ISNUMBER(H68),WORKDAY(H68,SprintWorkingDays-1),IF(ISNUMBER(K68),WORKDAY(K68,SprintWorkingDays-1),"")))</f>
        <v/>
      </c>
      <c r="M68" s="31">
        <f>IF(ISNUMBER(J68),J68,IF(ISNUMBER(I68),I68-IF(OR(WEEKDAY(I68,2)=2,WEEKDAY(I68,2)=4),0,IF(WEEKDAY(I68,2)=68,1,IF(WEEKDAY(I68,2)=1,4,WEEKDAY(I68,2)-4))),IF(ISNUMBER(H68),WORKDAY(H68,SprintWorkingDays-1)-IF(OR(WEEKDAY(WORKDAY(H68,SprintWorkingDays-1),2)=2,WEEKDAY(WORKDAY(H68,SprintWorkingDays-1),2)=4),0,IF(WEEKDAY(WORKDAY(H68,SprintWorkingDays-1),2)=68,1,IF(WEEKDAY(WORKDAY(H68,SprintWorkingDays-1),2)=1,4,WEEKDAY(WORKDAY(H68,SprintWorkingDays-1),2)-4))),"")))</f>
        <v/>
      </c>
      <c r="N68" s="31">
        <f>IF(NOT(ISNUMBER(K68)),"",WORKDAY(K68,ReadyOffsetWD))</f>
        <v/>
      </c>
      <c r="O68" s="31">
        <f>IF(NOT(ISNUMBER(K68)),"",WORKDAY(K68,SprintReadinessOffsetWD))</f>
        <v/>
      </c>
      <c r="P68" s="29" t="n"/>
      <c r="Q68" s="31">
        <f>IF(NOT(ISNUMBER(T68)),"",WORKDAY(T68,RTSKOffsetFromOUR_WD))</f>
        <v/>
      </c>
      <c r="R68" s="32" t="n"/>
      <c r="S68" s="29" t="n"/>
      <c r="T68" s="31">
        <f>IF(NOT(ISNUMBER(W68)),"",WORKDAY(W68,OUROffsetFromSR_WD))</f>
        <v/>
      </c>
      <c r="U68" s="32" t="n"/>
      <c r="V68" s="29" t="n"/>
      <c r="W68" s="31">
        <f>IF(NOT(ISNUMBER(K68)),"",WORKDAY(K68,SROffsetFromStartWD))</f>
        <v/>
      </c>
      <c r="X68" s="32" t="n"/>
      <c r="Y68" s="29" t="n"/>
      <c r="Z68" s="29" t="n"/>
      <c r="AA68" s="31">
        <f>IF(ISNUMBER(Q68),Q68,"")</f>
        <v/>
      </c>
      <c r="AB68" s="32" t="n"/>
      <c r="AC68" s="29" t="n"/>
      <c r="AD68" s="29" t="n"/>
      <c r="AE68" s="29" t="n"/>
      <c r="AF68" s="29" t="n"/>
      <c r="AG68" s="31">
        <f>IF(NOT(ISNUMBER(Q68)),"",Q68)</f>
        <v/>
      </c>
      <c r="AH68" s="32" t="n"/>
      <c r="AI68" s="29" t="n"/>
      <c r="AJ68" s="31">
        <f>IF(NOT(ISNUMBER(T68)),"",T68)</f>
        <v/>
      </c>
      <c r="AK68" s="32" t="n"/>
      <c r="AL68" s="29" t="n"/>
      <c r="AM68" s="31">
        <f>IF(NOT(ISNUMBER(W68)),"",W68)</f>
        <v/>
      </c>
      <c r="AN68" s="32" t="n"/>
      <c r="AO68" s="29" t="n"/>
      <c r="AP68" s="29" t="n"/>
      <c r="AQ68" s="31">
        <f>IF(ISNUMBER(AG68),AG68,"")</f>
        <v/>
      </c>
      <c r="AR68" s="32" t="n"/>
      <c r="AS68" s="29" t="n"/>
      <c r="AT68" s="29" t="n"/>
      <c r="AU68" s="29" t="n"/>
      <c r="AV68" s="29" t="n"/>
      <c r="AW68" s="31">
        <f>IF(NOT(ISNUMBER(Q68)),"",Q68)</f>
        <v/>
      </c>
      <c r="AX68" s="32" t="n"/>
      <c r="AY68" s="29" t="n"/>
      <c r="AZ68" s="31">
        <f>IF(NOT(ISNUMBER(T68)),"",T68)</f>
        <v/>
      </c>
      <c r="BA68" s="32" t="n"/>
      <c r="BB68" s="29" t="n"/>
      <c r="BC68" s="31">
        <f>IF(NOT(ISNUMBER(W68)),"",W68)</f>
        <v/>
      </c>
      <c r="BD68" s="32" t="n"/>
      <c r="BE68" s="29" t="n"/>
      <c r="BF68" s="29" t="n"/>
      <c r="BG68" s="31">
        <f>IF(ISNUMBER(AW68),AW68,"")</f>
        <v/>
      </c>
      <c r="BH68" s="32" t="n"/>
      <c r="BI68" s="29" t="n"/>
      <c r="BJ68" s="29" t="n"/>
      <c r="BK68" s="29" t="n"/>
      <c r="BL68" s="29" t="n"/>
      <c r="BM68" s="31">
        <f>IF(OR(NOT(ISNUMBER(M68)),AND(WEEKDAY(M68,2)&lt;&gt;2,WEEKDAY(M68,2)&lt;&gt;4)),"",WORKDAY(M68,CABOffsetFromReleaseWD))</f>
        <v/>
      </c>
      <c r="BN68" s="29" t="n"/>
      <c r="BO68" s="31">
        <f>IF(NOT(ISNUMBER(BM68)),"",IF(WEEKDAY(BM68-CodeReviewCalendarDays,2)&gt;5,BM68-CodeReviewCalendarDays-(WEEKDAY(BM68-CodeReviewCalendarDays,2)-5),BM68-CodeReviewCalendarDays))</f>
        <v/>
      </c>
      <c r="BP68" s="29" t="n"/>
      <c r="BQ68" s="31">
        <f>IF(NOT(ISNUMBER(BO68)),"",IF(WEEKDAY(BO68-CodeReviewInviteCalendarDays,2)&gt;5,BO68-CodeReviewInviteCalendarDays-(WEEKDAY(BO68-CodeReviewInviteCalendarDays,2)-5),BO68-CodeReviewInviteCalendarDays))</f>
        <v/>
      </c>
      <c r="BR68" s="29" t="n"/>
      <c r="BS68" s="29" t="n"/>
      <c r="BT68" s="30">
        <f>IF(A68="","",IF(IF(AND(ISNUMBER(J68),WEEKDAY(J68,2)&lt;&gt;2,WEEKDAY(J68,2)&lt;&gt;4)," | Release must be Tuesday or Thursday","")&amp;IF(AND(ISNUMBER(H68),WEEKDAY(H68,2)&lt;&gt;1)," | Sprint Start is not a Monday - dates still calculated from the date entered","")&amp;IF(AND(A68&lt;&gt;"",NOT(ISNUMBER(H68)),NOT(ISNUMBER(J68)))," | Enter Sprint Start or Release Date","")&amp;IF(AND(ISNUMBER(F68),F68&lt;TODAY(),D68&lt;&gt;"Completed")," | One or more raise-by dates are in the past and not completed","")&amp;IF(AND(ISNUMBER(K68),K68-TODAY()&lt;SprintWarningDays,K68&gt;=TODAY(),OR(D68="Yet to start",D68="Blocked"))," | Sprint starts in under 10 days - raise access requests now","")&amp;IF(AND(ISNUMBER(BQ68),BR68&lt;&gt;"Completed",BQ68-TODAY()&lt;CodeReviewInviteCalendarDays)," | Code Review invite should be sent at least 4 days before Code Review","")="","",MID(IF(AND(ISNUMBER(J68),WEEKDAY(J68,2)&lt;&gt;2,WEEKDAY(J68,2)&lt;&gt;4)," | Release must be Tuesday or Thursday","")&amp;IF(AND(ISNUMBER(H68),WEEKDAY(H68,2)&lt;&gt;1)," | Sprint Start is not a Monday - dates still calculated from the date entered","")&amp;IF(AND(A68&lt;&gt;"",NOT(ISNUMBER(H68)),NOT(ISNUMBER(J68)))," | Enter Sprint Start or Release Date","")&amp;IF(AND(ISNUMBER(F68),F68&lt;TODAY(),D68&lt;&gt;"Completed")," | One or more raise-by dates are in the past and not completed","")&amp;IF(AND(ISNUMBER(K68),K68-TODAY()&lt;SprintWarningDays,K68&gt;=TODAY(),OR(D68="Yet to start",D68="Blocked"))," | Sprint starts in under 10 days - raise access requests now","")&amp;IF(AND(ISNUMBER(BQ68),BR68&lt;&gt;"Completed",BQ68-TODAY()&lt;CodeReviewInviteCalendarDays)," | Code Review invite should be sent at least 4 days before Code Review",""),4,500)))</f>
        <v/>
      </c>
      <c r="BU68" s="26">
        <f>IF(AND(ISNUMBER(Q68),S68&lt;&gt;"Completed"),Q68,"")</f>
        <v/>
      </c>
      <c r="BV68" s="26">
        <f>IF(AND(ISNUMBER(T68),V68&lt;&gt;"Completed"),T68,"")</f>
        <v/>
      </c>
      <c r="BW68" s="26">
        <f>IF(AND(ISNUMBER(W68),Y68&lt;&gt;"Completed"),W68,"")</f>
        <v/>
      </c>
      <c r="BX68" s="26">
        <f>IF(AND(ISNUMBER(AA68),AC68&lt;&gt;"Completed"),AA68,"")</f>
        <v/>
      </c>
      <c r="BY68" s="26">
        <f>IF(AND(ISNUMBER(AG68),AI68&lt;&gt;"Completed"),AG68,"")</f>
        <v/>
      </c>
      <c r="BZ68" s="26">
        <f>IF(AND(ISNUMBER(AJ68),AL68&lt;&gt;"Completed"),AJ68,"")</f>
        <v/>
      </c>
      <c r="CA68" s="26">
        <f>IF(AND(ISNUMBER(AM68),AO68&lt;&gt;"Completed"),AM68,"")</f>
        <v/>
      </c>
      <c r="CB68" s="26">
        <f>IF(AND(ISNUMBER(AQ68),AS68&lt;&gt;"Completed"),AQ68,"")</f>
        <v/>
      </c>
      <c r="CC68" s="26">
        <f>IF(AND(ISNUMBER(AW68),AY68&lt;&gt;"Completed"),AW68,"")</f>
        <v/>
      </c>
      <c r="CD68" s="26">
        <f>IF(AND(ISNUMBER(AZ68),BB68&lt;&gt;"Completed"),AZ68,"")</f>
        <v/>
      </c>
      <c r="CE68" s="26">
        <f>IF(AND(ISNUMBER(BC68),BE68&lt;&gt;"Completed"),BC68,"")</f>
        <v/>
      </c>
      <c r="CF68" s="26">
        <f>IF(AND(ISNUMBER(BG68),BI68&lt;&gt;"Completed"),BG68,"")</f>
        <v/>
      </c>
      <c r="CG68" s="26">
        <f>IF(AND(ISNUMBER(O68),P68&lt;&gt;"Completed"),O68,"")</f>
        <v/>
      </c>
      <c r="CH68" s="26">
        <f>IF(AND(ISNUMBER(BQ68),BR68&lt;&gt;"Completed"),BQ68,"")</f>
        <v/>
      </c>
      <c r="CI68" s="26">
        <f>IF(AND(ISNUMBER(BO68),BP68&lt;&gt;"Completed"),BO68,"")</f>
        <v/>
      </c>
      <c r="CJ68" s="26">
        <f>IF(AND(ISNUMBER(BM68),BN68&lt;&gt;"Completed"),BM68,"")</f>
        <v/>
      </c>
      <c r="CK68" s="26">
        <f>IF(OR(A68="",D68="Completed"),"",IF(N(G68)&gt;0,1/(N(G68)+ROW()/100000),IF(ISNUMBER(F68),1000+F68+ROW()/100000,TODAY()+400+ROW()/100000)))</f>
        <v/>
      </c>
    </row>
    <row r="69" ht="16" customHeight="1" s="39">
      <c r="A69" s="29" t="n"/>
      <c r="B69" s="29" t="n"/>
      <c r="C69" s="29" t="n"/>
      <c r="D69" s="30">
        <f>IF(A69="","",IF(((S69="Blocked")+(V69="Blocked")+(Y69="Blocked")+(AC69="Blocked")+(AI69="Blocked")+(AL69="Blocked")+(AO69="Blocked")+(AS69="Blocked")+(AY69="Blocked")+(BB69="Blocked")+(BE69="Blocked")+(BI69="Blocked")+(P69="Blocked")+(BN69="Blocked")+(BP69="Blocked")+(BR69="Blocked")+(BS69="Blocked"))&gt;0,"Blocked",IF((ISNUMBER(Q69)+ISNUMBER(T69)+ISNUMBER(W69)+ISNUMBER(AA69)+ISNUMBER(AG69)+ISNUMBER(AJ69)+ISNUMBER(AM69)+ISNUMBER(AQ69)+ISNUMBER(AW69)+ISNUMBER(AZ69)+ISNUMBER(BC69)+ISNUMBER(BG69)+ISNUMBER(O69)+ISNUMBER(BM69)+ISNUMBER(BO69)+ISNUMBER(BQ69))=0,"Yet to start",IF(AND(OR(NOT(ISNUMBER(Q69)),S69="Completed"),OR(NOT(ISNUMBER(T69)),V69="Completed"),OR(NOT(ISNUMBER(W69)),Y69="Completed"),OR(NOT(ISNUMBER(AA69)),AC69="Completed"),OR(NOT(ISNUMBER(AG69)),AI69="Completed"),OR(NOT(ISNUMBER(AJ69)),AL69="Completed"),OR(NOT(ISNUMBER(AM69)),AO69="Completed"),OR(NOT(ISNUMBER(AQ69)),AS69="Completed"),OR(NOT(ISNUMBER(AW69)),AY69="Completed"),OR(NOT(ISNUMBER(AZ69)),BB69="Completed"),OR(NOT(ISNUMBER(BC69)),BE69="Completed"),OR(NOT(ISNUMBER(BG69)),BI69="Completed"),OR(NOT(ISNUMBER(O69)),P69="Completed"),OR(NOT(ISNUMBER(BM69)),BN69="Completed"),OR(NOT(ISNUMBER(BO69)),BP69="Completed"),OR(NOT(ISNUMBER(BQ69)),BR69="Completed"),BS69="Completed"),"Completed",IF(((S69="In Progress")+(V69="In Progress")+(Y69="In Progress")+(AC69="In Progress")+(AI69="In Progress")+(AL69="In Progress")+(AO69="In Progress")+(AS69="In Progress")+(AY69="In Progress")+(BB69="In Progress")+(BE69="In Progress")+(BI69="In Progress")+(P69="In Progress")+(BN69="In Progress")+(BP69="In Progress")+(BR69="In Progress")+(BS69="In Progress"))&gt;0,"In Progress","Yet to start")))))</f>
        <v/>
      </c>
      <c r="E69" s="30">
        <f>IF(A69="","",IF(F69="","All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Review","CAB"},MATCH(F69,BU69:CJ69,0))))</f>
        <v/>
      </c>
      <c r="F69" s="31">
        <f>IF(A69="","",IF(COUNT(BU69:CJ69)=0,"",MIN(BU69:CJ69)))</f>
        <v/>
      </c>
      <c r="G69" s="30">
        <f>IF(A69="","",MAX(0,IF(AND(ISNUMBER(Q69),S69&lt;&gt;"Completed",Q69&lt;TODAY()),TODAY()-Q69,0),IF(AND(ISNUMBER(T69),V69&lt;&gt;"Completed",T69&lt;TODAY()),TODAY()-T69,0),IF(AND(ISNUMBER(W69),Y69&lt;&gt;"Completed",W69&lt;TODAY()),TODAY()-W69,0),IF(AND(ISNUMBER(AA69),AC69&lt;&gt;"Completed",AA69&lt;TODAY()),TODAY()-AA69,0),IF(AND(ISNUMBER(AG69),AI69&lt;&gt;"Completed",AG69&lt;TODAY()),TODAY()-AG69,0),IF(AND(ISNUMBER(AJ69),AL69&lt;&gt;"Completed",AJ69&lt;TODAY()),TODAY()-AJ69,0),IF(AND(ISNUMBER(AM69),AO69&lt;&gt;"Completed",AM69&lt;TODAY()),TODAY()-AM69,0),IF(AND(ISNUMBER(AQ69),AS69&lt;&gt;"Completed",AQ69&lt;TODAY()),TODAY()-AQ69,0),IF(AND(ISNUMBER(AW69),AY69&lt;&gt;"Completed",AW69&lt;TODAY()),TODAY()-AW69,0),IF(AND(ISNUMBER(AZ69),BB69&lt;&gt;"Completed",AZ69&lt;TODAY()),TODAY()-AZ69,0),IF(AND(ISNUMBER(BC69),BE69&lt;&gt;"Completed",BC69&lt;TODAY()),TODAY()-BC69,0),IF(AND(ISNUMBER(BG69),BI69&lt;&gt;"Completed",BG69&lt;TODAY()),TODAY()-BG69,0),IF(AND(ISNUMBER(O69),P69&lt;&gt;"Completed",O69&lt;TODAY()),TODAY()-O69,0),IF(AND(ISNUMBER(BQ69),BR69&lt;&gt;"Completed",BQ69&lt;TODAY()),TODAY()-BQ69,0),IF(AND(ISNUMBER(BO69),BP69&lt;&gt;"Completed",BO69&lt;TODAY()),TODAY()-BO69,0),IF(AND(ISNUMBER(BM69),BN69&lt;&gt;"Completed",BM69&lt;TODAY()),TODAY()-BM69,0)))</f>
        <v/>
      </c>
      <c r="H69" s="32" t="n"/>
      <c r="I69" s="32" t="n"/>
      <c r="J69" s="32" t="n"/>
      <c r="K69" s="31">
        <f>IF(ISNUMBER(H69),H69,IF(ISNUMBER(M69),M69-WEEKDAY(M69,2)+1-7,""))</f>
        <v/>
      </c>
      <c r="L69" s="31">
        <f>IF(ISNUMBER(I69),I69,IF(ISNUMBER(H69),WORKDAY(H69,SprintWorkingDays-1),IF(ISNUMBER(K69),WORKDAY(K69,SprintWorkingDays-1),"")))</f>
        <v/>
      </c>
      <c r="M69" s="31">
        <f>IF(ISNUMBER(J69),J69,IF(ISNUMBER(I69),I69-IF(OR(WEEKDAY(I69,2)=2,WEEKDAY(I69,2)=4),0,IF(WEEKDAY(I69,2)=69,1,IF(WEEKDAY(I69,2)=1,4,WEEKDAY(I69,2)-4))),IF(ISNUMBER(H69),WORKDAY(H69,SprintWorkingDays-1)-IF(OR(WEEKDAY(WORKDAY(H69,SprintWorkingDays-1),2)=2,WEEKDAY(WORKDAY(H69,SprintWorkingDays-1),2)=4),0,IF(WEEKDAY(WORKDAY(H69,SprintWorkingDays-1),2)=69,1,IF(WEEKDAY(WORKDAY(H69,SprintWorkingDays-1),2)=1,4,WEEKDAY(WORKDAY(H69,SprintWorkingDays-1),2)-4))),"")))</f>
        <v/>
      </c>
      <c r="N69" s="31">
        <f>IF(NOT(ISNUMBER(K69)),"",WORKDAY(K69,ReadyOffsetWD))</f>
        <v/>
      </c>
      <c r="O69" s="31">
        <f>IF(NOT(ISNUMBER(K69)),"",WORKDAY(K69,SprintReadinessOffsetWD))</f>
        <v/>
      </c>
      <c r="P69" s="29" t="n"/>
      <c r="Q69" s="31">
        <f>IF(NOT(ISNUMBER(T69)),"",WORKDAY(T69,RTSKOffsetFromOUR_WD))</f>
        <v/>
      </c>
      <c r="R69" s="32" t="n"/>
      <c r="S69" s="29" t="n"/>
      <c r="T69" s="31">
        <f>IF(NOT(ISNUMBER(W69)),"",WORKDAY(W69,OUROffsetFromSR_WD))</f>
        <v/>
      </c>
      <c r="U69" s="32" t="n"/>
      <c r="V69" s="29" t="n"/>
      <c r="W69" s="31">
        <f>IF(NOT(ISNUMBER(K69)),"",WORKDAY(K69,SROffsetFromStartWD))</f>
        <v/>
      </c>
      <c r="X69" s="32" t="n"/>
      <c r="Y69" s="29" t="n"/>
      <c r="Z69" s="29" t="n"/>
      <c r="AA69" s="31">
        <f>IF(ISNUMBER(Q69),Q69,"")</f>
        <v/>
      </c>
      <c r="AB69" s="32" t="n"/>
      <c r="AC69" s="29" t="n"/>
      <c r="AD69" s="29" t="n"/>
      <c r="AE69" s="29" t="n"/>
      <c r="AF69" s="29" t="n"/>
      <c r="AG69" s="31">
        <f>IF(NOT(ISNUMBER(Q69)),"",Q69)</f>
        <v/>
      </c>
      <c r="AH69" s="32" t="n"/>
      <c r="AI69" s="29" t="n"/>
      <c r="AJ69" s="31">
        <f>IF(NOT(ISNUMBER(T69)),"",T69)</f>
        <v/>
      </c>
      <c r="AK69" s="32" t="n"/>
      <c r="AL69" s="29" t="n"/>
      <c r="AM69" s="31">
        <f>IF(NOT(ISNUMBER(W69)),"",W69)</f>
        <v/>
      </c>
      <c r="AN69" s="32" t="n"/>
      <c r="AO69" s="29" t="n"/>
      <c r="AP69" s="29" t="n"/>
      <c r="AQ69" s="31">
        <f>IF(ISNUMBER(AG69),AG69,"")</f>
        <v/>
      </c>
      <c r="AR69" s="32" t="n"/>
      <c r="AS69" s="29" t="n"/>
      <c r="AT69" s="29" t="n"/>
      <c r="AU69" s="29" t="n"/>
      <c r="AV69" s="29" t="n"/>
      <c r="AW69" s="31">
        <f>IF(NOT(ISNUMBER(Q69)),"",Q69)</f>
        <v/>
      </c>
      <c r="AX69" s="32" t="n"/>
      <c r="AY69" s="29" t="n"/>
      <c r="AZ69" s="31">
        <f>IF(NOT(ISNUMBER(T69)),"",T69)</f>
        <v/>
      </c>
      <c r="BA69" s="32" t="n"/>
      <c r="BB69" s="29" t="n"/>
      <c r="BC69" s="31">
        <f>IF(NOT(ISNUMBER(W69)),"",W69)</f>
        <v/>
      </c>
      <c r="BD69" s="32" t="n"/>
      <c r="BE69" s="29" t="n"/>
      <c r="BF69" s="29" t="n"/>
      <c r="BG69" s="31">
        <f>IF(ISNUMBER(AW69),AW69,"")</f>
        <v/>
      </c>
      <c r="BH69" s="32" t="n"/>
      <c r="BI69" s="29" t="n"/>
      <c r="BJ69" s="29" t="n"/>
      <c r="BK69" s="29" t="n"/>
      <c r="BL69" s="29" t="n"/>
      <c r="BM69" s="31">
        <f>IF(OR(NOT(ISNUMBER(M69)),AND(WEEKDAY(M69,2)&lt;&gt;2,WEEKDAY(M69,2)&lt;&gt;4)),"",WORKDAY(M69,CABOffsetFromReleaseWD))</f>
        <v/>
      </c>
      <c r="BN69" s="29" t="n"/>
      <c r="BO69" s="31">
        <f>IF(NOT(ISNUMBER(BM69)),"",IF(WEEKDAY(BM69-CodeReviewCalendarDays,2)&gt;5,BM69-CodeReviewCalendarDays-(WEEKDAY(BM69-CodeReviewCalendarDays,2)-5),BM69-CodeReviewCalendarDays))</f>
        <v/>
      </c>
      <c r="BP69" s="29" t="n"/>
      <c r="BQ69" s="31">
        <f>IF(NOT(ISNUMBER(BO69)),"",IF(WEEKDAY(BO69-CodeReviewInviteCalendarDays,2)&gt;5,BO69-CodeReviewInviteCalendarDays-(WEEKDAY(BO69-CodeReviewInviteCalendarDays,2)-5),BO69-CodeReviewInviteCalendarDays))</f>
        <v/>
      </c>
      <c r="BR69" s="29" t="n"/>
      <c r="BS69" s="29" t="n"/>
      <c r="BT69" s="30">
        <f>IF(A69="","",IF(IF(AND(ISNUMBER(J69),WEEKDAY(J69,2)&lt;&gt;2,WEEKDAY(J69,2)&lt;&gt;4)," | Release must be Tuesday or Thursday","")&amp;IF(AND(ISNUMBER(H69),WEEKDAY(H69,2)&lt;&gt;1)," | Sprint Start is not a Monday - dates still calculated from the date entered","")&amp;IF(AND(A69&lt;&gt;"",NOT(ISNUMBER(H69)),NOT(ISNUMBER(J69)))," | Enter Sprint Start or Release Date","")&amp;IF(AND(ISNUMBER(F69),F69&lt;TODAY(),D69&lt;&gt;"Completed")," | One or more raise-by dates are in the past and not completed","")&amp;IF(AND(ISNUMBER(K69),K69-TODAY()&lt;SprintWarningDays,K69&gt;=TODAY(),OR(D69="Yet to start",D69="Blocked"))," | Sprint starts in under 10 days - raise access requests now","")&amp;IF(AND(ISNUMBER(BQ69),BR69&lt;&gt;"Completed",BQ69-TODAY()&lt;CodeReviewInviteCalendarDays)," | Code Review invite should be sent at least 4 days before Code Review","")="","",MID(IF(AND(ISNUMBER(J69),WEEKDAY(J69,2)&lt;&gt;2,WEEKDAY(J69,2)&lt;&gt;4)," | Release must be Tuesday or Thursday","")&amp;IF(AND(ISNUMBER(H69),WEEKDAY(H69,2)&lt;&gt;1)," | Sprint Start is not a Monday - dates still calculated from the date entered","")&amp;IF(AND(A69&lt;&gt;"",NOT(ISNUMBER(H69)),NOT(ISNUMBER(J69)))," | Enter Sprint Start or Release Date","")&amp;IF(AND(ISNUMBER(F69),F69&lt;TODAY(),D69&lt;&gt;"Completed")," | One or more raise-by dates are in the past and not completed","")&amp;IF(AND(ISNUMBER(K69),K69-TODAY()&lt;SprintWarningDays,K69&gt;=TODAY(),OR(D69="Yet to start",D69="Blocked"))," | Sprint starts in under 10 days - raise access requests now","")&amp;IF(AND(ISNUMBER(BQ69),BR69&lt;&gt;"Completed",BQ69-TODAY()&lt;CodeReviewInviteCalendarDays)," | Code Review invite should be sent at least 4 days before Code Review",""),4,500)))</f>
        <v/>
      </c>
      <c r="BU69" s="26">
        <f>IF(AND(ISNUMBER(Q69),S69&lt;&gt;"Completed"),Q69,"")</f>
        <v/>
      </c>
      <c r="BV69" s="26">
        <f>IF(AND(ISNUMBER(T69),V69&lt;&gt;"Completed"),T69,"")</f>
        <v/>
      </c>
      <c r="BW69" s="26">
        <f>IF(AND(ISNUMBER(W69),Y69&lt;&gt;"Completed"),W69,"")</f>
        <v/>
      </c>
      <c r="BX69" s="26">
        <f>IF(AND(ISNUMBER(AA69),AC69&lt;&gt;"Completed"),AA69,"")</f>
        <v/>
      </c>
      <c r="BY69" s="26">
        <f>IF(AND(ISNUMBER(AG69),AI69&lt;&gt;"Completed"),AG69,"")</f>
        <v/>
      </c>
      <c r="BZ69" s="26">
        <f>IF(AND(ISNUMBER(AJ69),AL69&lt;&gt;"Completed"),AJ69,"")</f>
        <v/>
      </c>
      <c r="CA69" s="26">
        <f>IF(AND(ISNUMBER(AM69),AO69&lt;&gt;"Completed"),AM69,"")</f>
        <v/>
      </c>
      <c r="CB69" s="26">
        <f>IF(AND(ISNUMBER(AQ69),AS69&lt;&gt;"Completed"),AQ69,"")</f>
        <v/>
      </c>
      <c r="CC69" s="26">
        <f>IF(AND(ISNUMBER(AW69),AY69&lt;&gt;"Completed"),AW69,"")</f>
        <v/>
      </c>
      <c r="CD69" s="26">
        <f>IF(AND(ISNUMBER(AZ69),BB69&lt;&gt;"Completed"),AZ69,"")</f>
        <v/>
      </c>
      <c r="CE69" s="26">
        <f>IF(AND(ISNUMBER(BC69),BE69&lt;&gt;"Completed"),BC69,"")</f>
        <v/>
      </c>
      <c r="CF69" s="26">
        <f>IF(AND(ISNUMBER(BG69),BI69&lt;&gt;"Completed"),BG69,"")</f>
        <v/>
      </c>
      <c r="CG69" s="26">
        <f>IF(AND(ISNUMBER(O69),P69&lt;&gt;"Completed"),O69,"")</f>
        <v/>
      </c>
      <c r="CH69" s="26">
        <f>IF(AND(ISNUMBER(BQ69),BR69&lt;&gt;"Completed"),BQ69,"")</f>
        <v/>
      </c>
      <c r="CI69" s="26">
        <f>IF(AND(ISNUMBER(BO69),BP69&lt;&gt;"Completed"),BO69,"")</f>
        <v/>
      </c>
      <c r="CJ69" s="26">
        <f>IF(AND(ISNUMBER(BM69),BN69&lt;&gt;"Completed"),BM69,"")</f>
        <v/>
      </c>
      <c r="CK69" s="26">
        <f>IF(OR(A69="",D69="Completed"),"",IF(N(G69)&gt;0,1/(N(G69)+ROW()/100000),IF(ISNUMBER(F69),1000+F69+ROW()/100000,TODAY()+400+ROW()/100000)))</f>
        <v/>
      </c>
    </row>
    <row r="70" ht="16" customHeight="1" s="39">
      <c r="A70" s="29" t="n"/>
      <c r="B70" s="29" t="n"/>
      <c r="C70" s="29" t="n"/>
      <c r="D70" s="30">
        <f>IF(A70="","",IF(((S70="Blocked")+(V70="Blocked")+(Y70="Blocked")+(AC70="Blocked")+(AI70="Blocked")+(AL70="Blocked")+(AO70="Blocked")+(AS70="Blocked")+(AY70="Blocked")+(BB70="Blocked")+(BE70="Blocked")+(BI70="Blocked")+(P70="Blocked")+(BN70="Blocked")+(BP70="Blocked")+(BR70="Blocked")+(BS70="Blocked"))&gt;0,"Blocked",IF((ISNUMBER(Q70)+ISNUMBER(T70)+ISNUMBER(W70)+ISNUMBER(AA70)+ISNUMBER(AG70)+ISNUMBER(AJ70)+ISNUMBER(AM70)+ISNUMBER(AQ70)+ISNUMBER(AW70)+ISNUMBER(AZ70)+ISNUMBER(BC70)+ISNUMBER(BG70)+ISNUMBER(O70)+ISNUMBER(BM70)+ISNUMBER(BO70)+ISNUMBER(BQ70))=0,"Yet to start",IF(AND(OR(NOT(ISNUMBER(Q70)),S70="Completed"),OR(NOT(ISNUMBER(T70)),V70="Completed"),OR(NOT(ISNUMBER(W70)),Y70="Completed"),OR(NOT(ISNUMBER(AA70)),AC70="Completed"),OR(NOT(ISNUMBER(AG70)),AI70="Completed"),OR(NOT(ISNUMBER(AJ70)),AL70="Completed"),OR(NOT(ISNUMBER(AM70)),AO70="Completed"),OR(NOT(ISNUMBER(AQ70)),AS70="Completed"),OR(NOT(ISNUMBER(AW70)),AY70="Completed"),OR(NOT(ISNUMBER(AZ70)),BB70="Completed"),OR(NOT(ISNUMBER(BC70)),BE70="Completed"),OR(NOT(ISNUMBER(BG70)),BI70="Completed"),OR(NOT(ISNUMBER(O70)),P70="Completed"),OR(NOT(ISNUMBER(BM70)),BN70="Completed"),OR(NOT(ISNUMBER(BO70)),BP70="Completed"),OR(NOT(ISNUMBER(BQ70)),BR70="Completed"),BS70="Completed"),"Completed",IF(((S70="In Progress")+(V70="In Progress")+(Y70="In Progress")+(AC70="In Progress")+(AI70="In Progress")+(AL70="In Progress")+(AO70="In Progress")+(AS70="In Progress")+(AY70="In Progress")+(BB70="In Progress")+(BE70="In Progress")+(BI70="In Progress")+(P70="In Progress")+(BN70="In Progress")+(BP70="In Progress")+(BR70="In Progress")+(BS70="In Progress"))&gt;0,"In Progress","Yet to start")))))</f>
        <v/>
      </c>
      <c r="E70" s="30">
        <f>IF(A70="","",IF(F70="","All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Review","CAB"},MATCH(F70,BU70:CJ70,0))))</f>
        <v/>
      </c>
      <c r="F70" s="31">
        <f>IF(A70="","",IF(COUNT(BU70:CJ70)=0,"",MIN(BU70:CJ70)))</f>
        <v/>
      </c>
      <c r="G70" s="30">
        <f>IF(A70="","",MAX(0,IF(AND(ISNUMBER(Q70),S70&lt;&gt;"Completed",Q70&lt;TODAY()),TODAY()-Q70,0),IF(AND(ISNUMBER(T70),V70&lt;&gt;"Completed",T70&lt;TODAY()),TODAY()-T70,0),IF(AND(ISNUMBER(W70),Y70&lt;&gt;"Completed",W70&lt;TODAY()),TODAY()-W70,0),IF(AND(ISNUMBER(AA70),AC70&lt;&gt;"Completed",AA70&lt;TODAY()),TODAY()-AA70,0),IF(AND(ISNUMBER(AG70),AI70&lt;&gt;"Completed",AG70&lt;TODAY()),TODAY()-AG70,0),IF(AND(ISNUMBER(AJ70),AL70&lt;&gt;"Completed",AJ70&lt;TODAY()),TODAY()-AJ70,0),IF(AND(ISNUMBER(AM70),AO70&lt;&gt;"Completed",AM70&lt;TODAY()),TODAY()-AM70,0),IF(AND(ISNUMBER(AQ70),AS70&lt;&gt;"Completed",AQ70&lt;TODAY()),TODAY()-AQ70,0),IF(AND(ISNUMBER(AW70),AY70&lt;&gt;"Completed",AW70&lt;TODAY()),TODAY()-AW70,0),IF(AND(ISNUMBER(AZ70),BB70&lt;&gt;"Completed",AZ70&lt;TODAY()),TODAY()-AZ70,0),IF(AND(ISNUMBER(BC70),BE70&lt;&gt;"Completed",BC70&lt;TODAY()),TODAY()-BC70,0),IF(AND(ISNUMBER(BG70),BI70&lt;&gt;"Completed",BG70&lt;TODAY()),TODAY()-BG70,0),IF(AND(ISNUMBER(O70),P70&lt;&gt;"Completed",O70&lt;TODAY()),TODAY()-O70,0),IF(AND(ISNUMBER(BQ70),BR70&lt;&gt;"Completed",BQ70&lt;TODAY()),TODAY()-BQ70,0),IF(AND(ISNUMBER(BO70),BP70&lt;&gt;"Completed",BO70&lt;TODAY()),TODAY()-BO70,0),IF(AND(ISNUMBER(BM70),BN70&lt;&gt;"Completed",BM70&lt;TODAY()),TODAY()-BM70,0)))</f>
        <v/>
      </c>
      <c r="H70" s="32" t="n"/>
      <c r="I70" s="32" t="n"/>
      <c r="J70" s="32" t="n"/>
      <c r="K70" s="31">
        <f>IF(ISNUMBER(H70),H70,IF(ISNUMBER(M70),M70-WEEKDAY(M70,2)+1-7,""))</f>
        <v/>
      </c>
      <c r="L70" s="31">
        <f>IF(ISNUMBER(I70),I70,IF(ISNUMBER(H70),WORKDAY(H70,SprintWorkingDays-1),IF(ISNUMBER(K70),WORKDAY(K70,SprintWorkingDays-1),"")))</f>
        <v/>
      </c>
      <c r="M70" s="31">
        <f>IF(ISNUMBER(J70),J70,IF(ISNUMBER(I70),I70-IF(OR(WEEKDAY(I70,2)=2,WEEKDAY(I70,2)=4),0,IF(WEEKDAY(I70,2)=70,1,IF(WEEKDAY(I70,2)=1,4,WEEKDAY(I70,2)-4))),IF(ISNUMBER(H70),WORKDAY(H70,SprintWorkingDays-1)-IF(OR(WEEKDAY(WORKDAY(H70,SprintWorkingDays-1),2)=2,WEEKDAY(WORKDAY(H70,SprintWorkingDays-1),2)=4),0,IF(WEEKDAY(WORKDAY(H70,SprintWorkingDays-1),2)=70,1,IF(WEEKDAY(WORKDAY(H70,SprintWorkingDays-1),2)=1,4,WEEKDAY(WORKDAY(H70,SprintWorkingDays-1),2)-4))),"")))</f>
        <v/>
      </c>
      <c r="N70" s="31">
        <f>IF(NOT(ISNUMBER(K70)),"",WORKDAY(K70,ReadyOffsetWD))</f>
        <v/>
      </c>
      <c r="O70" s="31">
        <f>IF(NOT(ISNUMBER(K70)),"",WORKDAY(K70,SprintReadinessOffsetWD))</f>
        <v/>
      </c>
      <c r="P70" s="29" t="n"/>
      <c r="Q70" s="31">
        <f>IF(NOT(ISNUMBER(T70)),"",WORKDAY(T70,RTSKOffsetFromOUR_WD))</f>
        <v/>
      </c>
      <c r="R70" s="32" t="n"/>
      <c r="S70" s="29" t="n"/>
      <c r="T70" s="31">
        <f>IF(NOT(ISNUMBER(W70)),"",WORKDAY(W70,OUROffsetFromSR_WD))</f>
        <v/>
      </c>
      <c r="U70" s="32" t="n"/>
      <c r="V70" s="29" t="n"/>
      <c r="W70" s="31">
        <f>IF(NOT(ISNUMBER(K70)),"",WORKDAY(K70,SROffsetFromStartWD))</f>
        <v/>
      </c>
      <c r="X70" s="32" t="n"/>
      <c r="Y70" s="29" t="n"/>
      <c r="Z70" s="29" t="n"/>
      <c r="AA70" s="31">
        <f>IF(ISNUMBER(Q70),Q70,"")</f>
        <v/>
      </c>
      <c r="AB70" s="32" t="n"/>
      <c r="AC70" s="29" t="n"/>
      <c r="AD70" s="29" t="n"/>
      <c r="AE70" s="29" t="n"/>
      <c r="AF70" s="29" t="n"/>
      <c r="AG70" s="31">
        <f>IF(NOT(ISNUMBER(Q70)),"",Q70)</f>
        <v/>
      </c>
      <c r="AH70" s="32" t="n"/>
      <c r="AI70" s="29" t="n"/>
      <c r="AJ70" s="31">
        <f>IF(NOT(ISNUMBER(T70)),"",T70)</f>
        <v/>
      </c>
      <c r="AK70" s="32" t="n"/>
      <c r="AL70" s="29" t="n"/>
      <c r="AM70" s="31">
        <f>IF(NOT(ISNUMBER(W70)),"",W70)</f>
        <v/>
      </c>
      <c r="AN70" s="32" t="n"/>
      <c r="AO70" s="29" t="n"/>
      <c r="AP70" s="29" t="n"/>
      <c r="AQ70" s="31">
        <f>IF(ISNUMBER(AG70),AG70,"")</f>
        <v/>
      </c>
      <c r="AR70" s="32" t="n"/>
      <c r="AS70" s="29" t="n"/>
      <c r="AT70" s="29" t="n"/>
      <c r="AU70" s="29" t="n"/>
      <c r="AV70" s="29" t="n"/>
      <c r="AW70" s="31">
        <f>IF(NOT(ISNUMBER(Q70)),"",Q70)</f>
        <v/>
      </c>
      <c r="AX70" s="32" t="n"/>
      <c r="AY70" s="29" t="n"/>
      <c r="AZ70" s="31">
        <f>IF(NOT(ISNUMBER(T70)),"",T70)</f>
        <v/>
      </c>
      <c r="BA70" s="32" t="n"/>
      <c r="BB70" s="29" t="n"/>
      <c r="BC70" s="31">
        <f>IF(NOT(ISNUMBER(W70)),"",W70)</f>
        <v/>
      </c>
      <c r="BD70" s="32" t="n"/>
      <c r="BE70" s="29" t="n"/>
      <c r="BF70" s="29" t="n"/>
      <c r="BG70" s="31">
        <f>IF(ISNUMBER(AW70),AW70,"")</f>
        <v/>
      </c>
      <c r="BH70" s="32" t="n"/>
      <c r="BI70" s="29" t="n"/>
      <c r="BJ70" s="29" t="n"/>
      <c r="BK70" s="29" t="n"/>
      <c r="BL70" s="29" t="n"/>
      <c r="BM70" s="31">
        <f>IF(OR(NOT(ISNUMBER(M70)),AND(WEEKDAY(M70,2)&lt;&gt;2,WEEKDAY(M70,2)&lt;&gt;4)),"",WORKDAY(M70,CABOffsetFromReleaseWD))</f>
        <v/>
      </c>
      <c r="BN70" s="29" t="n"/>
      <c r="BO70" s="31">
        <f>IF(NOT(ISNUMBER(BM70)),"",IF(WEEKDAY(BM70-CodeReviewCalendarDays,2)&gt;5,BM70-CodeReviewCalendarDays-(WEEKDAY(BM70-CodeReviewCalendarDays,2)-5),BM70-CodeReviewCalendarDays))</f>
        <v/>
      </c>
      <c r="BP70" s="29" t="n"/>
      <c r="BQ70" s="31">
        <f>IF(NOT(ISNUMBER(BO70)),"",IF(WEEKDAY(BO70-CodeReviewInviteCalendarDays,2)&gt;5,BO70-CodeReviewInviteCalendarDays-(WEEKDAY(BO70-CodeReviewInviteCalendarDays,2)-5),BO70-CodeReviewInviteCalendarDays))</f>
        <v/>
      </c>
      <c r="BR70" s="29" t="n"/>
      <c r="BS70" s="29" t="n"/>
      <c r="BT70" s="30">
        <f>IF(A70="","",IF(IF(AND(ISNUMBER(J70),WEEKDAY(J70,2)&lt;&gt;2,WEEKDAY(J70,2)&lt;&gt;4)," | Release must be Tuesday or Thursday","")&amp;IF(AND(ISNUMBER(H70),WEEKDAY(H70,2)&lt;&gt;1)," | Sprint Start is not a Monday - dates still calculated from the date entered","")&amp;IF(AND(A70&lt;&gt;"",NOT(ISNUMBER(H70)),NOT(ISNUMBER(J70)))," | Enter Sprint Start or Release Date","")&amp;IF(AND(ISNUMBER(F70),F70&lt;TODAY(),D70&lt;&gt;"Completed")," | One or more raise-by dates are in the past and not completed","")&amp;IF(AND(ISNUMBER(K70),K70-TODAY()&lt;SprintWarningDays,K70&gt;=TODAY(),OR(D70="Yet to start",D70="Blocked"))," | Sprint starts in under 10 days - raise access requests now","")&amp;IF(AND(ISNUMBER(BQ70),BR70&lt;&gt;"Completed",BQ70-TODAY()&lt;CodeReviewInviteCalendarDays)," | Code Review invite should be sent at least 4 days before Code Review","")="","",MID(IF(AND(ISNUMBER(J70),WEEKDAY(J70,2)&lt;&gt;2,WEEKDAY(J70,2)&lt;&gt;4)," | Release must be Tuesday or Thursday","")&amp;IF(AND(ISNUMBER(H70),WEEKDAY(H70,2)&lt;&gt;1)," | Sprint Start is not a Monday - dates still calculated from the date entered","")&amp;IF(AND(A70&lt;&gt;"",NOT(ISNUMBER(H70)),NOT(ISNUMBER(J70)))," | Enter Sprint Start or Release Date","")&amp;IF(AND(ISNUMBER(F70),F70&lt;TODAY(),D70&lt;&gt;"Completed")," | One or more raise-by dates are in the past and not completed","")&amp;IF(AND(ISNUMBER(K70),K70-TODAY()&lt;SprintWarningDays,K70&gt;=TODAY(),OR(D70="Yet to start",D70="Blocked"))," | Sprint starts in under 10 days - raise access requests now","")&amp;IF(AND(ISNUMBER(BQ70),BR70&lt;&gt;"Completed",BQ70-TODAY()&lt;CodeReviewInviteCalendarDays)," | Code Review invite should be sent at least 4 days before Code Review",""),4,500)))</f>
        <v/>
      </c>
      <c r="BU70" s="26">
        <f>IF(AND(ISNUMBER(Q70),S70&lt;&gt;"Completed"),Q70,"")</f>
        <v/>
      </c>
      <c r="BV70" s="26">
        <f>IF(AND(ISNUMBER(T70),V70&lt;&gt;"Completed"),T70,"")</f>
        <v/>
      </c>
      <c r="BW70" s="26">
        <f>IF(AND(ISNUMBER(W70),Y70&lt;&gt;"Completed"),W70,"")</f>
        <v/>
      </c>
      <c r="BX70" s="26">
        <f>IF(AND(ISNUMBER(AA70),AC70&lt;&gt;"Completed"),AA70,"")</f>
        <v/>
      </c>
      <c r="BY70" s="26">
        <f>IF(AND(ISNUMBER(AG70),AI70&lt;&gt;"Completed"),AG70,"")</f>
        <v/>
      </c>
      <c r="BZ70" s="26">
        <f>IF(AND(ISNUMBER(AJ70),AL70&lt;&gt;"Completed"),AJ70,"")</f>
        <v/>
      </c>
      <c r="CA70" s="26">
        <f>IF(AND(ISNUMBER(AM70),AO70&lt;&gt;"Completed"),AM70,"")</f>
        <v/>
      </c>
      <c r="CB70" s="26">
        <f>IF(AND(ISNUMBER(AQ70),AS70&lt;&gt;"Completed"),AQ70,"")</f>
        <v/>
      </c>
      <c r="CC70" s="26">
        <f>IF(AND(ISNUMBER(AW70),AY70&lt;&gt;"Completed"),AW70,"")</f>
        <v/>
      </c>
      <c r="CD70" s="26">
        <f>IF(AND(ISNUMBER(AZ70),BB70&lt;&gt;"Completed"),AZ70,"")</f>
        <v/>
      </c>
      <c r="CE70" s="26">
        <f>IF(AND(ISNUMBER(BC70),BE70&lt;&gt;"Completed"),BC70,"")</f>
        <v/>
      </c>
      <c r="CF70" s="26">
        <f>IF(AND(ISNUMBER(BG70),BI70&lt;&gt;"Completed"),BG70,"")</f>
        <v/>
      </c>
      <c r="CG70" s="26">
        <f>IF(AND(ISNUMBER(O70),P70&lt;&gt;"Completed"),O70,"")</f>
        <v/>
      </c>
      <c r="CH70" s="26">
        <f>IF(AND(ISNUMBER(BQ70),BR70&lt;&gt;"Completed"),BQ70,"")</f>
        <v/>
      </c>
      <c r="CI70" s="26">
        <f>IF(AND(ISNUMBER(BO70),BP70&lt;&gt;"Completed"),BO70,"")</f>
        <v/>
      </c>
      <c r="CJ70" s="26">
        <f>IF(AND(ISNUMBER(BM70),BN70&lt;&gt;"Completed"),BM70,"")</f>
        <v/>
      </c>
      <c r="CK70" s="26">
        <f>IF(OR(A70="",D70="Completed"),"",IF(N(G70)&gt;0,1/(N(G70)+ROW()/100000),IF(ISNUMBER(F70),1000+F70+ROW()/100000,TODAY()+400+ROW()/100000)))</f>
        <v/>
      </c>
    </row>
  </sheetData>
  <autoFilter ref="A2:BT51"/>
  <mergeCells count="11">
    <mergeCell ref="H1:J1"/>
    <mergeCell ref="Q1:Y1"/>
    <mergeCell ref="BM1:BS1"/>
    <mergeCell ref="AP1:AV1"/>
    <mergeCell ref="A1:G1"/>
    <mergeCell ref="AG1:AO1"/>
    <mergeCell ref="BF1:BL1"/>
    <mergeCell ref="AW1:BE1"/>
    <mergeCell ref="N1:P1"/>
    <mergeCell ref="Z1:AF1"/>
    <mergeCell ref="K1:M1"/>
  </mergeCells>
  <conditionalFormatting sqref="D3:D51">
    <cfRule type="expression" priority="2" dxfId="1">
      <formula>AND(D3&lt;&gt;"",D3="In Progress")</formula>
    </cfRule>
    <cfRule type="expression" priority="3" dxfId="0">
      <formula>AND(D3&lt;&gt;"",D3="Yet to start")</formula>
    </cfRule>
    <cfRule type="expression" priority="4" dxfId="3">
      <formula>AND(D3&lt;&gt;"",D3="Blocked")</formula>
    </cfRule>
    <cfRule type="expression" priority="1" dxfId="2">
      <formula>AND(D3&lt;&gt;"",D3="Completed")</formula>
    </cfRule>
  </conditionalFormatting>
  <conditionalFormatting sqref="G3:G51">
    <cfRule type="expression" priority="138" dxfId="4">
      <formula>AND(ISNUMBER(G3),G3&gt;=1)</formula>
    </cfRule>
  </conditionalFormatting>
  <conditionalFormatting sqref="J3:J51">
    <cfRule type="expression" priority="137" dxfId="3">
      <formula>AND(ISNUMBER(J3),WEEKDAY(J3,2)&lt;&gt;2,WEEKDAY(J3,2)&lt;&gt;4)</formula>
    </cfRule>
  </conditionalFormatting>
  <conditionalFormatting sqref="O3:O51">
    <cfRule type="expression" priority="124" dxfId="4">
      <formula>AND(ISNUMBER(O3),ISNUMBER($K3),$K3-TODAY()&lt;SprintWarningDays,$K3&gt;=TODAY(),OR(P3="",P3="Yet to start",P3="Blocked"))</formula>
    </cfRule>
    <cfRule type="expression" priority="123" dxfId="0">
      <formula>AND(ISNUMBER(O3),O3=TODAY(),P3&lt;&gt;"Completed")</formula>
    </cfRule>
    <cfRule type="expression" priority="122" dxfId="4">
      <formula>AND(ISNUMBER(O3),O3&lt;TODAY(),P3&lt;&gt;"Completed")</formula>
    </cfRule>
    <cfRule type="expression" priority="121" dxfId="7">
      <formula>AND(ISNUMBER(O3),P3="Completed")</formula>
    </cfRule>
  </conditionalFormatting>
  <conditionalFormatting sqref="P3:P51">
    <cfRule type="expression" priority="6" dxfId="1">
      <formula>AND(P3&lt;&gt;"",P3="In Progress")</formula>
    </cfRule>
    <cfRule type="expression" priority="8" dxfId="3">
      <formula>AND(P3&lt;&gt;"",P3="Blocked")</formula>
    </cfRule>
    <cfRule type="expression" priority="7" dxfId="0">
      <formula>AND(P3&lt;&gt;"",P3="Yet to start")</formula>
    </cfRule>
    <cfRule type="expression" priority="5" dxfId="2">
      <formula>AND(P3&lt;&gt;"",P3="Completed")</formula>
    </cfRule>
  </conditionalFormatting>
  <conditionalFormatting sqref="Q3:Q51">
    <cfRule type="expression" priority="74" dxfId="4">
      <formula>AND(ISNUMBER(Q3),Q3&lt;TODAY(),S3&lt;&gt;"Completed")</formula>
    </cfRule>
    <cfRule type="expression" priority="76" dxfId="4">
      <formula>AND(ISNUMBER(Q3),ISNUMBER($K3),$K3-TODAY()&lt;SprintWarningDays,$K3&gt;=TODAY(),OR(S3="",S3="Yet to start",S3="Blocked"))</formula>
    </cfRule>
    <cfRule type="expression" priority="75" dxfId="0">
      <formula>AND(ISNUMBER(Q3),Q3=TODAY(),S3&lt;&gt;"Completed")</formula>
    </cfRule>
    <cfRule type="expression" priority="73" dxfId="7">
      <formula>AND(ISNUMBER(Q3),S3="Completed")</formula>
    </cfRule>
  </conditionalFormatting>
  <conditionalFormatting sqref="S3:S51">
    <cfRule type="expression" priority="9" dxfId="2">
      <formula>AND(S3&lt;&gt;"",S3="Completed")</formula>
    </cfRule>
    <cfRule type="expression" priority="10" dxfId="1">
      <formula>AND(S3&lt;&gt;"",S3="In Progress")</formula>
    </cfRule>
    <cfRule type="expression" priority="11" dxfId="0">
      <formula>AND(S3&lt;&gt;"",S3="Yet to start")</formula>
    </cfRule>
    <cfRule type="expression" priority="12" dxfId="3">
      <formula>AND(S3&lt;&gt;"",S3="Blocked")</formula>
    </cfRule>
  </conditionalFormatting>
  <conditionalFormatting sqref="T3:T51">
    <cfRule type="expression" priority="80" dxfId="4">
      <formula>AND(ISNUMBER(T3),ISNUMBER($K3),$K3-TODAY()&lt;SprintWarningDays,$K3&gt;=TODAY(),OR(V3="",V3="Yet to start",V3="Blocked"))</formula>
    </cfRule>
    <cfRule type="expression" priority="79" dxfId="0">
      <formula>AND(ISNUMBER(T3),T3=TODAY(),V3&lt;&gt;"Completed")</formula>
    </cfRule>
    <cfRule type="expression" priority="78" dxfId="4">
      <formula>AND(ISNUMBER(T3),T3&lt;TODAY(),V3&lt;&gt;"Completed")</formula>
    </cfRule>
    <cfRule type="expression" priority="77" dxfId="7">
      <formula>AND(ISNUMBER(T3),V3="Completed")</formula>
    </cfRule>
  </conditionalFormatting>
  <conditionalFormatting sqref="V3:V51">
    <cfRule type="expression" priority="16" dxfId="3">
      <formula>AND(V3&lt;&gt;"",V3="Blocked")</formula>
    </cfRule>
    <cfRule type="expression" priority="13" dxfId="2">
      <formula>AND(V3&lt;&gt;"",V3="Completed")</formula>
    </cfRule>
    <cfRule type="expression" priority="14" dxfId="1">
      <formula>AND(V3&lt;&gt;"",V3="In Progress")</formula>
    </cfRule>
    <cfRule type="expression" priority="15" dxfId="0">
      <formula>AND(V3&lt;&gt;"",V3="Yet to start")</formula>
    </cfRule>
  </conditionalFormatting>
  <conditionalFormatting sqref="W3:W51">
    <cfRule type="expression" priority="84" dxfId="4">
      <formula>AND(ISNUMBER(W3),ISNUMBER($K3),$K3-TODAY()&lt;SprintWarningDays,$K3&gt;=TODAY(),OR(Y3="",Y3="Yet to start",Y3="Blocked"))</formula>
    </cfRule>
    <cfRule type="expression" priority="83" dxfId="0">
      <formula>AND(ISNUMBER(W3),W3=TODAY(),Y3&lt;&gt;"Completed")</formula>
    </cfRule>
    <cfRule type="expression" priority="82" dxfId="4">
      <formula>AND(ISNUMBER(W3),W3&lt;TODAY(),Y3&lt;&gt;"Completed")</formula>
    </cfRule>
    <cfRule type="expression" priority="81" dxfId="7">
      <formula>AND(ISNUMBER(W3),Y3="Completed")</formula>
    </cfRule>
  </conditionalFormatting>
  <conditionalFormatting sqref="Y3:Y51">
    <cfRule type="expression" priority="20" dxfId="3">
      <formula>AND(Y3&lt;&gt;"",Y3="Blocked")</formula>
    </cfRule>
    <cfRule type="expression" priority="19" dxfId="0">
      <formula>AND(Y3&lt;&gt;"",Y3="Yet to start")</formula>
    </cfRule>
    <cfRule type="expression" priority="17" dxfId="2">
      <formula>AND(Y3&lt;&gt;"",Y3="Completed")</formula>
    </cfRule>
    <cfRule type="expression" priority="18" dxfId="1">
      <formula>AND(Y3&lt;&gt;"",Y3="In Progress")</formula>
    </cfRule>
  </conditionalFormatting>
  <conditionalFormatting sqref="AA3:AA51">
    <cfRule type="expression" priority="88" dxfId="4">
      <formula>AND(ISNUMBER(AA3),ISNUMBER($K3),$K3-TODAY()&lt;SprintWarningDays,$K3&gt;=TODAY(),OR(AC3="",AC3="Yet to start",AC3="Blocked"))</formula>
    </cfRule>
    <cfRule type="expression" priority="85" dxfId="7">
      <formula>AND(ISNUMBER(AA3),AC3="Completed")</formula>
    </cfRule>
    <cfRule type="expression" priority="86" dxfId="4">
      <formula>AND(ISNUMBER(AA3),AA3&lt;TODAY(),AC3&lt;&gt;"Completed")</formula>
    </cfRule>
    <cfRule type="expression" priority="87" dxfId="0">
      <formula>AND(ISNUMBER(AA3),AA3=TODAY(),AC3&lt;&gt;"Completed")</formula>
    </cfRule>
  </conditionalFormatting>
  <conditionalFormatting sqref="AC3:AC51">
    <cfRule type="expression" priority="23" dxfId="0">
      <formula>AND(AC3&lt;&gt;"",AC3="Yet to start")</formula>
    </cfRule>
    <cfRule type="expression" priority="22" dxfId="1">
      <formula>AND(AC3&lt;&gt;"",AC3="In Progress")</formula>
    </cfRule>
    <cfRule type="expression" priority="24" dxfId="3">
      <formula>AND(AC3&lt;&gt;"",AC3="Blocked")</formula>
    </cfRule>
    <cfRule type="expression" priority="21" dxfId="2">
      <formula>AND(AC3&lt;&gt;"",AC3="Completed")</formula>
    </cfRule>
  </conditionalFormatting>
  <conditionalFormatting sqref="AG3:AG51">
    <cfRule type="expression" priority="92" dxfId="4">
      <formula>AND(ISNUMBER(AG3),ISNUMBER($K3),$K3-TODAY()&lt;SprintWarningDays,$K3&gt;=TODAY(),OR(AI3="",AI3="Yet to start",AI3="Blocked"))</formula>
    </cfRule>
    <cfRule type="expression" priority="91" dxfId="0">
      <formula>AND(ISNUMBER(AG3),AG3=TODAY(),AI3&lt;&gt;"Completed")</formula>
    </cfRule>
    <cfRule type="expression" priority="89" dxfId="7">
      <formula>AND(ISNUMBER(AG3),AI3="Completed")</formula>
    </cfRule>
    <cfRule type="expression" priority="90" dxfId="4">
      <formula>AND(ISNUMBER(AG3),AG3&lt;TODAY(),AI3&lt;&gt;"Completed")</formula>
    </cfRule>
  </conditionalFormatting>
  <conditionalFormatting sqref="AI3:AI51">
    <cfRule type="expression" priority="25" dxfId="2">
      <formula>AND(AI3&lt;&gt;"",AI3="Completed")</formula>
    </cfRule>
    <cfRule type="expression" priority="26" dxfId="1">
      <formula>AND(AI3&lt;&gt;"",AI3="In Progress")</formula>
    </cfRule>
    <cfRule type="expression" priority="27" dxfId="0">
      <formula>AND(AI3&lt;&gt;"",AI3="Yet to start")</formula>
    </cfRule>
    <cfRule type="expression" priority="28" dxfId="3">
      <formula>AND(AI3&lt;&gt;"",AI3="Blocked")</formula>
    </cfRule>
  </conditionalFormatting>
  <conditionalFormatting sqref="AJ3:AJ51">
    <cfRule type="expression" priority="96" dxfId="4">
      <formula>AND(ISNUMBER(AJ3),ISNUMBER($K3),$K3-TODAY()&lt;SprintWarningDays,$K3&gt;=TODAY(),OR(AL3="",AL3="Yet to start",AL3="Blocked"))</formula>
    </cfRule>
    <cfRule type="expression" priority="95" dxfId="0">
      <formula>AND(ISNUMBER(AJ3),AJ3=TODAY(),AL3&lt;&gt;"Completed")</formula>
    </cfRule>
    <cfRule type="expression" priority="94" dxfId="4">
      <formula>AND(ISNUMBER(AJ3),AJ3&lt;TODAY(),AL3&lt;&gt;"Completed")</formula>
    </cfRule>
    <cfRule type="expression" priority="93" dxfId="7">
      <formula>AND(ISNUMBER(AJ3),AL3="Completed")</formula>
    </cfRule>
  </conditionalFormatting>
  <conditionalFormatting sqref="AL3:AL51">
    <cfRule type="expression" priority="29" dxfId="2">
      <formula>AND(AL3&lt;&gt;"",AL3="Completed")</formula>
    </cfRule>
    <cfRule type="expression" priority="30" dxfId="1">
      <formula>AND(AL3&lt;&gt;"",AL3="In Progress")</formula>
    </cfRule>
    <cfRule type="expression" priority="31" dxfId="0">
      <formula>AND(AL3&lt;&gt;"",AL3="Yet to start")</formula>
    </cfRule>
    <cfRule type="expression" priority="32" dxfId="3">
      <formula>AND(AL3&lt;&gt;"",AL3="Blocked")</formula>
    </cfRule>
  </conditionalFormatting>
  <conditionalFormatting sqref="AM3:AM51">
    <cfRule type="expression" priority="97" dxfId="7">
      <formula>AND(ISNUMBER(AM3),AO3="Completed")</formula>
    </cfRule>
    <cfRule type="expression" priority="98" dxfId="4">
      <formula>AND(ISNUMBER(AM3),AM3&lt;TODAY(),AO3&lt;&gt;"Completed")</formula>
    </cfRule>
    <cfRule type="expression" priority="99" dxfId="0">
      <formula>AND(ISNUMBER(AM3),AM3=TODAY(),AO3&lt;&gt;"Completed")</formula>
    </cfRule>
    <cfRule type="expression" priority="100" dxfId="4">
      <formula>AND(ISNUMBER(AM3),ISNUMBER($K3),$K3-TODAY()&lt;SprintWarningDays,$K3&gt;=TODAY(),OR(AO3="",AO3="Yet to start",AO3="Blocked"))</formula>
    </cfRule>
  </conditionalFormatting>
  <conditionalFormatting sqref="AO3:AO51">
    <cfRule type="expression" priority="36" dxfId="3">
      <formula>AND(AO3&lt;&gt;"",AO3="Blocked")</formula>
    </cfRule>
    <cfRule type="expression" priority="35" dxfId="0">
      <formula>AND(AO3&lt;&gt;"",AO3="Yet to start")</formula>
    </cfRule>
    <cfRule type="expression" priority="33" dxfId="2">
      <formula>AND(AO3&lt;&gt;"",AO3="Completed")</formula>
    </cfRule>
    <cfRule type="expression" priority="34" dxfId="1">
      <formula>AND(AO3&lt;&gt;"",AO3="In Progress")</formula>
    </cfRule>
  </conditionalFormatting>
  <conditionalFormatting sqref="AQ3:AQ51">
    <cfRule type="expression" priority="102" dxfId="4">
      <formula>AND(ISNUMBER(AQ3),AQ3&lt;TODAY(),AS3&lt;&gt;"Completed")</formula>
    </cfRule>
    <cfRule type="expression" priority="101" dxfId="7">
      <formula>AND(ISNUMBER(AQ3),AS3="Completed")</formula>
    </cfRule>
    <cfRule type="expression" priority="104" dxfId="4">
      <formula>AND(ISNUMBER(AQ3),ISNUMBER($K3),$K3-TODAY()&lt;SprintWarningDays,$K3&gt;=TODAY(),OR(AS3="",AS3="Yet to start",AS3="Blocked"))</formula>
    </cfRule>
    <cfRule type="expression" priority="103" dxfId="0">
      <formula>AND(ISNUMBER(AQ3),AQ3=TODAY(),AS3&lt;&gt;"Completed")</formula>
    </cfRule>
  </conditionalFormatting>
  <conditionalFormatting sqref="AS3:AS51">
    <cfRule type="expression" priority="40" dxfId="3">
      <formula>AND(AS3&lt;&gt;"",AS3="Blocked")</formula>
    </cfRule>
    <cfRule type="expression" priority="37" dxfId="2">
      <formula>AND(AS3&lt;&gt;"",AS3="Completed")</formula>
    </cfRule>
    <cfRule type="expression" priority="38" dxfId="1">
      <formula>AND(AS3&lt;&gt;"",AS3="In Progress")</formula>
    </cfRule>
    <cfRule type="expression" priority="39" dxfId="0">
      <formula>AND(AS3&lt;&gt;"",AS3="Yet to start")</formula>
    </cfRule>
  </conditionalFormatting>
  <conditionalFormatting sqref="AW3:AW51">
    <cfRule type="expression" priority="107" dxfId="0">
      <formula>AND(ISNUMBER(AW3),AW3=TODAY(),AY3&lt;&gt;"Completed")</formula>
    </cfRule>
    <cfRule type="expression" priority="108" dxfId="4">
      <formula>AND(ISNUMBER(AW3),ISNUMBER($K3),$K3-TODAY()&lt;SprintWarningDays,$K3&gt;=TODAY(),OR(AY3="",AY3="Yet to start",AY3="Blocked"))</formula>
    </cfRule>
    <cfRule type="expression" priority="106" dxfId="4">
      <formula>AND(ISNUMBER(AW3),AW3&lt;TODAY(),AY3&lt;&gt;"Completed")</formula>
    </cfRule>
    <cfRule type="expression" priority="105" dxfId="7">
      <formula>AND(ISNUMBER(AW3),AY3="Completed")</formula>
    </cfRule>
  </conditionalFormatting>
  <conditionalFormatting sqref="AY3:AY51">
    <cfRule type="expression" priority="44" dxfId="3">
      <formula>AND(AY3&lt;&gt;"",AY3="Blocked")</formula>
    </cfRule>
    <cfRule type="expression" priority="43" dxfId="0">
      <formula>AND(AY3&lt;&gt;"",AY3="Yet to start")</formula>
    </cfRule>
    <cfRule type="expression" priority="42" dxfId="1">
      <formula>AND(AY3&lt;&gt;"",AY3="In Progress")</formula>
    </cfRule>
    <cfRule type="expression" priority="41" dxfId="2">
      <formula>AND(AY3&lt;&gt;"",AY3="Completed")</formula>
    </cfRule>
  </conditionalFormatting>
  <conditionalFormatting sqref="AZ3:AZ51">
    <cfRule type="expression" priority="112" dxfId="4">
      <formula>AND(ISNUMBER(AZ3),ISNUMBER($K3),$K3-TODAY()&lt;SprintWarningDays,$K3&gt;=TODAY(),OR(BB3="",BB3="Yet to start",BB3="Blocked"))</formula>
    </cfRule>
    <cfRule type="expression" priority="111" dxfId="0">
      <formula>AND(ISNUMBER(AZ3),AZ3=TODAY(),BB3&lt;&gt;"Completed")</formula>
    </cfRule>
    <cfRule type="expression" priority="110" dxfId="4">
      <formula>AND(ISNUMBER(AZ3),AZ3&lt;TODAY(),BB3&lt;&gt;"Completed")</formula>
    </cfRule>
    <cfRule type="expression" priority="109" dxfId="7">
      <formula>AND(ISNUMBER(AZ3),BB3="Completed")</formula>
    </cfRule>
  </conditionalFormatting>
  <conditionalFormatting sqref="BB3:BB51">
    <cfRule type="expression" priority="48" dxfId="3">
      <formula>AND(BB3&lt;&gt;"",BB3="Blocked")</formula>
    </cfRule>
    <cfRule type="expression" priority="47" dxfId="0">
      <formula>AND(BB3&lt;&gt;"",BB3="Yet to start")</formula>
    </cfRule>
    <cfRule type="expression" priority="46" dxfId="1">
      <formula>AND(BB3&lt;&gt;"",BB3="In Progress")</formula>
    </cfRule>
    <cfRule type="expression" priority="45" dxfId="2">
      <formula>AND(BB3&lt;&gt;"",BB3="Completed")</formula>
    </cfRule>
  </conditionalFormatting>
  <conditionalFormatting sqref="BC3:BC51">
    <cfRule type="expression" priority="116" dxfId="4">
      <formula>AND(ISNUMBER(BC3),ISNUMBER($K3),$K3-TODAY()&lt;SprintWarningDays,$K3&gt;=TODAY(),OR(BE3="",BE3="Yet to start",BE3="Blocked"))</formula>
    </cfRule>
    <cfRule type="expression" priority="115" dxfId="0">
      <formula>AND(ISNUMBER(BC3),BC3=TODAY(),BE3&lt;&gt;"Completed")</formula>
    </cfRule>
    <cfRule type="expression" priority="114" dxfId="4">
      <formula>AND(ISNUMBER(BC3),BC3&lt;TODAY(),BE3&lt;&gt;"Completed")</formula>
    </cfRule>
    <cfRule type="expression" priority="113" dxfId="7">
      <formula>AND(ISNUMBER(BC3),BE3="Completed")</formula>
    </cfRule>
  </conditionalFormatting>
  <conditionalFormatting sqref="BE3:BE51">
    <cfRule type="expression" priority="52" dxfId="3">
      <formula>AND(BE3&lt;&gt;"",BE3="Blocked")</formula>
    </cfRule>
    <cfRule type="expression" priority="51" dxfId="0">
      <formula>AND(BE3&lt;&gt;"",BE3="Yet to start")</formula>
    </cfRule>
    <cfRule type="expression" priority="50" dxfId="1">
      <formula>AND(BE3&lt;&gt;"",BE3="In Progress")</formula>
    </cfRule>
    <cfRule type="expression" priority="49" dxfId="2">
      <formula>AND(BE3&lt;&gt;"",BE3="Completed")</formula>
    </cfRule>
  </conditionalFormatting>
  <conditionalFormatting sqref="BG3:BG51">
    <cfRule type="expression" priority="119" dxfId="0">
      <formula>AND(ISNUMBER(BG3),BG3=TODAY(),BI3&lt;&gt;"Completed")</formula>
    </cfRule>
    <cfRule type="expression" priority="120" dxfId="4">
      <formula>AND(ISNUMBER(BG3),ISNUMBER($K3),$K3-TODAY()&lt;SprintWarningDays,$K3&gt;=TODAY(),OR(BI3="",BI3="Yet to start",BI3="Blocked"))</formula>
    </cfRule>
    <cfRule type="expression" priority="117" dxfId="7">
      <formula>AND(ISNUMBER(BG3),BI3="Completed")</formula>
    </cfRule>
    <cfRule type="expression" priority="118" dxfId="4">
      <formula>AND(ISNUMBER(BG3),BG3&lt;TODAY(),BI3&lt;&gt;"Completed")</formula>
    </cfRule>
  </conditionalFormatting>
  <conditionalFormatting sqref="BI3:BI51">
    <cfRule type="expression" priority="53" dxfId="2">
      <formula>AND(BI3&lt;&gt;"",BI3="Completed")</formula>
    </cfRule>
    <cfRule type="expression" priority="54" dxfId="1">
      <formula>AND(BI3&lt;&gt;"",BI3="In Progress")</formula>
    </cfRule>
    <cfRule type="expression" priority="55" dxfId="0">
      <formula>AND(BI3&lt;&gt;"",BI3="Yet to start")</formula>
    </cfRule>
    <cfRule type="expression" priority="56" dxfId="3">
      <formula>AND(BI3&lt;&gt;"",BI3="Blocked")</formula>
    </cfRule>
  </conditionalFormatting>
  <conditionalFormatting sqref="BM3:BM51">
    <cfRule type="expression" priority="133" dxfId="7">
      <formula>AND(ISNUMBER(BM3),BN3="Completed")</formula>
    </cfRule>
    <cfRule type="expression" priority="136" dxfId="4">
      <formula>AND(ISNUMBER(BM3),ISNUMBER($K3),$K3-TODAY()&lt;SprintWarningDays,$K3&gt;=TODAY(),OR(BN3="",BN3="Yet to start",BN3="Blocked"))</formula>
    </cfRule>
    <cfRule type="expression" priority="134" dxfId="4">
      <formula>AND(ISNUMBER(BM3),BM3&lt;TODAY(),BN3&lt;&gt;"Completed")</formula>
    </cfRule>
    <cfRule type="expression" priority="135" dxfId="0">
      <formula>AND(ISNUMBER(BM3),BM3=TODAY(),BN3&lt;&gt;"Completed")</formula>
    </cfRule>
  </conditionalFormatting>
  <conditionalFormatting sqref="BN3:BN51">
    <cfRule type="expression" priority="57" dxfId="2">
      <formula>AND(BN3&lt;&gt;"",BN3="Completed")</formula>
    </cfRule>
    <cfRule type="expression" priority="58" dxfId="1">
      <formula>AND(BN3&lt;&gt;"",BN3="In Progress")</formula>
    </cfRule>
    <cfRule type="expression" priority="59" dxfId="0">
      <formula>AND(BN3&lt;&gt;"",BN3="Yet to start")</formula>
    </cfRule>
    <cfRule type="expression" priority="60" dxfId="3">
      <formula>AND(BN3&lt;&gt;"",BN3="Blocked")</formula>
    </cfRule>
  </conditionalFormatting>
  <conditionalFormatting sqref="BO3:BO51">
    <cfRule type="expression" priority="131" dxfId="0">
      <formula>AND(ISNUMBER(BO3),BO3=TODAY(),BP3&lt;&gt;"Completed")</formula>
    </cfRule>
    <cfRule type="expression" priority="132" dxfId="4">
      <formula>AND(ISNUMBER(BO3),ISNUMBER($K3),$K3-TODAY()&lt;SprintWarningDays,$K3&gt;=TODAY(),OR(BP3="",BP3="Yet to start",BP3="Blocked"))</formula>
    </cfRule>
    <cfRule type="expression" priority="129" dxfId="7">
      <formula>AND(ISNUMBER(BO3),BP3="Completed")</formula>
    </cfRule>
    <cfRule type="expression" priority="130" dxfId="4">
      <formula>AND(ISNUMBER(BO3),BO3&lt;TODAY(),BP3&lt;&gt;"Completed")</formula>
    </cfRule>
  </conditionalFormatting>
  <conditionalFormatting sqref="BP3:BP51">
    <cfRule type="expression" priority="61" dxfId="2">
      <formula>AND(BP3&lt;&gt;"",BP3="Completed")</formula>
    </cfRule>
    <cfRule type="expression" priority="62" dxfId="1">
      <formula>AND(BP3&lt;&gt;"",BP3="In Progress")</formula>
    </cfRule>
    <cfRule type="expression" priority="63" dxfId="0">
      <formula>AND(BP3&lt;&gt;"",BP3="Yet to start")</formula>
    </cfRule>
    <cfRule type="expression" priority="64" dxfId="3">
      <formula>AND(BP3&lt;&gt;"",BP3="Blocked")</formula>
    </cfRule>
  </conditionalFormatting>
  <conditionalFormatting sqref="BQ3:BQ51">
    <cfRule type="expression" priority="125" dxfId="7">
      <formula>AND(ISNUMBER(BQ3),BR3="Completed")</formula>
    </cfRule>
    <cfRule type="expression" priority="126" dxfId="4">
      <formula>AND(ISNUMBER(BQ3),BQ3&lt;TODAY(),BR3&lt;&gt;"Completed")</formula>
    </cfRule>
    <cfRule type="expression" priority="127" dxfId="0">
      <formula>AND(ISNUMBER(BQ3),BQ3=TODAY(),BR3&lt;&gt;"Completed")</formula>
    </cfRule>
    <cfRule type="expression" priority="128" dxfId="4">
      <formula>AND(ISNUMBER(BQ3),ISNUMBER($K3),$K3-TODAY()&lt;SprintWarningDays,$K3&gt;=TODAY(),OR(BR3="",BR3="Yet to start",BR3="Blocked"))</formula>
    </cfRule>
  </conditionalFormatting>
  <conditionalFormatting sqref="BR3:BS51">
    <cfRule type="expression" priority="68" dxfId="3">
      <formula>AND(BR3&lt;&gt;"",BR3="Blocked")</formula>
    </cfRule>
    <cfRule type="expression" priority="65" dxfId="2">
      <formula>AND(BR3&lt;&gt;"",BR3="Completed")</formula>
    </cfRule>
    <cfRule type="expression" priority="66" dxfId="1">
      <formula>AND(BR3&lt;&gt;"",BR3="In Progress")</formula>
    </cfRule>
    <cfRule type="expression" priority="67" dxfId="0">
      <formula>AND(BR3&lt;&gt;"",BR3="Yet to start")</formula>
    </cfRule>
  </conditionalFormatting>
  <dataValidations count="5">
    <dataValidation sqref="P3:P51 S3:S51 V3:V51 Y3:Y51 AC3:AC51 AI3:AI51 AL3:AL51 AO3:AO51 AS3:AS51 AY3:AY51 BB3:BB51 BE3:BE51 BI3:BI51 BN3:BN51 BP3:BP51 BR3:BS51" showDropDown="0" showInputMessage="0" showErrorMessage="0" allowBlank="0" type="list">
      <formula1>StatusList</formula1>
    </dataValidation>
    <dataValidation sqref="Z3:Z51 AP3:AP51 BF3:BF51" showDropDown="0" showInputMessage="0" showErrorMessage="0" allowBlank="0" type="list">
      <formula1>FileTypeList</formula1>
    </dataValidation>
    <dataValidation sqref="AD3:AD51 AT3:AT51 BJ3:BJ51" showDropDown="0" showInputMessage="0" showErrorMessage="0" allowBlank="0" type="list">
      <formula1>IAMList</formula1>
    </dataValidation>
    <dataValidation sqref="AE3:AE51 AU3:AU51 BK3:BK51" showDropDown="0" showInputMessage="1" showErrorMessage="1" allowBlank="0" errorTitle="Ownership Identified" error="Yes/No is preferred. You can still type another value." promptTitle="Ownership Identified" prompt="Yes or No — you may type a name if needed." type="list" errorStyle="warning">
      <formula1>YesNoList</formula1>
    </dataValidation>
    <dataValidation sqref="AF3:AF51 AV3:AV51 BL3:BL51" showDropDown="0" showInputMessage="0" showErrorMessage="0" allowBlank="0" type="list">
      <formula1>FrequencyList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8.83203125" defaultRowHeight="15"/>
  <cols>
    <col width="14" customWidth="1" style="39" min="1" max="1"/>
    <col width="16" customWidth="1" style="39" min="2" max="3"/>
  </cols>
  <sheetData>
    <row r="1" ht="16" customHeight="1" s="39">
      <c r="A1" s="33" t="inlineStr">
        <is>
          <t>Sprint #</t>
        </is>
      </c>
      <c r="B1" s="33" t="inlineStr">
        <is>
          <t>Sprint Start</t>
        </is>
      </c>
      <c r="C1" s="33" t="inlineStr">
        <is>
          <t>Sprint End</t>
        </is>
      </c>
    </row>
    <row r="2" ht="16" customHeight="1" s="39">
      <c r="A2" s="34" t="inlineStr">
        <is>
          <t>SPRINT 13</t>
        </is>
      </c>
      <c r="B2" s="35" t="n">
        <v>46176</v>
      </c>
      <c r="C2" s="35" t="n">
        <v>46189</v>
      </c>
    </row>
    <row r="3" ht="16" customHeight="1" s="39">
      <c r="A3" s="36" t="inlineStr">
        <is>
          <t>SPRINT 14</t>
        </is>
      </c>
      <c r="B3" s="37" t="n">
        <v>46190</v>
      </c>
      <c r="C3" s="37" t="n">
        <v>46203</v>
      </c>
    </row>
    <row r="4" ht="16" customHeight="1" s="39">
      <c r="A4" s="34" t="inlineStr">
        <is>
          <t>SPRINT 15</t>
        </is>
      </c>
      <c r="B4" s="35" t="n">
        <v>46204</v>
      </c>
      <c r="C4" s="35" t="n">
        <v>46217</v>
      </c>
    </row>
    <row r="5" ht="16" customHeight="1" s="39">
      <c r="A5" s="36" t="inlineStr">
        <is>
          <t>SPRINT 16</t>
        </is>
      </c>
      <c r="B5" s="37" t="n">
        <v>46218</v>
      </c>
      <c r="C5" s="37" t="n">
        <v>46231</v>
      </c>
    </row>
    <row r="6" ht="16" customHeight="1" s="39">
      <c r="A6" s="34" t="inlineStr">
        <is>
          <t>SPRINT 17</t>
        </is>
      </c>
      <c r="B6" s="35" t="n">
        <v>46232</v>
      </c>
      <c r="C6" s="35" t="n">
        <v>46245</v>
      </c>
    </row>
    <row r="7" ht="16" customHeight="1" s="39">
      <c r="A7" s="36" t="inlineStr">
        <is>
          <t>SPRINT 18</t>
        </is>
      </c>
      <c r="B7" s="37" t="n">
        <v>46246</v>
      </c>
      <c r="C7" s="37" t="n">
        <v>46259</v>
      </c>
    </row>
    <row r="8" ht="16" customHeight="1" s="39">
      <c r="A8" s="34" t="inlineStr">
        <is>
          <t>SPRINT 19</t>
        </is>
      </c>
      <c r="B8" s="35" t="n">
        <v>46260</v>
      </c>
      <c r="C8" s="35" t="n">
        <v>46273</v>
      </c>
    </row>
    <row r="9" ht="16" customHeight="1" s="39">
      <c r="A9" s="36" t="inlineStr">
        <is>
          <t>SPRINT 20</t>
        </is>
      </c>
      <c r="B9" s="37" t="n">
        <v>46274</v>
      </c>
      <c r="C9" s="37" t="n">
        <v>46287</v>
      </c>
    </row>
    <row r="10" ht="16" customHeight="1" s="39">
      <c r="A10" s="34" t="inlineStr">
        <is>
          <t>SPRINT 21</t>
        </is>
      </c>
      <c r="B10" s="35" t="n">
        <v>46288</v>
      </c>
      <c r="C10" s="35" t="n">
        <v>46301</v>
      </c>
    </row>
    <row r="11" ht="16" customHeight="1" s="39">
      <c r="A11" s="36" t="inlineStr">
        <is>
          <t>SPRINT 22</t>
        </is>
      </c>
      <c r="B11" s="37" t="n">
        <v>46302</v>
      </c>
      <c r="C11" s="37" t="n">
        <v>46315</v>
      </c>
    </row>
    <row r="12" ht="16" customHeight="1" s="39">
      <c r="A12" s="34" t="inlineStr">
        <is>
          <t>SPRINT 23</t>
        </is>
      </c>
      <c r="B12" s="35" t="n">
        <v>46316</v>
      </c>
      <c r="C12" s="35" t="n">
        <v>46329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4B183"/>
    <outlinePr summaryBelow="1" summaryRight="1"/>
    <pageSetUpPr/>
  </sheetPr>
  <dimension ref="A1:N19"/>
  <sheetViews>
    <sheetView workbookViewId="0">
      <pane ySplit="2" topLeftCell="A3" activePane="bottomLeft" state="frozen"/>
      <selection pane="bottomLeft" activeCell="A1" sqref="A1:C1"/>
    </sheetView>
  </sheetViews>
  <sheetFormatPr baseColWidth="10" defaultColWidth="8.83203125" defaultRowHeight="15"/>
  <cols>
    <col width="28" customWidth="1" style="39" min="1" max="1"/>
    <col width="12" customWidth="1" style="39" min="2" max="2"/>
    <col width="88" customWidth="1" style="39" min="3" max="3"/>
    <col width="18" customWidth="1" style="39" min="5" max="5"/>
  </cols>
  <sheetData>
    <row r="1" ht="28" customHeight="1" s="39">
      <c r="A1" s="82" t="inlineStr">
        <is>
          <t>Lead-time parameters - change yellow values only</t>
        </is>
      </c>
    </row>
    <row r="2">
      <c r="A2" s="20" t="inlineStr">
        <is>
          <t>Parameter</t>
        </is>
      </c>
      <c r="B2" s="20" t="inlineStr">
        <is>
          <t>Value</t>
        </is>
      </c>
      <c r="C2" s="20" t="inlineStr">
        <is>
          <t>Meaning</t>
        </is>
      </c>
      <c r="E2" s="21" t="inlineStr">
        <is>
          <t>Status list</t>
        </is>
      </c>
      <c r="G2" t="inlineStr">
        <is>
          <t>File types</t>
        </is>
      </c>
      <c r="H2" t="inlineStr">
        <is>
          <t>Frequency</t>
        </is>
      </c>
      <c r="I2" t="inlineStr">
        <is>
          <t>IAM</t>
        </is>
      </c>
      <c r="J2" t="inlineStr">
        <is>
          <t>Yes/No</t>
        </is>
      </c>
      <c r="L2" t="inlineStr">
        <is>
          <t>PM Name</t>
        </is>
      </c>
      <c r="M2" t="inlineStr">
        <is>
          <t>PM Email</t>
        </is>
      </c>
      <c r="N2" t="inlineStr">
        <is>
          <t>PM Name &amp; Email</t>
        </is>
      </c>
    </row>
    <row r="3" ht="34" customHeight="1" s="39">
      <c r="A3" s="22" t="inlineStr">
        <is>
          <t>SprintWorkingDays</t>
        </is>
      </c>
      <c r="B3" s="23" t="n">
        <v>10</v>
      </c>
      <c r="C3" s="24" t="inlineStr">
        <is>
          <t>Working days in a sprint when one side is blank (2-week default).</t>
        </is>
      </c>
      <c r="E3" s="25" t="inlineStr">
        <is>
          <t>Yet to start</t>
        </is>
      </c>
      <c r="G3" t="inlineStr">
        <is>
          <t>MP</t>
        </is>
      </c>
      <c r="H3" t="inlineStr">
        <is>
          <t>Daily at 5:00 AM</t>
        </is>
      </c>
      <c r="I3" t="inlineStr">
        <is>
          <t>Yes</t>
        </is>
      </c>
      <c r="J3" t="inlineStr">
        <is>
          <t>Yes</t>
        </is>
      </c>
      <c r="L3" t="inlineStr">
        <is>
          <t>Sharath</t>
        </is>
      </c>
      <c r="M3" t="inlineStr">
        <is>
          <t>Skotha1@randomtrees.com</t>
        </is>
      </c>
      <c r="N3" t="inlineStr">
        <is>
          <t>Sharath &lt;Skotha1@randomtrees.com&gt;</t>
        </is>
      </c>
    </row>
    <row r="4" ht="34" customHeight="1" s="39">
      <c r="A4" s="22" t="inlineStr">
        <is>
          <t>ReadyOffsetWD</t>
        </is>
      </c>
      <c r="B4" s="23" t="n">
        <v>-1</v>
      </c>
      <c r="C4" s="24" t="inlineStr">
        <is>
          <t>Working days from Effective Sprint Start to Ready By. Monday start -&gt; previous Friday.</t>
        </is>
      </c>
      <c r="E4" s="25" t="inlineStr">
        <is>
          <t>In Progress</t>
        </is>
      </c>
      <c r="G4" t="inlineStr">
        <is>
          <t>FTP</t>
        </is>
      </c>
      <c r="H4" t="inlineStr">
        <is>
          <t>Weekly (Mon at 12:00 AM)</t>
        </is>
      </c>
      <c r="I4" t="inlineStr">
        <is>
          <t>No</t>
        </is>
      </c>
      <c r="J4" t="inlineStr">
        <is>
          <t>No</t>
        </is>
      </c>
      <c r="L4" t="inlineStr">
        <is>
          <t>Santhosh</t>
        </is>
      </c>
      <c r="M4" t="inlineStr">
        <is>
          <t>skoyalkar@randomtrees.com</t>
        </is>
      </c>
      <c r="N4" t="inlineStr">
        <is>
          <t>Santhosh &lt;skoyalkar@randomtrees.com&gt;</t>
        </is>
      </c>
    </row>
    <row r="5" ht="34" customHeight="1" s="39">
      <c r="A5" s="22" t="inlineStr">
        <is>
          <t>SROffsetFromStartWD</t>
        </is>
      </c>
      <c r="B5" s="23" t="n">
        <v>-5</v>
      </c>
      <c r="C5" s="24" t="inlineStr">
        <is>
          <t>Sprint start -&gt; Service Request raise-by. Monday start -&gt; previous Monday.</t>
        </is>
      </c>
      <c r="E5" s="25" t="inlineStr">
        <is>
          <t>Blocked</t>
        </is>
      </c>
      <c r="G5" t="inlineStr">
        <is>
          <t>Fileshare</t>
        </is>
      </c>
      <c r="H5" t="inlineStr">
        <is>
          <t>Weekly (Thursday at 12:00 AM)</t>
        </is>
      </c>
      <c r="I5" t="inlineStr">
        <is>
          <t>N/A</t>
        </is>
      </c>
      <c r="L5" t="inlineStr">
        <is>
          <t>Sandeep</t>
        </is>
      </c>
      <c r="M5" t="inlineStr">
        <is>
          <t>sgodi@randomtrees.com</t>
        </is>
      </c>
      <c r="N5" t="inlineStr">
        <is>
          <t>Sandeep &lt;sgodi@randomtrees.com&gt;</t>
        </is>
      </c>
    </row>
    <row r="6" ht="34" customHeight="1" s="39">
      <c r="A6" s="22" t="inlineStr">
        <is>
          <t>OUROffsetFromSR_WD</t>
        </is>
      </c>
      <c r="B6" s="23" t="n">
        <v>-1</v>
      </c>
      <c r="C6" s="24" t="inlineStr">
        <is>
          <t>Service Request date -&gt; OUR raise-by. SR Monday -&gt; previous Friday.</t>
        </is>
      </c>
      <c r="E6" s="25" t="inlineStr">
        <is>
          <t>Completed</t>
        </is>
      </c>
      <c r="G6" t="inlineStr">
        <is>
          <t>API</t>
        </is>
      </c>
      <c r="H6" t="inlineStr">
        <is>
          <t>Monthly (1st Monday at 4:00 AM)</t>
        </is>
      </c>
      <c r="L6" t="inlineStr">
        <is>
          <t>Ragavendhar</t>
        </is>
      </c>
      <c r="M6" t="inlineStr">
        <is>
          <t>aragavendhar@randomtrees.com</t>
        </is>
      </c>
      <c r="N6" t="inlineStr">
        <is>
          <t>Ragavendhar &lt;aragavendhar@randomtrees.com&gt;</t>
        </is>
      </c>
    </row>
    <row r="7" ht="34" customHeight="1" s="39">
      <c r="A7" s="22" t="inlineStr">
        <is>
          <t>RTSKOffsetFromOUR_WD</t>
        </is>
      </c>
      <c r="B7" s="23" t="n">
        <v>-2</v>
      </c>
      <c r="C7" s="24" t="inlineStr">
        <is>
          <t>OUR -&gt; R-Task. OUR Friday -&gt; previous Wednesday (VP extra buffer).</t>
        </is>
      </c>
      <c r="G7" t="inlineStr">
        <is>
          <t>N/A</t>
        </is>
      </c>
      <c r="H7" t="inlineStr">
        <is>
          <t>Yearly</t>
        </is>
      </c>
      <c r="L7" t="inlineStr">
        <is>
          <t>Vidhesha</t>
        </is>
      </c>
      <c r="M7" t="inlineStr">
        <is>
          <t>vkumaran@randomtrees.com</t>
        </is>
      </c>
      <c r="N7" t="inlineStr">
        <is>
          <t>Vidhesha &lt;vkumaran@randomtrees.com&gt;</t>
        </is>
      </c>
    </row>
    <row r="8" ht="34" customHeight="1" s="39">
      <c r="A8" s="22" t="inlineStr">
        <is>
          <t>CABOffsetFromReleaseWD</t>
        </is>
      </c>
      <c r="B8" s="23" t="n">
        <v>-1</v>
      </c>
      <c r="C8" s="24" t="inlineStr">
        <is>
          <t>Release -&gt; CAB. Thu -&gt; Wed; Tue -&gt; Mon.</t>
        </is>
      </c>
      <c r="H8" t="inlineStr">
        <is>
          <t>Adhoc (on demand)</t>
        </is>
      </c>
    </row>
    <row r="9" ht="34" customHeight="1" s="39">
      <c r="A9" s="22" t="inlineStr">
        <is>
          <t>CodeReviewCalendarDays</t>
        </is>
      </c>
      <c r="B9" s="23" t="n">
        <v>2</v>
      </c>
      <c r="C9" s="24" t="inlineStr">
        <is>
          <t>Calendar days before CAB; weekend snaps to previous Friday.</t>
        </is>
      </c>
      <c r="H9" t="inlineStr">
        <is>
          <t>N/A</t>
        </is>
      </c>
    </row>
    <row r="10">
      <c r="A10" t="inlineStr">
        <is>
          <t>CodeReviewInviteCalendarDays</t>
        </is>
      </c>
      <c r="B10" t="n">
        <v>4</v>
      </c>
      <c r="C10" t="inlineStr">
        <is>
          <t>Calendar days before Code Review to send invite email.</t>
        </is>
      </c>
    </row>
    <row r="11">
      <c r="A11" s="83" t="inlineStr">
        <is>
          <t>Yellow cells are editable. Sheet is protected so formulas cannot be overwritten. Review &gt; Unprotect Sheet if you must change structure (no password). Sequence: R-Task -&gt; OUR -&gt; Service Request. Releases Tue/Thu only. CAB Mon/Wed/Fri.</t>
        </is>
      </c>
    </row>
    <row r="12"/>
    <row r="13">
      <c r="A13" t="inlineStr">
        <is>
          <t>SprintWarningDays</t>
        </is>
      </c>
      <c r="B13" t="n">
        <v>10</v>
      </c>
      <c r="C13" t="inlineStr">
        <is>
          <t>Days before Effective Sprint Start to warn if requests not actioned.</t>
        </is>
      </c>
    </row>
    <row r="14"/>
    <row r="15">
      <c r="A15" t="inlineStr">
        <is>
          <t>SprintReadinessOffsetWD</t>
        </is>
      </c>
      <c r="B15" t="n">
        <v>-2</v>
      </c>
      <c r="C15" t="inlineStr">
        <is>
          <t>Working days from Effective Sprint Start to sprint-readiness discussion.</t>
        </is>
      </c>
    </row>
    <row r="16"/>
    <row r="17"/>
    <row r="18"/>
    <row r="19"/>
  </sheetData>
  <sheetProtection selectLockedCells="1" selectUnlockedCells="1" sheet="1" objects="1" insertRows="0" insertHyperlinks="1" autoFilter="0" scenarios="1" formatColumns="1" deleteColumns="0" insertColumns="0" pivotTables="1" deleteRows="0" formatCells="0" formatRows="1" sort="0"/>
  <mergeCells count="2">
    <mergeCell ref="A1:C1"/>
    <mergeCell ref="A11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2026-08-17T13:27:41Z</dcterms:created>
  <dcterms:modified xmlns:dcterms="http://purl.org/dc/terms/" xmlns:xsi="http://www.w3.org/2001/XMLSchema-instance" xsi:type="dcterms:W3CDTF">2026-08-25T09:44:50Z</dcterms:modified>
  <cp:lastModifiedBy>Sabareesh Krishna</cp:lastModifiedBy>
</cp:coreProperties>
</file>