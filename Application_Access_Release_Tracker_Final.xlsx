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xr:revisionPtr revIDLastSave="3" documentId="11_AAB1DE3CE19759F3AD54F989FA4917FE79255243" xr6:coauthVersionLast="47" xr6:coauthVersionMax="47" xr10:uidLastSave="{4C57B3F1-18D2-432E-8AA1-168AA04764BD}"/>
  <bookViews>
    <workbookView xWindow="0" yWindow="780" windowWidth="36000" windowHeight="21400" activeTab="1" xr2:uid="{00000000-000D-0000-FFFF-FFFF00000000}"/>
  </bookViews>
  <sheets>
    <sheet name="Dashboard" sheetId="1" r:id="rId1"/>
    <sheet name="Tracker" sheetId="2" r:id="rId2"/>
    <sheet name="Sprints" sheetId="3" r:id="rId3"/>
    <sheet name="Config" sheetId="4" state="hidden" r:id="rId4"/>
  </sheets>
  <definedNames>
    <definedName name="_xlnm._FilterDatabase" localSheetId="1" hidden="1">Tracker!$A$2:$BP$100</definedName>
    <definedName name="CABOffsetFromReleaseWD">Config!$B$8</definedName>
    <definedName name="CodeReviewCalendarDays">Config!$B$9</definedName>
    <definedName name="CodeReviewInviteCalendarDays">Config!$B$10</definedName>
    <definedName name="FileTypeList">Config!$G$3:$G$13</definedName>
    <definedName name="FrequencyList">Config!$H$3:$H$10</definedName>
    <definedName name="IAMList">Config!$I$3:$I$5</definedName>
    <definedName name="OUROffsetFromSR_WD">Config!$B$6</definedName>
    <definedName name="ReadyOffsetWD">Config!$B$4</definedName>
    <definedName name="RTSKOffsetFromOUR_WD">Config!$B$7</definedName>
    <definedName name="SprintCalendar">Sprints!$A$2:$C$12</definedName>
    <definedName name="SprintReadinessOffsetWD">Config!$B$15</definedName>
    <definedName name="SprintWarningDays">Config!$B$13</definedName>
    <definedName name="SprintWorkingDays">Config!$B$3</definedName>
    <definedName name="SROffsetFromStartWD">Config!$B$5</definedName>
    <definedName name="StatusList">Config!$E$3:$E$8</definedName>
    <definedName name="YesNoList">Config!$J$3:$J$4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0" i="2" l="1"/>
  <c r="BD100" i="2"/>
  <c r="CB100" i="2" s="1"/>
  <c r="AP100" i="2"/>
  <c r="BX100" i="2" s="1"/>
  <c r="AF100" i="2"/>
  <c r="AA100" i="2"/>
  <c r="BT100" i="2" s="1"/>
  <c r="T100" i="2"/>
  <c r="Q100" i="2"/>
  <c r="M100" i="2"/>
  <c r="BI100" i="2" s="1"/>
  <c r="K100" i="2"/>
  <c r="G100" i="2"/>
  <c r="F100" i="2"/>
  <c r="E100" i="2"/>
  <c r="D100" i="2"/>
  <c r="CG100" i="2" s="1"/>
  <c r="BP99" i="2"/>
  <c r="BD99" i="2"/>
  <c r="CB99" i="2" s="1"/>
  <c r="AP99" i="2"/>
  <c r="BX99" i="2" s="1"/>
  <c r="AF99" i="2"/>
  <c r="AA99" i="2"/>
  <c r="BT99" i="2" s="1"/>
  <c r="T99" i="2"/>
  <c r="Q99" i="2"/>
  <c r="M99" i="2"/>
  <c r="BI99" i="2" s="1"/>
  <c r="K99" i="2"/>
  <c r="G99" i="2"/>
  <c r="F99" i="2"/>
  <c r="E99" i="2"/>
  <c r="D99" i="2"/>
  <c r="CG99" i="2" s="1"/>
  <c r="BP98" i="2"/>
  <c r="BD98" i="2"/>
  <c r="CB98" i="2" s="1"/>
  <c r="AP98" i="2"/>
  <c r="BX98" i="2" s="1"/>
  <c r="AF98" i="2"/>
  <c r="AA98" i="2"/>
  <c r="BT98" i="2" s="1"/>
  <c r="T98" i="2"/>
  <c r="Q98" i="2"/>
  <c r="M98" i="2"/>
  <c r="BI98" i="2" s="1"/>
  <c r="K98" i="2"/>
  <c r="G98" i="2"/>
  <c r="F98" i="2"/>
  <c r="E98" i="2"/>
  <c r="D98" i="2"/>
  <c r="CG98" i="2" s="1"/>
  <c r="BP97" i="2"/>
  <c r="BD97" i="2"/>
  <c r="CB97" i="2" s="1"/>
  <c r="AP97" i="2"/>
  <c r="BX97" i="2" s="1"/>
  <c r="AF97" i="2"/>
  <c r="AA97" i="2"/>
  <c r="BT97" i="2" s="1"/>
  <c r="T97" i="2"/>
  <c r="Q97" i="2"/>
  <c r="M97" i="2"/>
  <c r="BI97" i="2" s="1"/>
  <c r="K97" i="2"/>
  <c r="G97" i="2"/>
  <c r="F97" i="2"/>
  <c r="E97" i="2"/>
  <c r="D97" i="2"/>
  <c r="CG97" i="2" s="1"/>
  <c r="BP96" i="2"/>
  <c r="BD96" i="2"/>
  <c r="CB96" i="2" s="1"/>
  <c r="AP96" i="2"/>
  <c r="BX96" i="2" s="1"/>
  <c r="AF96" i="2"/>
  <c r="AA96" i="2"/>
  <c r="BT96" i="2" s="1"/>
  <c r="T96" i="2"/>
  <c r="Q96" i="2"/>
  <c r="M96" i="2"/>
  <c r="BI96" i="2" s="1"/>
  <c r="K96" i="2"/>
  <c r="G96" i="2"/>
  <c r="F96" i="2"/>
  <c r="E96" i="2"/>
  <c r="D96" i="2"/>
  <c r="CG96" i="2" s="1"/>
  <c r="BP95" i="2"/>
  <c r="BD95" i="2"/>
  <c r="CB95" i="2" s="1"/>
  <c r="AP95" i="2"/>
  <c r="BX95" i="2" s="1"/>
  <c r="AF95" i="2"/>
  <c r="AA95" i="2"/>
  <c r="BT95" i="2" s="1"/>
  <c r="T95" i="2"/>
  <c r="Q95" i="2"/>
  <c r="M95" i="2"/>
  <c r="BI95" i="2" s="1"/>
  <c r="K95" i="2"/>
  <c r="G95" i="2"/>
  <c r="F95" i="2"/>
  <c r="E95" i="2"/>
  <c r="D95" i="2"/>
  <c r="CG95" i="2" s="1"/>
  <c r="BP94" i="2"/>
  <c r="BD94" i="2"/>
  <c r="CB94" i="2" s="1"/>
  <c r="AP94" i="2"/>
  <c r="BX94" i="2" s="1"/>
  <c r="AF94" i="2"/>
  <c r="AA94" i="2"/>
  <c r="BT94" i="2" s="1"/>
  <c r="T94" i="2"/>
  <c r="Q94" i="2"/>
  <c r="M94" i="2"/>
  <c r="BI94" i="2" s="1"/>
  <c r="K94" i="2"/>
  <c r="G94" i="2"/>
  <c r="F94" i="2"/>
  <c r="E94" i="2"/>
  <c r="D94" i="2"/>
  <c r="CG94" i="2" s="1"/>
  <c r="BP93" i="2"/>
  <c r="BD93" i="2"/>
  <c r="CB93" i="2" s="1"/>
  <c r="AP93" i="2"/>
  <c r="BX93" i="2" s="1"/>
  <c r="AF93" i="2"/>
  <c r="AA93" i="2"/>
  <c r="BT93" i="2" s="1"/>
  <c r="T93" i="2"/>
  <c r="Q93" i="2"/>
  <c r="M93" i="2"/>
  <c r="BI93" i="2" s="1"/>
  <c r="K93" i="2"/>
  <c r="G93" i="2"/>
  <c r="F93" i="2"/>
  <c r="E93" i="2"/>
  <c r="D93" i="2"/>
  <c r="CG93" i="2" s="1"/>
  <c r="BP92" i="2"/>
  <c r="BD92" i="2"/>
  <c r="CB92" i="2" s="1"/>
  <c r="AP92" i="2"/>
  <c r="BX92" i="2" s="1"/>
  <c r="AF92" i="2"/>
  <c r="AA92" i="2"/>
  <c r="BT92" i="2" s="1"/>
  <c r="T92" i="2"/>
  <c r="Q92" i="2"/>
  <c r="M92" i="2"/>
  <c r="BI92" i="2" s="1"/>
  <c r="K92" i="2"/>
  <c r="G92" i="2"/>
  <c r="F92" i="2"/>
  <c r="E92" i="2"/>
  <c r="D92" i="2"/>
  <c r="CG92" i="2" s="1"/>
  <c r="BP91" i="2"/>
  <c r="BD91" i="2"/>
  <c r="CB91" i="2" s="1"/>
  <c r="AP91" i="2"/>
  <c r="BX91" i="2" s="1"/>
  <c r="AF91" i="2"/>
  <c r="AA91" i="2"/>
  <c r="BT91" i="2" s="1"/>
  <c r="T91" i="2"/>
  <c r="Q91" i="2"/>
  <c r="M91" i="2"/>
  <c r="BI91" i="2" s="1"/>
  <c r="K91" i="2"/>
  <c r="G91" i="2"/>
  <c r="F91" i="2"/>
  <c r="E91" i="2"/>
  <c r="D91" i="2"/>
  <c r="CG91" i="2" s="1"/>
  <c r="BP90" i="2"/>
  <c r="BD90" i="2"/>
  <c r="CB90" i="2" s="1"/>
  <c r="AP90" i="2"/>
  <c r="BX90" i="2" s="1"/>
  <c r="AF90" i="2"/>
  <c r="AA90" i="2"/>
  <c r="BT90" i="2" s="1"/>
  <c r="T90" i="2"/>
  <c r="Q90" i="2"/>
  <c r="M90" i="2"/>
  <c r="BI90" i="2" s="1"/>
  <c r="K90" i="2"/>
  <c r="G90" i="2"/>
  <c r="F90" i="2"/>
  <c r="E90" i="2"/>
  <c r="D90" i="2"/>
  <c r="CG90" i="2" s="1"/>
  <c r="BP89" i="2"/>
  <c r="BD89" i="2"/>
  <c r="CB89" i="2" s="1"/>
  <c r="AP89" i="2"/>
  <c r="BX89" i="2" s="1"/>
  <c r="AF89" i="2"/>
  <c r="AA89" i="2"/>
  <c r="BT89" i="2" s="1"/>
  <c r="T89" i="2"/>
  <c r="Q89" i="2"/>
  <c r="M89" i="2"/>
  <c r="BI89" i="2" s="1"/>
  <c r="K89" i="2"/>
  <c r="G89" i="2"/>
  <c r="F89" i="2"/>
  <c r="E89" i="2"/>
  <c r="D89" i="2"/>
  <c r="CG89" i="2" s="1"/>
  <c r="BP88" i="2"/>
  <c r="BD88" i="2"/>
  <c r="CB88" i="2" s="1"/>
  <c r="AP88" i="2"/>
  <c r="BX88" i="2" s="1"/>
  <c r="AF88" i="2"/>
  <c r="AA88" i="2"/>
  <c r="BT88" i="2" s="1"/>
  <c r="T88" i="2"/>
  <c r="Q88" i="2"/>
  <c r="M88" i="2"/>
  <c r="BI88" i="2" s="1"/>
  <c r="K88" i="2"/>
  <c r="G88" i="2"/>
  <c r="F88" i="2"/>
  <c r="E88" i="2"/>
  <c r="D88" i="2"/>
  <c r="CG88" i="2" s="1"/>
  <c r="BP87" i="2"/>
  <c r="BD87" i="2"/>
  <c r="CB87" i="2" s="1"/>
  <c r="AP87" i="2"/>
  <c r="BX87" i="2" s="1"/>
  <c r="AF87" i="2"/>
  <c r="AA87" i="2"/>
  <c r="BT87" i="2" s="1"/>
  <c r="T87" i="2"/>
  <c r="Q87" i="2"/>
  <c r="M87" i="2"/>
  <c r="BI87" i="2" s="1"/>
  <c r="K87" i="2"/>
  <c r="G87" i="2"/>
  <c r="F87" i="2"/>
  <c r="E87" i="2"/>
  <c r="D87" i="2"/>
  <c r="CG87" i="2" s="1"/>
  <c r="BP86" i="2"/>
  <c r="BD86" i="2"/>
  <c r="CB86" i="2" s="1"/>
  <c r="AP86" i="2"/>
  <c r="BX86" i="2" s="1"/>
  <c r="AF86" i="2"/>
  <c r="AA86" i="2"/>
  <c r="BT86" i="2" s="1"/>
  <c r="T86" i="2"/>
  <c r="Q86" i="2"/>
  <c r="M86" i="2"/>
  <c r="BI86" i="2" s="1"/>
  <c r="K86" i="2"/>
  <c r="G86" i="2"/>
  <c r="F86" i="2"/>
  <c r="E86" i="2"/>
  <c r="D86" i="2"/>
  <c r="CG86" i="2" s="1"/>
  <c r="BP85" i="2"/>
  <c r="BD85" i="2"/>
  <c r="CB85" i="2" s="1"/>
  <c r="AP85" i="2"/>
  <c r="BX85" i="2" s="1"/>
  <c r="AF85" i="2"/>
  <c r="AA85" i="2"/>
  <c r="BT85" i="2" s="1"/>
  <c r="T85" i="2"/>
  <c r="Q85" i="2"/>
  <c r="M85" i="2"/>
  <c r="BI85" i="2" s="1"/>
  <c r="K85" i="2"/>
  <c r="G85" i="2"/>
  <c r="F85" i="2"/>
  <c r="E85" i="2"/>
  <c r="D85" i="2"/>
  <c r="CG85" i="2" s="1"/>
  <c r="BP84" i="2"/>
  <c r="BD84" i="2"/>
  <c r="CB84" i="2" s="1"/>
  <c r="AP84" i="2"/>
  <c r="BX84" i="2" s="1"/>
  <c r="AF84" i="2"/>
  <c r="AA84" i="2"/>
  <c r="BT84" i="2" s="1"/>
  <c r="T84" i="2"/>
  <c r="Q84" i="2"/>
  <c r="M84" i="2"/>
  <c r="BI84" i="2" s="1"/>
  <c r="K84" i="2"/>
  <c r="G84" i="2"/>
  <c r="F84" i="2"/>
  <c r="E84" i="2"/>
  <c r="D84" i="2"/>
  <c r="CG84" i="2" s="1"/>
  <c r="BP83" i="2"/>
  <c r="BD83" i="2"/>
  <c r="CB83" i="2" s="1"/>
  <c r="AP83" i="2"/>
  <c r="BX83" i="2" s="1"/>
  <c r="AF83" i="2"/>
  <c r="AA83" i="2"/>
  <c r="BT83" i="2" s="1"/>
  <c r="T83" i="2"/>
  <c r="Q83" i="2"/>
  <c r="M83" i="2"/>
  <c r="BI83" i="2" s="1"/>
  <c r="K83" i="2"/>
  <c r="G83" i="2"/>
  <c r="F83" i="2"/>
  <c r="E83" i="2"/>
  <c r="D83" i="2"/>
  <c r="CG83" i="2" s="1"/>
  <c r="BP82" i="2"/>
  <c r="BD82" i="2"/>
  <c r="CB82" i="2" s="1"/>
  <c r="AP82" i="2"/>
  <c r="BX82" i="2" s="1"/>
  <c r="AF82" i="2"/>
  <c r="AA82" i="2"/>
  <c r="BT82" i="2" s="1"/>
  <c r="T82" i="2"/>
  <c r="Q82" i="2"/>
  <c r="M82" i="2"/>
  <c r="BI82" i="2" s="1"/>
  <c r="K82" i="2"/>
  <c r="G82" i="2"/>
  <c r="F82" i="2"/>
  <c r="E82" i="2"/>
  <c r="D82" i="2"/>
  <c r="CG82" i="2" s="1"/>
  <c r="BP81" i="2"/>
  <c r="BD81" i="2"/>
  <c r="CB81" i="2" s="1"/>
  <c r="AP81" i="2"/>
  <c r="BX81" i="2" s="1"/>
  <c r="AF81" i="2"/>
  <c r="AA81" i="2"/>
  <c r="BT81" i="2" s="1"/>
  <c r="T81" i="2"/>
  <c r="Q81" i="2"/>
  <c r="M81" i="2"/>
  <c r="BI81" i="2" s="1"/>
  <c r="K81" i="2"/>
  <c r="G81" i="2"/>
  <c r="F81" i="2"/>
  <c r="E81" i="2"/>
  <c r="D81" i="2"/>
  <c r="CG81" i="2" s="1"/>
  <c r="BP80" i="2"/>
  <c r="BD80" i="2"/>
  <c r="CB80" i="2" s="1"/>
  <c r="AP80" i="2"/>
  <c r="BX80" i="2" s="1"/>
  <c r="AF80" i="2"/>
  <c r="AA80" i="2"/>
  <c r="BT80" i="2" s="1"/>
  <c r="T80" i="2"/>
  <c r="Q80" i="2"/>
  <c r="M80" i="2"/>
  <c r="BI80" i="2" s="1"/>
  <c r="K80" i="2"/>
  <c r="G80" i="2"/>
  <c r="F80" i="2"/>
  <c r="E80" i="2"/>
  <c r="D80" i="2"/>
  <c r="CG80" i="2" s="1"/>
  <c r="BP79" i="2"/>
  <c r="BD79" i="2"/>
  <c r="CB79" i="2" s="1"/>
  <c r="AP79" i="2"/>
  <c r="BX79" i="2" s="1"/>
  <c r="AF79" i="2"/>
  <c r="AA79" i="2"/>
  <c r="BT79" i="2" s="1"/>
  <c r="T79" i="2"/>
  <c r="Q79" i="2"/>
  <c r="M79" i="2"/>
  <c r="BI79" i="2" s="1"/>
  <c r="K79" i="2"/>
  <c r="G79" i="2"/>
  <c r="F79" i="2"/>
  <c r="E79" i="2"/>
  <c r="D79" i="2"/>
  <c r="CG79" i="2" s="1"/>
  <c r="BP78" i="2"/>
  <c r="BD78" i="2"/>
  <c r="CB78" i="2" s="1"/>
  <c r="AP78" i="2"/>
  <c r="BX78" i="2" s="1"/>
  <c r="AF78" i="2"/>
  <c r="AA78" i="2"/>
  <c r="BT78" i="2" s="1"/>
  <c r="T78" i="2"/>
  <c r="Q78" i="2"/>
  <c r="M78" i="2"/>
  <c r="BI78" i="2" s="1"/>
  <c r="K78" i="2"/>
  <c r="G78" i="2"/>
  <c r="F78" i="2"/>
  <c r="E78" i="2"/>
  <c r="D78" i="2"/>
  <c r="CG78" i="2" s="1"/>
  <c r="BP77" i="2"/>
  <c r="BD77" i="2"/>
  <c r="CB77" i="2" s="1"/>
  <c r="AP77" i="2"/>
  <c r="BX77" i="2" s="1"/>
  <c r="AF77" i="2"/>
  <c r="AA77" i="2"/>
  <c r="BT77" i="2" s="1"/>
  <c r="T77" i="2"/>
  <c r="Q77" i="2"/>
  <c r="M77" i="2"/>
  <c r="BI77" i="2" s="1"/>
  <c r="K77" i="2"/>
  <c r="G77" i="2"/>
  <c r="F77" i="2"/>
  <c r="E77" i="2"/>
  <c r="D77" i="2"/>
  <c r="CG77" i="2" s="1"/>
  <c r="BP76" i="2"/>
  <c r="BD76" i="2"/>
  <c r="CB76" i="2" s="1"/>
  <c r="AP76" i="2"/>
  <c r="BX76" i="2" s="1"/>
  <c r="AF76" i="2"/>
  <c r="AA76" i="2"/>
  <c r="BT76" i="2" s="1"/>
  <c r="T76" i="2"/>
  <c r="Q76" i="2"/>
  <c r="M76" i="2"/>
  <c r="BI76" i="2" s="1"/>
  <c r="K76" i="2"/>
  <c r="G76" i="2"/>
  <c r="F76" i="2"/>
  <c r="E76" i="2"/>
  <c r="D76" i="2"/>
  <c r="CG76" i="2" s="1"/>
  <c r="BP75" i="2"/>
  <c r="BD75" i="2"/>
  <c r="CB75" i="2" s="1"/>
  <c r="AP75" i="2"/>
  <c r="BX75" i="2" s="1"/>
  <c r="AF75" i="2"/>
  <c r="AA75" i="2"/>
  <c r="BT75" i="2" s="1"/>
  <c r="T75" i="2"/>
  <c r="Q75" i="2"/>
  <c r="M75" i="2"/>
  <c r="BI75" i="2" s="1"/>
  <c r="K75" i="2"/>
  <c r="G75" i="2"/>
  <c r="F75" i="2"/>
  <c r="E75" i="2"/>
  <c r="D75" i="2"/>
  <c r="CG75" i="2" s="1"/>
  <c r="BP74" i="2"/>
  <c r="BD74" i="2"/>
  <c r="CB74" i="2" s="1"/>
  <c r="AP74" i="2"/>
  <c r="BX74" i="2" s="1"/>
  <c r="AF74" i="2"/>
  <c r="AA74" i="2"/>
  <c r="BT74" i="2" s="1"/>
  <c r="T74" i="2"/>
  <c r="Q74" i="2"/>
  <c r="M74" i="2"/>
  <c r="BI74" i="2" s="1"/>
  <c r="K74" i="2"/>
  <c r="G74" i="2"/>
  <c r="F74" i="2"/>
  <c r="E74" i="2"/>
  <c r="D74" i="2"/>
  <c r="CG74" i="2" s="1"/>
  <c r="BP73" i="2"/>
  <c r="BD73" i="2"/>
  <c r="CB73" i="2" s="1"/>
  <c r="AP73" i="2"/>
  <c r="BX73" i="2" s="1"/>
  <c r="AF73" i="2"/>
  <c r="AA73" i="2"/>
  <c r="BT73" i="2" s="1"/>
  <c r="T73" i="2"/>
  <c r="Q73" i="2"/>
  <c r="M73" i="2"/>
  <c r="BI73" i="2" s="1"/>
  <c r="K73" i="2"/>
  <c r="G73" i="2"/>
  <c r="F73" i="2"/>
  <c r="E73" i="2"/>
  <c r="D73" i="2"/>
  <c r="CG73" i="2" s="1"/>
  <c r="BP72" i="2"/>
  <c r="BD72" i="2"/>
  <c r="CB72" i="2" s="1"/>
  <c r="AP72" i="2"/>
  <c r="BX72" i="2" s="1"/>
  <c r="AF72" i="2"/>
  <c r="AA72" i="2"/>
  <c r="BT72" i="2" s="1"/>
  <c r="T72" i="2"/>
  <c r="Q72" i="2"/>
  <c r="M72" i="2"/>
  <c r="BI72" i="2" s="1"/>
  <c r="K72" i="2"/>
  <c r="G72" i="2"/>
  <c r="F72" i="2"/>
  <c r="E72" i="2"/>
  <c r="D72" i="2"/>
  <c r="CG72" i="2" s="1"/>
  <c r="BP71" i="2"/>
  <c r="BD71" i="2"/>
  <c r="CB71" i="2" s="1"/>
  <c r="AP71" i="2"/>
  <c r="BX71" i="2" s="1"/>
  <c r="AF71" i="2"/>
  <c r="AA71" i="2"/>
  <c r="BT71" i="2" s="1"/>
  <c r="T71" i="2"/>
  <c r="Q71" i="2"/>
  <c r="M71" i="2"/>
  <c r="BI71" i="2" s="1"/>
  <c r="K71" i="2"/>
  <c r="G71" i="2"/>
  <c r="F71" i="2"/>
  <c r="E71" i="2"/>
  <c r="D71" i="2"/>
  <c r="CG71" i="2" s="1"/>
  <c r="BP70" i="2"/>
  <c r="BD70" i="2"/>
  <c r="CB70" i="2" s="1"/>
  <c r="AP70" i="2"/>
  <c r="BX70" i="2" s="1"/>
  <c r="AF70" i="2"/>
  <c r="AA70" i="2"/>
  <c r="BT70" i="2" s="1"/>
  <c r="T70" i="2"/>
  <c r="Q70" i="2"/>
  <c r="M70" i="2"/>
  <c r="BI70" i="2" s="1"/>
  <c r="K70" i="2"/>
  <c r="G70" i="2"/>
  <c r="F70" i="2"/>
  <c r="E70" i="2"/>
  <c r="D70" i="2"/>
  <c r="CG70" i="2" s="1"/>
  <c r="BP69" i="2"/>
  <c r="BD69" i="2"/>
  <c r="CB69" i="2" s="1"/>
  <c r="AP69" i="2"/>
  <c r="BX69" i="2" s="1"/>
  <c r="AF69" i="2"/>
  <c r="AA69" i="2"/>
  <c r="BT69" i="2" s="1"/>
  <c r="T69" i="2"/>
  <c r="Q69" i="2"/>
  <c r="M69" i="2"/>
  <c r="BI69" i="2" s="1"/>
  <c r="K69" i="2"/>
  <c r="G69" i="2"/>
  <c r="F69" i="2"/>
  <c r="E69" i="2"/>
  <c r="D69" i="2"/>
  <c r="CG69" i="2" s="1"/>
  <c r="BP68" i="2"/>
  <c r="BD68" i="2"/>
  <c r="CB68" i="2" s="1"/>
  <c r="AP68" i="2"/>
  <c r="BX68" i="2" s="1"/>
  <c r="AF68" i="2"/>
  <c r="AA68" i="2"/>
  <c r="BT68" i="2" s="1"/>
  <c r="T68" i="2"/>
  <c r="Q68" i="2"/>
  <c r="M68" i="2"/>
  <c r="BI68" i="2" s="1"/>
  <c r="K68" i="2"/>
  <c r="G68" i="2"/>
  <c r="F68" i="2"/>
  <c r="E68" i="2"/>
  <c r="D68" i="2"/>
  <c r="CG68" i="2" s="1"/>
  <c r="BP67" i="2"/>
  <c r="BD67" i="2"/>
  <c r="CB67" i="2" s="1"/>
  <c r="AP67" i="2"/>
  <c r="BX67" i="2" s="1"/>
  <c r="AF67" i="2"/>
  <c r="AA67" i="2"/>
  <c r="BT67" i="2" s="1"/>
  <c r="T67" i="2"/>
  <c r="Q67" i="2"/>
  <c r="M67" i="2"/>
  <c r="BI67" i="2" s="1"/>
  <c r="K67" i="2"/>
  <c r="G67" i="2"/>
  <c r="F67" i="2"/>
  <c r="E67" i="2"/>
  <c r="D67" i="2"/>
  <c r="CG67" i="2" s="1"/>
  <c r="BP66" i="2"/>
  <c r="BD66" i="2"/>
  <c r="CB66" i="2" s="1"/>
  <c r="AP66" i="2"/>
  <c r="BX66" i="2" s="1"/>
  <c r="AF66" i="2"/>
  <c r="AA66" i="2"/>
  <c r="BT66" i="2" s="1"/>
  <c r="T66" i="2"/>
  <c r="Q66" i="2"/>
  <c r="M66" i="2"/>
  <c r="BI66" i="2" s="1"/>
  <c r="K66" i="2"/>
  <c r="G66" i="2"/>
  <c r="F66" i="2"/>
  <c r="E66" i="2"/>
  <c r="D66" i="2"/>
  <c r="CG66" i="2" s="1"/>
  <c r="BP65" i="2"/>
  <c r="BD65" i="2"/>
  <c r="CB65" i="2" s="1"/>
  <c r="AP65" i="2"/>
  <c r="BX65" i="2" s="1"/>
  <c r="AF65" i="2"/>
  <c r="AA65" i="2"/>
  <c r="BT65" i="2" s="1"/>
  <c r="T65" i="2"/>
  <c r="Q65" i="2"/>
  <c r="M65" i="2"/>
  <c r="BI65" i="2" s="1"/>
  <c r="K65" i="2"/>
  <c r="G65" i="2"/>
  <c r="F65" i="2"/>
  <c r="E65" i="2"/>
  <c r="D65" i="2"/>
  <c r="CG65" i="2" s="1"/>
  <c r="BP64" i="2"/>
  <c r="BD64" i="2"/>
  <c r="CB64" i="2" s="1"/>
  <c r="AP64" i="2"/>
  <c r="BX64" i="2" s="1"/>
  <c r="AF64" i="2"/>
  <c r="AA64" i="2"/>
  <c r="BT64" i="2" s="1"/>
  <c r="T64" i="2"/>
  <c r="Q64" i="2"/>
  <c r="M64" i="2"/>
  <c r="BI64" i="2" s="1"/>
  <c r="K64" i="2"/>
  <c r="G64" i="2"/>
  <c r="F64" i="2"/>
  <c r="E64" i="2"/>
  <c r="D64" i="2"/>
  <c r="CG64" i="2" s="1"/>
  <c r="BP63" i="2"/>
  <c r="BD63" i="2"/>
  <c r="CB63" i="2" s="1"/>
  <c r="AP63" i="2"/>
  <c r="BX63" i="2" s="1"/>
  <c r="AF63" i="2"/>
  <c r="AA63" i="2"/>
  <c r="BT63" i="2" s="1"/>
  <c r="T63" i="2"/>
  <c r="Q63" i="2"/>
  <c r="M63" i="2"/>
  <c r="BI63" i="2" s="1"/>
  <c r="K63" i="2"/>
  <c r="G63" i="2"/>
  <c r="F63" i="2"/>
  <c r="E63" i="2"/>
  <c r="D63" i="2"/>
  <c r="CG63" i="2" s="1"/>
  <c r="BP62" i="2"/>
  <c r="BD62" i="2"/>
  <c r="CB62" i="2" s="1"/>
  <c r="AP62" i="2"/>
  <c r="BX62" i="2" s="1"/>
  <c r="AF62" i="2"/>
  <c r="AA62" i="2"/>
  <c r="BT62" i="2" s="1"/>
  <c r="T62" i="2"/>
  <c r="Q62" i="2"/>
  <c r="M62" i="2"/>
  <c r="BI62" i="2" s="1"/>
  <c r="K62" i="2"/>
  <c r="G62" i="2"/>
  <c r="F62" i="2"/>
  <c r="E62" i="2"/>
  <c r="D62" i="2"/>
  <c r="CG62" i="2" s="1"/>
  <c r="BP61" i="2"/>
  <c r="BD61" i="2"/>
  <c r="CB61" i="2" s="1"/>
  <c r="AP61" i="2"/>
  <c r="BX61" i="2" s="1"/>
  <c r="AF61" i="2"/>
  <c r="AA61" i="2"/>
  <c r="BT61" i="2" s="1"/>
  <c r="T61" i="2"/>
  <c r="Q61" i="2"/>
  <c r="M61" i="2"/>
  <c r="BI61" i="2" s="1"/>
  <c r="K61" i="2"/>
  <c r="G61" i="2"/>
  <c r="F61" i="2"/>
  <c r="E61" i="2"/>
  <c r="D61" i="2"/>
  <c r="CG61" i="2" s="1"/>
  <c r="BP60" i="2"/>
  <c r="BD60" i="2"/>
  <c r="CB60" i="2" s="1"/>
  <c r="AP60" i="2"/>
  <c r="BX60" i="2" s="1"/>
  <c r="AF60" i="2"/>
  <c r="AA60" i="2"/>
  <c r="BT60" i="2" s="1"/>
  <c r="T60" i="2"/>
  <c r="Q60" i="2"/>
  <c r="M60" i="2"/>
  <c r="BI60" i="2" s="1"/>
  <c r="K60" i="2"/>
  <c r="G60" i="2"/>
  <c r="F60" i="2"/>
  <c r="E60" i="2"/>
  <c r="D60" i="2"/>
  <c r="CG60" i="2" s="1"/>
  <c r="BP59" i="2"/>
  <c r="BD59" i="2"/>
  <c r="CB59" i="2" s="1"/>
  <c r="AP59" i="2"/>
  <c r="BX59" i="2" s="1"/>
  <c r="AF59" i="2"/>
  <c r="AA59" i="2"/>
  <c r="BT59" i="2" s="1"/>
  <c r="T59" i="2"/>
  <c r="Q59" i="2"/>
  <c r="M59" i="2"/>
  <c r="BI59" i="2" s="1"/>
  <c r="K59" i="2"/>
  <c r="G59" i="2"/>
  <c r="F59" i="2"/>
  <c r="E59" i="2"/>
  <c r="D59" i="2"/>
  <c r="CG59" i="2" s="1"/>
  <c r="BP58" i="2"/>
  <c r="BD58" i="2"/>
  <c r="CB58" i="2" s="1"/>
  <c r="AP58" i="2"/>
  <c r="BX58" i="2" s="1"/>
  <c r="AF58" i="2"/>
  <c r="AA58" i="2"/>
  <c r="BT58" i="2" s="1"/>
  <c r="T58" i="2"/>
  <c r="Q58" i="2"/>
  <c r="M58" i="2"/>
  <c r="BI58" i="2" s="1"/>
  <c r="K58" i="2"/>
  <c r="G58" i="2"/>
  <c r="F58" i="2"/>
  <c r="E58" i="2"/>
  <c r="D58" i="2"/>
  <c r="CG58" i="2" s="1"/>
  <c r="BP57" i="2"/>
  <c r="BD57" i="2"/>
  <c r="CB57" i="2" s="1"/>
  <c r="AP57" i="2"/>
  <c r="BX57" i="2" s="1"/>
  <c r="AF57" i="2"/>
  <c r="AA57" i="2"/>
  <c r="BT57" i="2" s="1"/>
  <c r="T57" i="2"/>
  <c r="Q57" i="2"/>
  <c r="M57" i="2"/>
  <c r="BI57" i="2" s="1"/>
  <c r="K57" i="2"/>
  <c r="G57" i="2"/>
  <c r="F57" i="2"/>
  <c r="E57" i="2"/>
  <c r="D57" i="2"/>
  <c r="CG57" i="2" s="1"/>
  <c r="BP56" i="2"/>
  <c r="BD56" i="2"/>
  <c r="CB56" i="2" s="1"/>
  <c r="AP56" i="2"/>
  <c r="BX56" i="2" s="1"/>
  <c r="AF56" i="2"/>
  <c r="AA56" i="2"/>
  <c r="BT56" i="2" s="1"/>
  <c r="T56" i="2"/>
  <c r="Q56" i="2"/>
  <c r="M56" i="2"/>
  <c r="BI56" i="2" s="1"/>
  <c r="K56" i="2"/>
  <c r="G56" i="2"/>
  <c r="F56" i="2"/>
  <c r="E56" i="2"/>
  <c r="D56" i="2"/>
  <c r="CG56" i="2" s="1"/>
  <c r="BP55" i="2"/>
  <c r="BD55" i="2"/>
  <c r="CB55" i="2" s="1"/>
  <c r="AP55" i="2"/>
  <c r="BX55" i="2" s="1"/>
  <c r="AF55" i="2"/>
  <c r="AA55" i="2"/>
  <c r="BT55" i="2" s="1"/>
  <c r="T55" i="2"/>
  <c r="Q55" i="2"/>
  <c r="M55" i="2"/>
  <c r="BI55" i="2" s="1"/>
  <c r="K55" i="2"/>
  <c r="G55" i="2"/>
  <c r="F55" i="2"/>
  <c r="E55" i="2"/>
  <c r="D55" i="2"/>
  <c r="CG55" i="2" s="1"/>
  <c r="BP54" i="2"/>
  <c r="BD54" i="2"/>
  <c r="CB54" i="2" s="1"/>
  <c r="AP54" i="2"/>
  <c r="BX54" i="2" s="1"/>
  <c r="AF54" i="2"/>
  <c r="AA54" i="2"/>
  <c r="BT54" i="2" s="1"/>
  <c r="T54" i="2"/>
  <c r="Q54" i="2"/>
  <c r="M54" i="2"/>
  <c r="BI54" i="2" s="1"/>
  <c r="K54" i="2"/>
  <c r="G54" i="2"/>
  <c r="F54" i="2"/>
  <c r="E54" i="2"/>
  <c r="D54" i="2"/>
  <c r="CG54" i="2" s="1"/>
  <c r="BP53" i="2"/>
  <c r="BD53" i="2"/>
  <c r="CB53" i="2" s="1"/>
  <c r="AP53" i="2"/>
  <c r="BX53" i="2" s="1"/>
  <c r="AF53" i="2"/>
  <c r="AA53" i="2"/>
  <c r="BT53" i="2" s="1"/>
  <c r="T53" i="2"/>
  <c r="Q53" i="2"/>
  <c r="M53" i="2"/>
  <c r="BI53" i="2" s="1"/>
  <c r="K53" i="2"/>
  <c r="G53" i="2"/>
  <c r="F53" i="2"/>
  <c r="E53" i="2"/>
  <c r="D53" i="2"/>
  <c r="CG53" i="2" s="1"/>
  <c r="BP52" i="2"/>
  <c r="BD52" i="2"/>
  <c r="CB52" i="2" s="1"/>
  <c r="AP52" i="2"/>
  <c r="BX52" i="2" s="1"/>
  <c r="AF52" i="2"/>
  <c r="AA52" i="2"/>
  <c r="BT52" i="2" s="1"/>
  <c r="T52" i="2"/>
  <c r="Q52" i="2"/>
  <c r="M52" i="2"/>
  <c r="BI52" i="2" s="1"/>
  <c r="K52" i="2"/>
  <c r="G52" i="2"/>
  <c r="F52" i="2"/>
  <c r="E52" i="2"/>
  <c r="D52" i="2"/>
  <c r="CG52" i="2" s="1"/>
  <c r="BP51" i="2"/>
  <c r="BD51" i="2"/>
  <c r="CB51" i="2" s="1"/>
  <c r="AP51" i="2"/>
  <c r="BX51" i="2" s="1"/>
  <c r="AF51" i="2"/>
  <c r="AA51" i="2"/>
  <c r="BT51" i="2" s="1"/>
  <c r="T51" i="2"/>
  <c r="Q51" i="2"/>
  <c r="M51" i="2"/>
  <c r="BI51" i="2" s="1"/>
  <c r="K51" i="2"/>
  <c r="G51" i="2"/>
  <c r="F51" i="2"/>
  <c r="E51" i="2"/>
  <c r="D51" i="2"/>
  <c r="CG51" i="2" s="1"/>
  <c r="BP50" i="2"/>
  <c r="BD50" i="2"/>
  <c r="CB50" i="2" s="1"/>
  <c r="AP50" i="2"/>
  <c r="BX50" i="2" s="1"/>
  <c r="AF50" i="2"/>
  <c r="AA50" i="2"/>
  <c r="BT50" i="2" s="1"/>
  <c r="T50" i="2"/>
  <c r="Q50" i="2"/>
  <c r="M50" i="2"/>
  <c r="BI50" i="2" s="1"/>
  <c r="K50" i="2"/>
  <c r="G50" i="2"/>
  <c r="F50" i="2"/>
  <c r="E50" i="2"/>
  <c r="D50" i="2"/>
  <c r="CG50" i="2" s="1"/>
  <c r="BP49" i="2"/>
  <c r="BD49" i="2"/>
  <c r="CB49" i="2" s="1"/>
  <c r="AP49" i="2"/>
  <c r="BX49" i="2" s="1"/>
  <c r="AF49" i="2"/>
  <c r="AA49" i="2"/>
  <c r="BT49" i="2" s="1"/>
  <c r="T49" i="2"/>
  <c r="Q49" i="2"/>
  <c r="M49" i="2"/>
  <c r="BI49" i="2" s="1"/>
  <c r="K49" i="2"/>
  <c r="G49" i="2"/>
  <c r="F49" i="2"/>
  <c r="E49" i="2"/>
  <c r="D49" i="2"/>
  <c r="CG49" i="2" s="1"/>
  <c r="BP48" i="2"/>
  <c r="BD48" i="2"/>
  <c r="CB48" i="2" s="1"/>
  <c r="AP48" i="2"/>
  <c r="BX48" i="2" s="1"/>
  <c r="AF48" i="2"/>
  <c r="AA48" i="2"/>
  <c r="BT48" i="2" s="1"/>
  <c r="T48" i="2"/>
  <c r="Q48" i="2"/>
  <c r="M48" i="2"/>
  <c r="BI48" i="2" s="1"/>
  <c r="K48" i="2"/>
  <c r="G48" i="2"/>
  <c r="F48" i="2"/>
  <c r="E48" i="2"/>
  <c r="D48" i="2"/>
  <c r="CG48" i="2" s="1"/>
  <c r="BP47" i="2"/>
  <c r="BD47" i="2"/>
  <c r="CB47" i="2" s="1"/>
  <c r="AP47" i="2"/>
  <c r="BX47" i="2" s="1"/>
  <c r="AF47" i="2"/>
  <c r="AA47" i="2"/>
  <c r="BT47" i="2" s="1"/>
  <c r="T47" i="2"/>
  <c r="Q47" i="2"/>
  <c r="M47" i="2"/>
  <c r="BI47" i="2" s="1"/>
  <c r="K47" i="2"/>
  <c r="G47" i="2"/>
  <c r="F47" i="2"/>
  <c r="E47" i="2"/>
  <c r="D47" i="2"/>
  <c r="CG47" i="2" s="1"/>
  <c r="BP46" i="2"/>
  <c r="BD46" i="2"/>
  <c r="CB46" i="2" s="1"/>
  <c r="AP46" i="2"/>
  <c r="BX46" i="2" s="1"/>
  <c r="AF46" i="2"/>
  <c r="AA46" i="2"/>
  <c r="BT46" i="2" s="1"/>
  <c r="T46" i="2"/>
  <c r="Q46" i="2"/>
  <c r="M46" i="2"/>
  <c r="BI46" i="2" s="1"/>
  <c r="K46" i="2"/>
  <c r="G46" i="2"/>
  <c r="F46" i="2"/>
  <c r="E46" i="2"/>
  <c r="D46" i="2"/>
  <c r="CG46" i="2" s="1"/>
  <c r="CF45" i="2"/>
  <c r="BK45" i="2"/>
  <c r="BD45" i="2"/>
  <c r="CB45" i="2" s="1"/>
  <c r="AP45" i="2"/>
  <c r="BX45" i="2" s="1"/>
  <c r="AF45" i="2"/>
  <c r="AA45" i="2"/>
  <c r="BT45" i="2" s="1"/>
  <c r="M45" i="2"/>
  <c r="L45" i="2"/>
  <c r="K45" i="2"/>
  <c r="CF44" i="2"/>
  <c r="BK44" i="2"/>
  <c r="BD44" i="2"/>
  <c r="CB44" i="2" s="1"/>
  <c r="AP44" i="2"/>
  <c r="BX44" i="2" s="1"/>
  <c r="AF44" i="2"/>
  <c r="AA44" i="2"/>
  <c r="BT44" i="2" s="1"/>
  <c r="M44" i="2"/>
  <c r="L44" i="2"/>
  <c r="K44" i="2"/>
  <c r="CF43" i="2"/>
  <c r="BK43" i="2"/>
  <c r="BD43" i="2"/>
  <c r="CB43" i="2" s="1"/>
  <c r="AP43" i="2"/>
  <c r="BX43" i="2" s="1"/>
  <c r="AF43" i="2"/>
  <c r="AA43" i="2"/>
  <c r="BT43" i="2" s="1"/>
  <c r="M43" i="2"/>
  <c r="L43" i="2"/>
  <c r="K43" i="2"/>
  <c r="CF42" i="2"/>
  <c r="BK42" i="2"/>
  <c r="BD42" i="2"/>
  <c r="CB42" i="2" s="1"/>
  <c r="AP42" i="2"/>
  <c r="BX42" i="2" s="1"/>
  <c r="AF42" i="2"/>
  <c r="AA42" i="2"/>
  <c r="BT42" i="2" s="1"/>
  <c r="M42" i="2"/>
  <c r="L42" i="2"/>
  <c r="K42" i="2"/>
  <c r="CF41" i="2"/>
  <c r="BK41" i="2"/>
  <c r="BD41" i="2"/>
  <c r="CB41" i="2" s="1"/>
  <c r="AP41" i="2"/>
  <c r="BX41" i="2" s="1"/>
  <c r="AF41" i="2"/>
  <c r="AA41" i="2"/>
  <c r="BT41" i="2" s="1"/>
  <c r="M41" i="2"/>
  <c r="L41" i="2"/>
  <c r="K41" i="2"/>
  <c r="CF40" i="2"/>
  <c r="BK40" i="2"/>
  <c r="BD40" i="2"/>
  <c r="CB40" i="2" s="1"/>
  <c r="AP40" i="2"/>
  <c r="BX40" i="2" s="1"/>
  <c r="AF40" i="2"/>
  <c r="AA40" i="2"/>
  <c r="BT40" i="2" s="1"/>
  <c r="M40" i="2"/>
  <c r="L40" i="2"/>
  <c r="K40" i="2"/>
  <c r="CF39" i="2"/>
  <c r="BK39" i="2"/>
  <c r="BD39" i="2"/>
  <c r="CB39" i="2" s="1"/>
  <c r="AP39" i="2"/>
  <c r="BX39" i="2" s="1"/>
  <c r="AF39" i="2"/>
  <c r="AA39" i="2"/>
  <c r="BT39" i="2" s="1"/>
  <c r="M39" i="2"/>
  <c r="L39" i="2"/>
  <c r="K39" i="2"/>
  <c r="CF38" i="2"/>
  <c r="BK38" i="2"/>
  <c r="BD38" i="2"/>
  <c r="CB38" i="2" s="1"/>
  <c r="AP38" i="2"/>
  <c r="BX38" i="2" s="1"/>
  <c r="AF38" i="2"/>
  <c r="AA38" i="2"/>
  <c r="BT38" i="2" s="1"/>
  <c r="M38" i="2"/>
  <c r="L38" i="2"/>
  <c r="K38" i="2"/>
  <c r="CF37" i="2"/>
  <c r="BK37" i="2"/>
  <c r="BD37" i="2"/>
  <c r="CB37" i="2" s="1"/>
  <c r="AP37" i="2"/>
  <c r="BX37" i="2" s="1"/>
  <c r="AF37" i="2"/>
  <c r="AA37" i="2"/>
  <c r="BT37" i="2" s="1"/>
  <c r="M37" i="2"/>
  <c r="L37" i="2"/>
  <c r="K37" i="2"/>
  <c r="CF36" i="2"/>
  <c r="BK36" i="2"/>
  <c r="BD36" i="2"/>
  <c r="CB36" i="2" s="1"/>
  <c r="AP36" i="2"/>
  <c r="BX36" i="2" s="1"/>
  <c r="AF36" i="2"/>
  <c r="AA36" i="2"/>
  <c r="BT36" i="2" s="1"/>
  <c r="M36" i="2"/>
  <c r="L36" i="2"/>
  <c r="K36" i="2"/>
  <c r="CF35" i="2"/>
  <c r="BK35" i="2"/>
  <c r="BD35" i="2"/>
  <c r="CB35" i="2" s="1"/>
  <c r="AP35" i="2"/>
  <c r="BX35" i="2" s="1"/>
  <c r="AF35" i="2"/>
  <c r="AA35" i="2"/>
  <c r="BT35" i="2" s="1"/>
  <c r="M35" i="2"/>
  <c r="L35" i="2"/>
  <c r="K35" i="2"/>
  <c r="CF34" i="2"/>
  <c r="BK34" i="2"/>
  <c r="BD34" i="2"/>
  <c r="CB34" i="2" s="1"/>
  <c r="AP34" i="2"/>
  <c r="BX34" i="2" s="1"/>
  <c r="AF34" i="2"/>
  <c r="AA34" i="2"/>
  <c r="BT34" i="2" s="1"/>
  <c r="M34" i="2"/>
  <c r="L34" i="2"/>
  <c r="K34" i="2"/>
  <c r="CF33" i="2"/>
  <c r="BK33" i="2"/>
  <c r="BD33" i="2"/>
  <c r="CB33" i="2" s="1"/>
  <c r="AP33" i="2"/>
  <c r="BX33" i="2" s="1"/>
  <c r="AF33" i="2"/>
  <c r="AA33" i="2"/>
  <c r="BT33" i="2" s="1"/>
  <c r="M33" i="2"/>
  <c r="L33" i="2"/>
  <c r="K33" i="2"/>
  <c r="CF32" i="2"/>
  <c r="BK32" i="2"/>
  <c r="M32" i="2"/>
  <c r="L32" i="2"/>
  <c r="K32" i="2"/>
  <c r="CF31" i="2"/>
  <c r="BK31" i="2"/>
  <c r="BD31" i="2"/>
  <c r="CB31" i="2" s="1"/>
  <c r="AP31" i="2"/>
  <c r="BX31" i="2" s="1"/>
  <c r="AF31" i="2"/>
  <c r="AA31" i="2"/>
  <c r="BT31" i="2" s="1"/>
  <c r="M31" i="2"/>
  <c r="L31" i="2"/>
  <c r="K31" i="2"/>
  <c r="CF30" i="2"/>
  <c r="BK30" i="2"/>
  <c r="BD30" i="2"/>
  <c r="CB30" i="2" s="1"/>
  <c r="AP30" i="2"/>
  <c r="BX30" i="2" s="1"/>
  <c r="AF30" i="2"/>
  <c r="AA30" i="2"/>
  <c r="BT30" i="2" s="1"/>
  <c r="M30" i="2"/>
  <c r="L30" i="2"/>
  <c r="K30" i="2"/>
  <c r="CF29" i="2"/>
  <c r="BK29" i="2"/>
  <c r="M29" i="2"/>
  <c r="L29" i="2"/>
  <c r="K29" i="2"/>
  <c r="CF28" i="2"/>
  <c r="BK28" i="2"/>
  <c r="BD28" i="2"/>
  <c r="CB28" i="2" s="1"/>
  <c r="AP28" i="2"/>
  <c r="BX28" i="2" s="1"/>
  <c r="AF28" i="2"/>
  <c r="AA28" i="2"/>
  <c r="BT28" i="2" s="1"/>
  <c r="M28" i="2"/>
  <c r="L28" i="2"/>
  <c r="K28" i="2"/>
  <c r="CF27" i="2"/>
  <c r="BK27" i="2"/>
  <c r="BD27" i="2"/>
  <c r="CB27" i="2" s="1"/>
  <c r="AP27" i="2"/>
  <c r="BX27" i="2" s="1"/>
  <c r="AF27" i="2"/>
  <c r="AA27" i="2"/>
  <c r="BT27" i="2" s="1"/>
  <c r="M27" i="2"/>
  <c r="L27" i="2"/>
  <c r="K27" i="2"/>
  <c r="CF26" i="2"/>
  <c r="BK26" i="2"/>
  <c r="BD26" i="2"/>
  <c r="CB26" i="2" s="1"/>
  <c r="AP26" i="2"/>
  <c r="BX26" i="2" s="1"/>
  <c r="AF26" i="2"/>
  <c r="AA26" i="2"/>
  <c r="BT26" i="2" s="1"/>
  <c r="M26" i="2"/>
  <c r="L26" i="2"/>
  <c r="K26" i="2"/>
  <c r="CF25" i="2"/>
  <c r="BK25" i="2"/>
  <c r="BD25" i="2"/>
  <c r="CB25" i="2" s="1"/>
  <c r="AP25" i="2"/>
  <c r="BX25" i="2" s="1"/>
  <c r="AF25" i="2"/>
  <c r="AA25" i="2"/>
  <c r="BT25" i="2" s="1"/>
  <c r="M25" i="2"/>
  <c r="L25" i="2"/>
  <c r="K25" i="2"/>
  <c r="CF24" i="2"/>
  <c r="BK24" i="2"/>
  <c r="BD24" i="2"/>
  <c r="CB24" i="2" s="1"/>
  <c r="AP24" i="2"/>
  <c r="BX24" i="2" s="1"/>
  <c r="AF24" i="2"/>
  <c r="AA24" i="2"/>
  <c r="BT24" i="2" s="1"/>
  <c r="M24" i="2"/>
  <c r="L24" i="2"/>
  <c r="K24" i="2"/>
  <c r="CF23" i="2"/>
  <c r="BK23" i="2"/>
  <c r="BD23" i="2"/>
  <c r="CB23" i="2" s="1"/>
  <c r="AP23" i="2"/>
  <c r="BX23" i="2" s="1"/>
  <c r="AF23" i="2"/>
  <c r="AA23" i="2"/>
  <c r="BT23" i="2" s="1"/>
  <c r="M23" i="2"/>
  <c r="L23" i="2"/>
  <c r="K23" i="2"/>
  <c r="CF22" i="2"/>
  <c r="BK22" i="2"/>
  <c r="BD22" i="2"/>
  <c r="CB22" i="2" s="1"/>
  <c r="AP22" i="2"/>
  <c r="BX22" i="2" s="1"/>
  <c r="AF22" i="2"/>
  <c r="AA22" i="2"/>
  <c r="BT22" i="2" s="1"/>
  <c r="M22" i="2"/>
  <c r="L22" i="2"/>
  <c r="K22" i="2"/>
  <c r="CF21" i="2"/>
  <c r="BK21" i="2"/>
  <c r="M21" i="2"/>
  <c r="L21" i="2"/>
  <c r="K21" i="2"/>
  <c r="CF20" i="2"/>
  <c r="BK20" i="2"/>
  <c r="BD20" i="2"/>
  <c r="CB20" i="2" s="1"/>
  <c r="AP20" i="2"/>
  <c r="BX20" i="2" s="1"/>
  <c r="AF20" i="2"/>
  <c r="AA20" i="2"/>
  <c r="BT20" i="2" s="1"/>
  <c r="M20" i="2"/>
  <c r="L20" i="2"/>
  <c r="K20" i="2"/>
  <c r="CF19" i="2"/>
  <c r="BK19" i="2"/>
  <c r="BD19" i="2"/>
  <c r="CB19" i="2" s="1"/>
  <c r="AP19" i="2"/>
  <c r="BX19" i="2" s="1"/>
  <c r="AF19" i="2"/>
  <c r="AA19" i="2"/>
  <c r="BT19" i="2" s="1"/>
  <c r="M19" i="2"/>
  <c r="L19" i="2"/>
  <c r="K19" i="2"/>
  <c r="CF18" i="2"/>
  <c r="BK18" i="2"/>
  <c r="BD18" i="2"/>
  <c r="CB18" i="2" s="1"/>
  <c r="AP18" i="2"/>
  <c r="BX18" i="2" s="1"/>
  <c r="AF18" i="2"/>
  <c r="AA18" i="2"/>
  <c r="BT18" i="2" s="1"/>
  <c r="M18" i="2"/>
  <c r="L18" i="2"/>
  <c r="K18" i="2"/>
  <c r="CF17" i="2"/>
  <c r="BK17" i="2"/>
  <c r="BD17" i="2"/>
  <c r="CB17" i="2" s="1"/>
  <c r="AP17" i="2"/>
  <c r="BX17" i="2" s="1"/>
  <c r="AF17" i="2"/>
  <c r="AA17" i="2"/>
  <c r="BT17" i="2" s="1"/>
  <c r="M17" i="2"/>
  <c r="L17" i="2"/>
  <c r="K17" i="2"/>
  <c r="CF16" i="2"/>
  <c r="BK16" i="2"/>
  <c r="BD16" i="2"/>
  <c r="CB16" i="2" s="1"/>
  <c r="AP16" i="2"/>
  <c r="BX16" i="2" s="1"/>
  <c r="AF16" i="2"/>
  <c r="AA16" i="2"/>
  <c r="BT16" i="2" s="1"/>
  <c r="M16" i="2"/>
  <c r="L16" i="2"/>
  <c r="K16" i="2"/>
  <c r="CF15" i="2"/>
  <c r="BK15" i="2"/>
  <c r="BD15" i="2"/>
  <c r="CB15" i="2" s="1"/>
  <c r="AP15" i="2"/>
  <c r="BX15" i="2" s="1"/>
  <c r="AF15" i="2"/>
  <c r="AA15" i="2"/>
  <c r="BT15" i="2" s="1"/>
  <c r="M15" i="2"/>
  <c r="L15" i="2"/>
  <c r="K15" i="2"/>
  <c r="CF14" i="2"/>
  <c r="BK14" i="2"/>
  <c r="BD14" i="2"/>
  <c r="CB14" i="2" s="1"/>
  <c r="AP14" i="2"/>
  <c r="BX14" i="2" s="1"/>
  <c r="AF14" i="2"/>
  <c r="AA14" i="2"/>
  <c r="BT14" i="2" s="1"/>
  <c r="M14" i="2"/>
  <c r="L14" i="2"/>
  <c r="K14" i="2"/>
  <c r="CF13" i="2"/>
  <c r="BK13" i="2"/>
  <c r="M13" i="2"/>
  <c r="L13" i="2"/>
  <c r="K13" i="2"/>
  <c r="CF12" i="2"/>
  <c r="BK12" i="2"/>
  <c r="BD12" i="2"/>
  <c r="CB12" i="2" s="1"/>
  <c r="AP12" i="2"/>
  <c r="BX12" i="2" s="1"/>
  <c r="AF12" i="2"/>
  <c r="AA12" i="2"/>
  <c r="BT12" i="2" s="1"/>
  <c r="M12" i="2"/>
  <c r="L12" i="2"/>
  <c r="K12" i="2"/>
  <c r="CF11" i="2"/>
  <c r="BK11" i="2"/>
  <c r="BD11" i="2"/>
  <c r="CB11" i="2" s="1"/>
  <c r="AP11" i="2"/>
  <c r="BX11" i="2" s="1"/>
  <c r="AF11" i="2"/>
  <c r="AA11" i="2"/>
  <c r="BT11" i="2" s="1"/>
  <c r="M11" i="2"/>
  <c r="L11" i="2"/>
  <c r="K11" i="2"/>
  <c r="CF10" i="2"/>
  <c r="BK10" i="2"/>
  <c r="BD10" i="2"/>
  <c r="CB10" i="2" s="1"/>
  <c r="AP10" i="2"/>
  <c r="BX10" i="2" s="1"/>
  <c r="AF10" i="2"/>
  <c r="AA10" i="2"/>
  <c r="BT10" i="2" s="1"/>
  <c r="M10" i="2"/>
  <c r="L10" i="2"/>
  <c r="K10" i="2"/>
  <c r="CF9" i="2"/>
  <c r="BK9" i="2"/>
  <c r="BD9" i="2"/>
  <c r="CB9" i="2" s="1"/>
  <c r="AP9" i="2"/>
  <c r="BX9" i="2" s="1"/>
  <c r="AF9" i="2"/>
  <c r="AA9" i="2"/>
  <c r="BT9" i="2" s="1"/>
  <c r="M9" i="2"/>
  <c r="L9" i="2"/>
  <c r="K9" i="2"/>
  <c r="CF8" i="2"/>
  <c r="BK8" i="2"/>
  <c r="BD8" i="2"/>
  <c r="CB8" i="2" s="1"/>
  <c r="AP8" i="2"/>
  <c r="BX8" i="2" s="1"/>
  <c r="AF8" i="2"/>
  <c r="AA8" i="2"/>
  <c r="BT8" i="2" s="1"/>
  <c r="M8" i="2"/>
  <c r="L8" i="2"/>
  <c r="K8" i="2"/>
  <c r="CF7" i="2"/>
  <c r="BK7" i="2"/>
  <c r="BD7" i="2"/>
  <c r="CB7" i="2" s="1"/>
  <c r="AP7" i="2"/>
  <c r="BX7" i="2" s="1"/>
  <c r="AA7" i="2"/>
  <c r="BT7" i="2" s="1"/>
  <c r="M7" i="2"/>
  <c r="L7" i="2"/>
  <c r="K7" i="2"/>
  <c r="CF6" i="2"/>
  <c r="BK6" i="2"/>
  <c r="BD6" i="2"/>
  <c r="CB6" i="2" s="1"/>
  <c r="AP6" i="2"/>
  <c r="BX6" i="2" s="1"/>
  <c r="AF6" i="2"/>
  <c r="AA6" i="2"/>
  <c r="BT6" i="2" s="1"/>
  <c r="M6" i="2"/>
  <c r="L6" i="2"/>
  <c r="K6" i="2"/>
  <c r="CF5" i="2"/>
  <c r="BK5" i="2"/>
  <c r="BD5" i="2"/>
  <c r="CB5" i="2" s="1"/>
  <c r="AP5" i="2"/>
  <c r="BX5" i="2" s="1"/>
  <c r="AF5" i="2"/>
  <c r="AA5" i="2"/>
  <c r="BT5" i="2" s="1"/>
  <c r="M5" i="2"/>
  <c r="L5" i="2"/>
  <c r="K5" i="2"/>
  <c r="CF4" i="2"/>
  <c r="BK4" i="2"/>
  <c r="BD4" i="2"/>
  <c r="CB4" i="2" s="1"/>
  <c r="AP4" i="2"/>
  <c r="BX4" i="2" s="1"/>
  <c r="AF4" i="2"/>
  <c r="AA4" i="2"/>
  <c r="BT4" i="2" s="1"/>
  <c r="M4" i="2"/>
  <c r="L4" i="2"/>
  <c r="K4" i="2"/>
  <c r="CF3" i="2"/>
  <c r="BK3" i="2"/>
  <c r="BD3" i="2"/>
  <c r="CB3" i="2" s="1"/>
  <c r="AP3" i="2"/>
  <c r="BX3" i="2" s="1"/>
  <c r="AF3" i="2"/>
  <c r="AA3" i="2"/>
  <c r="BT3" i="2" s="1"/>
  <c r="M3" i="2"/>
  <c r="L3" i="2"/>
  <c r="K3" i="2"/>
  <c r="L23" i="1"/>
  <c r="K23" i="1"/>
  <c r="J23" i="1"/>
  <c r="O20" i="1"/>
  <c r="N20" i="1"/>
  <c r="O18" i="1"/>
  <c r="N18" i="1"/>
  <c r="M18" i="1"/>
  <c r="M17" i="1"/>
  <c r="O16" i="1"/>
  <c r="N16" i="1"/>
  <c r="M16" i="1"/>
  <c r="O14" i="1"/>
  <c r="N14" i="1"/>
  <c r="B5" i="1"/>
  <c r="C2" i="1"/>
  <c r="W3" i="2" l="1"/>
  <c r="O3" i="2"/>
  <c r="CC3" i="2" s="1"/>
  <c r="N3" i="2"/>
  <c r="CE3" i="2"/>
  <c r="BM3" i="2"/>
  <c r="CD3" i="2" s="1"/>
  <c r="W4" i="2"/>
  <c r="O4" i="2"/>
  <c r="CC4" i="2" s="1"/>
  <c r="N4" i="2"/>
  <c r="CE4" i="2"/>
  <c r="BM4" i="2"/>
  <c r="CD4" i="2" s="1"/>
  <c r="W5" i="2"/>
  <c r="O5" i="2"/>
  <c r="CC5" i="2" s="1"/>
  <c r="N5" i="2"/>
  <c r="CE5" i="2"/>
  <c r="BM5" i="2"/>
  <c r="CD5" i="2" s="1"/>
  <c r="W6" i="2"/>
  <c r="O6" i="2"/>
  <c r="CC6" i="2" s="1"/>
  <c r="N6" i="2"/>
  <c r="CE6" i="2"/>
  <c r="BM6" i="2"/>
  <c r="CD6" i="2" s="1"/>
  <c r="W7" i="2"/>
  <c r="O7" i="2"/>
  <c r="CC7" i="2" s="1"/>
  <c r="N7" i="2"/>
  <c r="CE7" i="2"/>
  <c r="BM7" i="2"/>
  <c r="CD7" i="2" s="1"/>
  <c r="W8" i="2"/>
  <c r="O8" i="2"/>
  <c r="CC8" i="2" s="1"/>
  <c r="N8" i="2"/>
  <c r="CE8" i="2"/>
  <c r="BM8" i="2"/>
  <c r="CD8" i="2" s="1"/>
  <c r="W9" i="2"/>
  <c r="O9" i="2"/>
  <c r="CC9" i="2" s="1"/>
  <c r="N9" i="2"/>
  <c r="CE9" i="2"/>
  <c r="BM9" i="2"/>
  <c r="CD9" i="2" s="1"/>
  <c r="W10" i="2"/>
  <c r="O10" i="2"/>
  <c r="CC10" i="2" s="1"/>
  <c r="N10" i="2"/>
  <c r="CE10" i="2"/>
  <c r="BM10" i="2"/>
  <c r="CD10" i="2" s="1"/>
  <c r="W11" i="2"/>
  <c r="O11" i="2"/>
  <c r="CC11" i="2" s="1"/>
  <c r="N11" i="2"/>
  <c r="CE11" i="2"/>
  <c r="BM11" i="2"/>
  <c r="CD11" i="2" s="1"/>
  <c r="W12" i="2"/>
  <c r="O12" i="2"/>
  <c r="CC12" i="2" s="1"/>
  <c r="N12" i="2"/>
  <c r="CE12" i="2"/>
  <c r="BM12" i="2"/>
  <c r="CD12" i="2" s="1"/>
  <c r="W13" i="2"/>
  <c r="O13" i="2"/>
  <c r="CC13" i="2" s="1"/>
  <c r="N13" i="2"/>
  <c r="CE13" i="2"/>
  <c r="BM13" i="2"/>
  <c r="CD13" i="2" s="1"/>
  <c r="W14" i="2"/>
  <c r="O14" i="2"/>
  <c r="CC14" i="2" s="1"/>
  <c r="N14" i="2"/>
  <c r="CE14" i="2"/>
  <c r="BM14" i="2"/>
  <c r="CD14" i="2" s="1"/>
  <c r="W15" i="2"/>
  <c r="O15" i="2"/>
  <c r="CC15" i="2" s="1"/>
  <c r="N15" i="2"/>
  <c r="CE15" i="2"/>
  <c r="BM15" i="2"/>
  <c r="CD15" i="2" s="1"/>
  <c r="W16" i="2"/>
  <c r="O16" i="2"/>
  <c r="CC16" i="2" s="1"/>
  <c r="N16" i="2"/>
  <c r="CE16" i="2"/>
  <c r="BM16" i="2"/>
  <c r="CD16" i="2" s="1"/>
  <c r="W17" i="2"/>
  <c r="O17" i="2"/>
  <c r="CC17" i="2" s="1"/>
  <c r="N17" i="2"/>
  <c r="CE17" i="2"/>
  <c r="BM17" i="2"/>
  <c r="CD17" i="2" s="1"/>
  <c r="W18" i="2"/>
  <c r="O18" i="2"/>
  <c r="CC18" i="2" s="1"/>
  <c r="N18" i="2"/>
  <c r="CE18" i="2"/>
  <c r="BM18" i="2"/>
  <c r="CD18" i="2" s="1"/>
  <c r="W19" i="2"/>
  <c r="O19" i="2"/>
  <c r="CC19" i="2" s="1"/>
  <c r="N19" i="2"/>
  <c r="CE19" i="2"/>
  <c r="BM19" i="2"/>
  <c r="CD19" i="2" s="1"/>
  <c r="W20" i="2"/>
  <c r="O20" i="2"/>
  <c r="CC20" i="2" s="1"/>
  <c r="N20" i="2"/>
  <c r="CE20" i="2"/>
  <c r="BM20" i="2"/>
  <c r="CD20" i="2" s="1"/>
  <c r="W21" i="2"/>
  <c r="O21" i="2"/>
  <c r="CC21" i="2" s="1"/>
  <c r="N21" i="2"/>
  <c r="CE21" i="2"/>
  <c r="BM21" i="2"/>
  <c r="CD21" i="2" s="1"/>
  <c r="W22" i="2"/>
  <c r="O22" i="2"/>
  <c r="CC22" i="2" s="1"/>
  <c r="N22" i="2"/>
  <c r="CE22" i="2"/>
  <c r="BM22" i="2"/>
  <c r="CD22" i="2" s="1"/>
  <c r="W23" i="2"/>
  <c r="O23" i="2"/>
  <c r="CC23" i="2" s="1"/>
  <c r="N23" i="2"/>
  <c r="CE23" i="2"/>
  <c r="BM23" i="2"/>
  <c r="CD23" i="2" s="1"/>
  <c r="W24" i="2"/>
  <c r="O24" i="2"/>
  <c r="CC24" i="2" s="1"/>
  <c r="N24" i="2"/>
  <c r="CE24" i="2"/>
  <c r="BM24" i="2"/>
  <c r="CD24" i="2" s="1"/>
  <c r="W25" i="2"/>
  <c r="O25" i="2"/>
  <c r="CC25" i="2" s="1"/>
  <c r="N25" i="2"/>
  <c r="CE25" i="2"/>
  <c r="BM25" i="2"/>
  <c r="CD25" i="2" s="1"/>
  <c r="W26" i="2"/>
  <c r="O26" i="2"/>
  <c r="CC26" i="2" s="1"/>
  <c r="N26" i="2"/>
  <c r="CE26" i="2"/>
  <c r="BM26" i="2"/>
  <c r="CD26" i="2" s="1"/>
  <c r="W27" i="2"/>
  <c r="O27" i="2"/>
  <c r="CC27" i="2" s="1"/>
  <c r="N27" i="2"/>
  <c r="CE27" i="2"/>
  <c r="BM27" i="2"/>
  <c r="CD27" i="2" s="1"/>
  <c r="W28" i="2"/>
  <c r="O28" i="2"/>
  <c r="CC28" i="2" s="1"/>
  <c r="N28" i="2"/>
  <c r="CE28" i="2"/>
  <c r="BM28" i="2"/>
  <c r="CD28" i="2" s="1"/>
  <c r="W29" i="2"/>
  <c r="O29" i="2"/>
  <c r="CC29" i="2" s="1"/>
  <c r="N29" i="2"/>
  <c r="CE29" i="2"/>
  <c r="BM29" i="2"/>
  <c r="CD29" i="2" s="1"/>
  <c r="W30" i="2"/>
  <c r="O30" i="2"/>
  <c r="CC30" i="2" s="1"/>
  <c r="N30" i="2"/>
  <c r="CE30" i="2"/>
  <c r="BM30" i="2"/>
  <c r="CD30" i="2" s="1"/>
  <c r="W31" i="2"/>
  <c r="O31" i="2"/>
  <c r="CC31" i="2" s="1"/>
  <c r="N31" i="2"/>
  <c r="CE31" i="2"/>
  <c r="BM31" i="2"/>
  <c r="CD31" i="2" s="1"/>
  <c r="W32" i="2"/>
  <c r="O32" i="2"/>
  <c r="CC32" i="2" s="1"/>
  <c r="N32" i="2"/>
  <c r="CE32" i="2"/>
  <c r="BM32" i="2"/>
  <c r="CD32" i="2" s="1"/>
  <c r="W33" i="2"/>
  <c r="O33" i="2"/>
  <c r="CC33" i="2" s="1"/>
  <c r="N33" i="2"/>
  <c r="CE33" i="2"/>
  <c r="BM33" i="2"/>
  <c r="CD33" i="2" s="1"/>
  <c r="W34" i="2"/>
  <c r="O34" i="2"/>
  <c r="CC34" i="2" s="1"/>
  <c r="N34" i="2"/>
  <c r="CE34" i="2"/>
  <c r="BM34" i="2"/>
  <c r="CD34" i="2" s="1"/>
  <c r="W35" i="2"/>
  <c r="O35" i="2"/>
  <c r="CC35" i="2" s="1"/>
  <c r="N35" i="2"/>
  <c r="CE35" i="2"/>
  <c r="BM35" i="2"/>
  <c r="CD35" i="2" s="1"/>
  <c r="W36" i="2"/>
  <c r="O36" i="2"/>
  <c r="CC36" i="2" s="1"/>
  <c r="N36" i="2"/>
  <c r="CE36" i="2"/>
  <c r="BM36" i="2"/>
  <c r="CD36" i="2" s="1"/>
  <c r="W37" i="2"/>
  <c r="O37" i="2"/>
  <c r="CC37" i="2" s="1"/>
  <c r="N37" i="2"/>
  <c r="CE37" i="2"/>
  <c r="BM37" i="2"/>
  <c r="CD37" i="2" s="1"/>
  <c r="W38" i="2"/>
  <c r="O38" i="2"/>
  <c r="CC38" i="2" s="1"/>
  <c r="N38" i="2"/>
  <c r="CE38" i="2"/>
  <c r="BM38" i="2"/>
  <c r="CD38" i="2" s="1"/>
  <c r="W39" i="2"/>
  <c r="O39" i="2"/>
  <c r="CC39" i="2" s="1"/>
  <c r="N39" i="2"/>
  <c r="CE39" i="2"/>
  <c r="BM39" i="2"/>
  <c r="CD39" i="2" s="1"/>
  <c r="W40" i="2"/>
  <c r="O40" i="2"/>
  <c r="CC40" i="2" s="1"/>
  <c r="N40" i="2"/>
  <c r="CE40" i="2"/>
  <c r="BM40" i="2"/>
  <c r="CD40" i="2" s="1"/>
  <c r="W41" i="2"/>
  <c r="O41" i="2"/>
  <c r="CC41" i="2" s="1"/>
  <c r="N41" i="2"/>
  <c r="CE41" i="2"/>
  <c r="BM41" i="2"/>
  <c r="CD41" i="2" s="1"/>
  <c r="W42" i="2"/>
  <c r="O42" i="2"/>
  <c r="CC42" i="2" s="1"/>
  <c r="N42" i="2"/>
  <c r="CE42" i="2"/>
  <c r="BM42" i="2"/>
  <c r="CD42" i="2" s="1"/>
  <c r="W43" i="2"/>
  <c r="O43" i="2"/>
  <c r="CC43" i="2" s="1"/>
  <c r="N43" i="2"/>
  <c r="CE43" i="2"/>
  <c r="BM43" i="2"/>
  <c r="CD43" i="2" s="1"/>
  <c r="W44" i="2"/>
  <c r="O44" i="2"/>
  <c r="CC44" i="2" s="1"/>
  <c r="N44" i="2"/>
  <c r="CE44" i="2"/>
  <c r="BM44" i="2"/>
  <c r="CD44" i="2" s="1"/>
  <c r="W45" i="2"/>
  <c r="O45" i="2"/>
  <c r="CC45" i="2" s="1"/>
  <c r="N45" i="2"/>
  <c r="CE45" i="2"/>
  <c r="BM45" i="2"/>
  <c r="CD45" i="2" s="1"/>
  <c r="W46" i="2"/>
  <c r="O46" i="2"/>
  <c r="CC46" i="2" s="1"/>
  <c r="N46" i="2"/>
  <c r="L46" i="2"/>
  <c r="CF46" i="2"/>
  <c r="BK46" i="2"/>
  <c r="BQ46" i="2"/>
  <c r="AU46" i="2"/>
  <c r="BY46" i="2" s="1"/>
  <c r="AG46" i="2"/>
  <c r="BU46" i="2" s="1"/>
  <c r="BR46" i="2"/>
  <c r="AX46" i="2"/>
  <c r="BZ46" i="2" s="1"/>
  <c r="AJ46" i="2"/>
  <c r="BV46" i="2" s="1"/>
  <c r="W47" i="2"/>
  <c r="O47" i="2"/>
  <c r="CC47" i="2" s="1"/>
  <c r="N47" i="2"/>
  <c r="L47" i="2"/>
  <c r="CF47" i="2"/>
  <c r="BK47" i="2"/>
  <c r="BQ47" i="2"/>
  <c r="AU47" i="2"/>
  <c r="BY47" i="2" s="1"/>
  <c r="AG47" i="2"/>
  <c r="BU47" i="2" s="1"/>
  <c r="BR47" i="2"/>
  <c r="AX47" i="2"/>
  <c r="BZ47" i="2" s="1"/>
  <c r="AJ47" i="2"/>
  <c r="BV47" i="2" s="1"/>
  <c r="W48" i="2"/>
  <c r="O48" i="2"/>
  <c r="CC48" i="2" s="1"/>
  <c r="N48" i="2"/>
  <c r="L48" i="2"/>
  <c r="CF48" i="2"/>
  <c r="BK48" i="2"/>
  <c r="BQ48" i="2"/>
  <c r="AU48" i="2"/>
  <c r="BY48" i="2" s="1"/>
  <c r="AG48" i="2"/>
  <c r="BU48" i="2" s="1"/>
  <c r="BR48" i="2"/>
  <c r="AX48" i="2"/>
  <c r="BZ48" i="2" s="1"/>
  <c r="AJ48" i="2"/>
  <c r="BV48" i="2" s="1"/>
  <c r="W49" i="2"/>
  <c r="O49" i="2"/>
  <c r="CC49" i="2" s="1"/>
  <c r="N49" i="2"/>
  <c r="L49" i="2"/>
  <c r="CF49" i="2"/>
  <c r="BK49" i="2"/>
  <c r="BQ49" i="2"/>
  <c r="AU49" i="2"/>
  <c r="BY49" i="2" s="1"/>
  <c r="AG49" i="2"/>
  <c r="BU49" i="2" s="1"/>
  <c r="BR49" i="2"/>
  <c r="AX49" i="2"/>
  <c r="BZ49" i="2" s="1"/>
  <c r="AJ49" i="2"/>
  <c r="BV49" i="2" s="1"/>
  <c r="W50" i="2"/>
  <c r="O50" i="2"/>
  <c r="CC50" i="2" s="1"/>
  <c r="N50" i="2"/>
  <c r="L50" i="2"/>
  <c r="CF50" i="2"/>
  <c r="BK50" i="2"/>
  <c r="BQ50" i="2"/>
  <c r="AU50" i="2"/>
  <c r="BY50" i="2" s="1"/>
  <c r="AG50" i="2"/>
  <c r="BU50" i="2" s="1"/>
  <c r="BR50" i="2"/>
  <c r="AX50" i="2"/>
  <c r="BZ50" i="2" s="1"/>
  <c r="AJ50" i="2"/>
  <c r="BV50" i="2" s="1"/>
  <c r="W51" i="2"/>
  <c r="O51" i="2"/>
  <c r="CC51" i="2" s="1"/>
  <c r="N51" i="2"/>
  <c r="L51" i="2"/>
  <c r="CF51" i="2"/>
  <c r="BK51" i="2"/>
  <c r="BQ51" i="2"/>
  <c r="AU51" i="2"/>
  <c r="BY51" i="2" s="1"/>
  <c r="AG51" i="2"/>
  <c r="BU51" i="2" s="1"/>
  <c r="BR51" i="2"/>
  <c r="AX51" i="2"/>
  <c r="BZ51" i="2" s="1"/>
  <c r="AJ51" i="2"/>
  <c r="BV51" i="2" s="1"/>
  <c r="W52" i="2"/>
  <c r="O52" i="2"/>
  <c r="CC52" i="2" s="1"/>
  <c r="N52" i="2"/>
  <c r="L52" i="2"/>
  <c r="CF52" i="2"/>
  <c r="BK52" i="2"/>
  <c r="BQ52" i="2"/>
  <c r="AU52" i="2"/>
  <c r="BY52" i="2" s="1"/>
  <c r="AG52" i="2"/>
  <c r="BU52" i="2" s="1"/>
  <c r="BR52" i="2"/>
  <c r="AX52" i="2"/>
  <c r="BZ52" i="2" s="1"/>
  <c r="AJ52" i="2"/>
  <c r="BV52" i="2" s="1"/>
  <c r="W53" i="2"/>
  <c r="O53" i="2"/>
  <c r="CC53" i="2" s="1"/>
  <c r="N53" i="2"/>
  <c r="L53" i="2"/>
  <c r="CF53" i="2"/>
  <c r="BK53" i="2"/>
  <c r="BQ53" i="2"/>
  <c r="AU53" i="2"/>
  <c r="BY53" i="2" s="1"/>
  <c r="AG53" i="2"/>
  <c r="BU53" i="2" s="1"/>
  <c r="BR53" i="2"/>
  <c r="AX53" i="2"/>
  <c r="BZ53" i="2" s="1"/>
  <c r="AJ53" i="2"/>
  <c r="BV53" i="2" s="1"/>
  <c r="W54" i="2"/>
  <c r="O54" i="2"/>
  <c r="CC54" i="2" s="1"/>
  <c r="N54" i="2"/>
  <c r="L54" i="2"/>
  <c r="CF54" i="2"/>
  <c r="BK54" i="2"/>
  <c r="BQ54" i="2"/>
  <c r="AU54" i="2"/>
  <c r="BY54" i="2" s="1"/>
  <c r="AG54" i="2"/>
  <c r="BU54" i="2" s="1"/>
  <c r="BR54" i="2"/>
  <c r="AX54" i="2"/>
  <c r="BZ54" i="2" s="1"/>
  <c r="AJ54" i="2"/>
  <c r="BV54" i="2" s="1"/>
  <c r="W55" i="2"/>
  <c r="O55" i="2"/>
  <c r="CC55" i="2" s="1"/>
  <c r="N55" i="2"/>
  <c r="L55" i="2"/>
  <c r="CF55" i="2"/>
  <c r="BK55" i="2"/>
  <c r="BQ55" i="2"/>
  <c r="AU55" i="2"/>
  <c r="BY55" i="2" s="1"/>
  <c r="AG55" i="2"/>
  <c r="BU55" i="2" s="1"/>
  <c r="BR55" i="2"/>
  <c r="AX55" i="2"/>
  <c r="BZ55" i="2" s="1"/>
  <c r="AJ55" i="2"/>
  <c r="BV55" i="2" s="1"/>
  <c r="W56" i="2"/>
  <c r="O56" i="2"/>
  <c r="CC56" i="2" s="1"/>
  <c r="N56" i="2"/>
  <c r="L56" i="2"/>
  <c r="CF56" i="2"/>
  <c r="BK56" i="2"/>
  <c r="BQ56" i="2"/>
  <c r="AU56" i="2"/>
  <c r="BY56" i="2" s="1"/>
  <c r="AG56" i="2"/>
  <c r="BU56" i="2" s="1"/>
  <c r="BR56" i="2"/>
  <c r="AX56" i="2"/>
  <c r="BZ56" i="2" s="1"/>
  <c r="AJ56" i="2"/>
  <c r="BV56" i="2" s="1"/>
  <c r="W57" i="2"/>
  <c r="O57" i="2"/>
  <c r="CC57" i="2" s="1"/>
  <c r="N57" i="2"/>
  <c r="L57" i="2"/>
  <c r="CF57" i="2"/>
  <c r="BK57" i="2"/>
  <c r="BQ57" i="2"/>
  <c r="AU57" i="2"/>
  <c r="BY57" i="2" s="1"/>
  <c r="AG57" i="2"/>
  <c r="BU57" i="2" s="1"/>
  <c r="BR57" i="2"/>
  <c r="AX57" i="2"/>
  <c r="BZ57" i="2" s="1"/>
  <c r="AJ57" i="2"/>
  <c r="BV57" i="2" s="1"/>
  <c r="W58" i="2"/>
  <c r="O58" i="2"/>
  <c r="CC58" i="2" s="1"/>
  <c r="N58" i="2"/>
  <c r="L58" i="2"/>
  <c r="CF58" i="2"/>
  <c r="BK58" i="2"/>
  <c r="BQ58" i="2"/>
  <c r="AU58" i="2"/>
  <c r="BY58" i="2" s="1"/>
  <c r="AG58" i="2"/>
  <c r="BU58" i="2" s="1"/>
  <c r="BR58" i="2"/>
  <c r="AX58" i="2"/>
  <c r="BZ58" i="2" s="1"/>
  <c r="AJ58" i="2"/>
  <c r="BV58" i="2" s="1"/>
  <c r="W59" i="2"/>
  <c r="O59" i="2"/>
  <c r="CC59" i="2" s="1"/>
  <c r="N59" i="2"/>
  <c r="L59" i="2"/>
  <c r="CF59" i="2"/>
  <c r="BK59" i="2"/>
  <c r="BQ59" i="2"/>
  <c r="AU59" i="2"/>
  <c r="BY59" i="2" s="1"/>
  <c r="AG59" i="2"/>
  <c r="BU59" i="2" s="1"/>
  <c r="BR59" i="2"/>
  <c r="AX59" i="2"/>
  <c r="BZ59" i="2" s="1"/>
  <c r="AJ59" i="2"/>
  <c r="BV59" i="2" s="1"/>
  <c r="W60" i="2"/>
  <c r="O60" i="2"/>
  <c r="CC60" i="2" s="1"/>
  <c r="N60" i="2"/>
  <c r="L60" i="2"/>
  <c r="CF60" i="2"/>
  <c r="BK60" i="2"/>
  <c r="BQ60" i="2"/>
  <c r="AU60" i="2"/>
  <c r="BY60" i="2" s="1"/>
  <c r="AG60" i="2"/>
  <c r="BU60" i="2" s="1"/>
  <c r="BR60" i="2"/>
  <c r="AX60" i="2"/>
  <c r="BZ60" i="2" s="1"/>
  <c r="AJ60" i="2"/>
  <c r="BV60" i="2" s="1"/>
  <c r="W61" i="2"/>
  <c r="O61" i="2"/>
  <c r="CC61" i="2" s="1"/>
  <c r="N61" i="2"/>
  <c r="L61" i="2"/>
  <c r="CF61" i="2"/>
  <c r="BK61" i="2"/>
  <c r="BQ61" i="2"/>
  <c r="AU61" i="2"/>
  <c r="BY61" i="2" s="1"/>
  <c r="AG61" i="2"/>
  <c r="BU61" i="2" s="1"/>
  <c r="BR61" i="2"/>
  <c r="AX61" i="2"/>
  <c r="BZ61" i="2" s="1"/>
  <c r="AJ61" i="2"/>
  <c r="BV61" i="2" s="1"/>
  <c r="W62" i="2"/>
  <c r="O62" i="2"/>
  <c r="CC62" i="2" s="1"/>
  <c r="N62" i="2"/>
  <c r="L62" i="2"/>
  <c r="CF62" i="2"/>
  <c r="BK62" i="2"/>
  <c r="BQ62" i="2"/>
  <c r="AU62" i="2"/>
  <c r="BY62" i="2" s="1"/>
  <c r="AG62" i="2"/>
  <c r="BU62" i="2" s="1"/>
  <c r="BR62" i="2"/>
  <c r="AX62" i="2"/>
  <c r="BZ62" i="2" s="1"/>
  <c r="AJ62" i="2"/>
  <c r="BV62" i="2" s="1"/>
  <c r="W63" i="2"/>
  <c r="O63" i="2"/>
  <c r="CC63" i="2" s="1"/>
  <c r="N63" i="2"/>
  <c r="L63" i="2"/>
  <c r="CF63" i="2"/>
  <c r="BK63" i="2"/>
  <c r="BQ63" i="2"/>
  <c r="AU63" i="2"/>
  <c r="BY63" i="2" s="1"/>
  <c r="AG63" i="2"/>
  <c r="BU63" i="2" s="1"/>
  <c r="BR63" i="2"/>
  <c r="AX63" i="2"/>
  <c r="BZ63" i="2" s="1"/>
  <c r="AJ63" i="2"/>
  <c r="BV63" i="2" s="1"/>
  <c r="W64" i="2"/>
  <c r="O64" i="2"/>
  <c r="CC64" i="2" s="1"/>
  <c r="N64" i="2"/>
  <c r="L64" i="2"/>
  <c r="CF64" i="2"/>
  <c r="BK64" i="2"/>
  <c r="BQ64" i="2"/>
  <c r="AU64" i="2"/>
  <c r="BY64" i="2" s="1"/>
  <c r="AG64" i="2"/>
  <c r="BU64" i="2" s="1"/>
  <c r="BR64" i="2"/>
  <c r="AX64" i="2"/>
  <c r="BZ64" i="2" s="1"/>
  <c r="AJ64" i="2"/>
  <c r="BV64" i="2" s="1"/>
  <c r="W65" i="2"/>
  <c r="O65" i="2"/>
  <c r="CC65" i="2" s="1"/>
  <c r="N65" i="2"/>
  <c r="L65" i="2"/>
  <c r="CF65" i="2"/>
  <c r="BK65" i="2"/>
  <c r="BQ65" i="2"/>
  <c r="AU65" i="2"/>
  <c r="BY65" i="2" s="1"/>
  <c r="AG65" i="2"/>
  <c r="BU65" i="2" s="1"/>
  <c r="BR65" i="2"/>
  <c r="AX65" i="2"/>
  <c r="BZ65" i="2" s="1"/>
  <c r="AJ65" i="2"/>
  <c r="BV65" i="2" s="1"/>
  <c r="W66" i="2"/>
  <c r="O66" i="2"/>
  <c r="CC66" i="2" s="1"/>
  <c r="N66" i="2"/>
  <c r="L66" i="2"/>
  <c r="CF66" i="2"/>
  <c r="BK66" i="2"/>
  <c r="BQ66" i="2"/>
  <c r="AU66" i="2"/>
  <c r="BY66" i="2" s="1"/>
  <c r="AG66" i="2"/>
  <c r="BU66" i="2" s="1"/>
  <c r="BR66" i="2"/>
  <c r="AX66" i="2"/>
  <c r="BZ66" i="2" s="1"/>
  <c r="AJ66" i="2"/>
  <c r="BV66" i="2" s="1"/>
  <c r="W67" i="2"/>
  <c r="O67" i="2"/>
  <c r="CC67" i="2" s="1"/>
  <c r="N67" i="2"/>
  <c r="L67" i="2"/>
  <c r="CF67" i="2"/>
  <c r="BK67" i="2"/>
  <c r="BQ67" i="2"/>
  <c r="AU67" i="2"/>
  <c r="BY67" i="2" s="1"/>
  <c r="AG67" i="2"/>
  <c r="BU67" i="2" s="1"/>
  <c r="BR67" i="2"/>
  <c r="AX67" i="2"/>
  <c r="BZ67" i="2" s="1"/>
  <c r="AJ67" i="2"/>
  <c r="BV67" i="2" s="1"/>
  <c r="W68" i="2"/>
  <c r="O68" i="2"/>
  <c r="CC68" i="2" s="1"/>
  <c r="N68" i="2"/>
  <c r="L68" i="2"/>
  <c r="CF68" i="2"/>
  <c r="BK68" i="2"/>
  <c r="BQ68" i="2"/>
  <c r="AU68" i="2"/>
  <c r="BY68" i="2" s="1"/>
  <c r="AG68" i="2"/>
  <c r="BU68" i="2" s="1"/>
  <c r="BR68" i="2"/>
  <c r="AX68" i="2"/>
  <c r="BZ68" i="2" s="1"/>
  <c r="AJ68" i="2"/>
  <c r="BV68" i="2" s="1"/>
  <c r="W69" i="2"/>
  <c r="O69" i="2"/>
  <c r="CC69" i="2" s="1"/>
  <c r="N69" i="2"/>
  <c r="L69" i="2"/>
  <c r="CF69" i="2"/>
  <c r="BK69" i="2"/>
  <c r="BQ69" i="2"/>
  <c r="AU69" i="2"/>
  <c r="BY69" i="2" s="1"/>
  <c r="AG69" i="2"/>
  <c r="BU69" i="2" s="1"/>
  <c r="BR69" i="2"/>
  <c r="AX69" i="2"/>
  <c r="BZ69" i="2" s="1"/>
  <c r="AJ69" i="2"/>
  <c r="BV69" i="2" s="1"/>
  <c r="W70" i="2"/>
  <c r="O70" i="2"/>
  <c r="CC70" i="2" s="1"/>
  <c r="N70" i="2"/>
  <c r="L70" i="2"/>
  <c r="CF70" i="2"/>
  <c r="BK70" i="2"/>
  <c r="BQ70" i="2"/>
  <c r="AU70" i="2"/>
  <c r="BY70" i="2" s="1"/>
  <c r="AG70" i="2"/>
  <c r="BU70" i="2" s="1"/>
  <c r="BR70" i="2"/>
  <c r="AX70" i="2"/>
  <c r="BZ70" i="2" s="1"/>
  <c r="AJ70" i="2"/>
  <c r="BV70" i="2" s="1"/>
  <c r="W71" i="2"/>
  <c r="O71" i="2"/>
  <c r="CC71" i="2" s="1"/>
  <c r="N71" i="2"/>
  <c r="L71" i="2"/>
  <c r="CF71" i="2"/>
  <c r="BK71" i="2"/>
  <c r="BQ71" i="2"/>
  <c r="AU71" i="2"/>
  <c r="BY71" i="2" s="1"/>
  <c r="AG71" i="2"/>
  <c r="BU71" i="2" s="1"/>
  <c r="BR71" i="2"/>
  <c r="AX71" i="2"/>
  <c r="BZ71" i="2" s="1"/>
  <c r="AJ71" i="2"/>
  <c r="BV71" i="2" s="1"/>
  <c r="W72" i="2"/>
  <c r="O72" i="2"/>
  <c r="CC72" i="2" s="1"/>
  <c r="N72" i="2"/>
  <c r="L72" i="2"/>
  <c r="CF72" i="2"/>
  <c r="BK72" i="2"/>
  <c r="BQ72" i="2"/>
  <c r="AU72" i="2"/>
  <c r="BY72" i="2" s="1"/>
  <c r="AG72" i="2"/>
  <c r="BU72" i="2" s="1"/>
  <c r="BR72" i="2"/>
  <c r="AX72" i="2"/>
  <c r="BZ72" i="2" s="1"/>
  <c r="AJ72" i="2"/>
  <c r="BV72" i="2" s="1"/>
  <c r="W73" i="2"/>
  <c r="O73" i="2"/>
  <c r="CC73" i="2" s="1"/>
  <c r="N73" i="2"/>
  <c r="L73" i="2"/>
  <c r="CF73" i="2"/>
  <c r="BK73" i="2"/>
  <c r="BQ73" i="2"/>
  <c r="AU73" i="2"/>
  <c r="BY73" i="2" s="1"/>
  <c r="AG73" i="2"/>
  <c r="BU73" i="2" s="1"/>
  <c r="BR73" i="2"/>
  <c r="AX73" i="2"/>
  <c r="BZ73" i="2" s="1"/>
  <c r="AJ73" i="2"/>
  <c r="BV73" i="2" s="1"/>
  <c r="W74" i="2"/>
  <c r="O74" i="2"/>
  <c r="CC74" i="2" s="1"/>
  <c r="N74" i="2"/>
  <c r="L74" i="2"/>
  <c r="CF74" i="2"/>
  <c r="BK74" i="2"/>
  <c r="BQ74" i="2"/>
  <c r="AU74" i="2"/>
  <c r="BY74" i="2" s="1"/>
  <c r="AG74" i="2"/>
  <c r="BU74" i="2" s="1"/>
  <c r="BR74" i="2"/>
  <c r="AX74" i="2"/>
  <c r="BZ74" i="2" s="1"/>
  <c r="AJ74" i="2"/>
  <c r="BV74" i="2" s="1"/>
  <c r="W75" i="2"/>
  <c r="O75" i="2"/>
  <c r="CC75" i="2" s="1"/>
  <c r="N75" i="2"/>
  <c r="L75" i="2"/>
  <c r="CF75" i="2"/>
  <c r="BK75" i="2"/>
  <c r="BQ75" i="2"/>
  <c r="AU75" i="2"/>
  <c r="BY75" i="2" s="1"/>
  <c r="AG75" i="2"/>
  <c r="BU75" i="2" s="1"/>
  <c r="BR75" i="2"/>
  <c r="AX75" i="2"/>
  <c r="BZ75" i="2" s="1"/>
  <c r="AJ75" i="2"/>
  <c r="BV75" i="2" s="1"/>
  <c r="W76" i="2"/>
  <c r="O76" i="2"/>
  <c r="CC76" i="2" s="1"/>
  <c r="N76" i="2"/>
  <c r="L76" i="2"/>
  <c r="CF76" i="2"/>
  <c r="BK76" i="2"/>
  <c r="BQ76" i="2"/>
  <c r="AU76" i="2"/>
  <c r="BY76" i="2" s="1"/>
  <c r="AG76" i="2"/>
  <c r="BU76" i="2" s="1"/>
  <c r="BR76" i="2"/>
  <c r="AX76" i="2"/>
  <c r="BZ76" i="2" s="1"/>
  <c r="AJ76" i="2"/>
  <c r="BV76" i="2" s="1"/>
  <c r="W77" i="2"/>
  <c r="O77" i="2"/>
  <c r="CC77" i="2" s="1"/>
  <c r="N77" i="2"/>
  <c r="L77" i="2"/>
  <c r="CF77" i="2"/>
  <c r="BK77" i="2"/>
  <c r="BQ77" i="2"/>
  <c r="AU77" i="2"/>
  <c r="BY77" i="2" s="1"/>
  <c r="AG77" i="2"/>
  <c r="BU77" i="2" s="1"/>
  <c r="BR77" i="2"/>
  <c r="AX77" i="2"/>
  <c r="BZ77" i="2" s="1"/>
  <c r="AJ77" i="2"/>
  <c r="BV77" i="2" s="1"/>
  <c r="W78" i="2"/>
  <c r="O78" i="2"/>
  <c r="CC78" i="2" s="1"/>
  <c r="N78" i="2"/>
  <c r="L78" i="2"/>
  <c r="CF78" i="2"/>
  <c r="BK78" i="2"/>
  <c r="BQ78" i="2"/>
  <c r="AU78" i="2"/>
  <c r="BY78" i="2" s="1"/>
  <c r="AG78" i="2"/>
  <c r="BU78" i="2" s="1"/>
  <c r="BR78" i="2"/>
  <c r="AX78" i="2"/>
  <c r="BZ78" i="2" s="1"/>
  <c r="AJ78" i="2"/>
  <c r="BV78" i="2" s="1"/>
  <c r="W79" i="2"/>
  <c r="O79" i="2"/>
  <c r="CC79" i="2" s="1"/>
  <c r="N79" i="2"/>
  <c r="L79" i="2"/>
  <c r="CF79" i="2"/>
  <c r="BK79" i="2"/>
  <c r="BQ79" i="2"/>
  <c r="AU79" i="2"/>
  <c r="BY79" i="2" s="1"/>
  <c r="AG79" i="2"/>
  <c r="BU79" i="2" s="1"/>
  <c r="BR79" i="2"/>
  <c r="AX79" i="2"/>
  <c r="BZ79" i="2" s="1"/>
  <c r="AJ79" i="2"/>
  <c r="BV79" i="2" s="1"/>
  <c r="W80" i="2"/>
  <c r="O80" i="2"/>
  <c r="CC80" i="2" s="1"/>
  <c r="N80" i="2"/>
  <c r="L80" i="2"/>
  <c r="CF80" i="2"/>
  <c r="BK80" i="2"/>
  <c r="BQ80" i="2"/>
  <c r="AU80" i="2"/>
  <c r="BY80" i="2" s="1"/>
  <c r="AG80" i="2"/>
  <c r="BU80" i="2" s="1"/>
  <c r="BR80" i="2"/>
  <c r="AX80" i="2"/>
  <c r="BZ80" i="2" s="1"/>
  <c r="AJ80" i="2"/>
  <c r="BV80" i="2" s="1"/>
  <c r="W81" i="2"/>
  <c r="O81" i="2"/>
  <c r="CC81" i="2" s="1"/>
  <c r="N81" i="2"/>
  <c r="L81" i="2"/>
  <c r="CF81" i="2"/>
  <c r="BK81" i="2"/>
  <c r="BQ81" i="2"/>
  <c r="AU81" i="2"/>
  <c r="BY81" i="2" s="1"/>
  <c r="AG81" i="2"/>
  <c r="BU81" i="2" s="1"/>
  <c r="BR81" i="2"/>
  <c r="AX81" i="2"/>
  <c r="BZ81" i="2" s="1"/>
  <c r="AJ81" i="2"/>
  <c r="BV81" i="2" s="1"/>
  <c r="W82" i="2"/>
  <c r="O82" i="2"/>
  <c r="CC82" i="2" s="1"/>
  <c r="N82" i="2"/>
  <c r="L82" i="2"/>
  <c r="CF82" i="2"/>
  <c r="BK82" i="2"/>
  <c r="BQ82" i="2"/>
  <c r="AU82" i="2"/>
  <c r="BY82" i="2" s="1"/>
  <c r="AG82" i="2"/>
  <c r="BU82" i="2" s="1"/>
  <c r="BR82" i="2"/>
  <c r="AX82" i="2"/>
  <c r="BZ82" i="2" s="1"/>
  <c r="AJ82" i="2"/>
  <c r="BV82" i="2" s="1"/>
  <c r="W83" i="2"/>
  <c r="O83" i="2"/>
  <c r="CC83" i="2" s="1"/>
  <c r="N83" i="2"/>
  <c r="L83" i="2"/>
  <c r="CF83" i="2"/>
  <c r="BK83" i="2"/>
  <c r="BQ83" i="2"/>
  <c r="AU83" i="2"/>
  <c r="BY83" i="2" s="1"/>
  <c r="AG83" i="2"/>
  <c r="BU83" i="2" s="1"/>
  <c r="BR83" i="2"/>
  <c r="AX83" i="2"/>
  <c r="BZ83" i="2" s="1"/>
  <c r="AJ83" i="2"/>
  <c r="BV83" i="2" s="1"/>
  <c r="W84" i="2"/>
  <c r="O84" i="2"/>
  <c r="CC84" i="2" s="1"/>
  <c r="N84" i="2"/>
  <c r="L84" i="2"/>
  <c r="CF84" i="2"/>
  <c r="BK84" i="2"/>
  <c r="BQ84" i="2"/>
  <c r="AU84" i="2"/>
  <c r="BY84" i="2" s="1"/>
  <c r="AG84" i="2"/>
  <c r="BU84" i="2" s="1"/>
  <c r="BR84" i="2"/>
  <c r="AX84" i="2"/>
  <c r="BZ84" i="2" s="1"/>
  <c r="AJ84" i="2"/>
  <c r="BV84" i="2" s="1"/>
  <c r="W85" i="2"/>
  <c r="O85" i="2"/>
  <c r="CC85" i="2" s="1"/>
  <c r="N85" i="2"/>
  <c r="L85" i="2"/>
  <c r="CF85" i="2"/>
  <c r="BK85" i="2"/>
  <c r="BQ85" i="2"/>
  <c r="AU85" i="2"/>
  <c r="BY85" i="2" s="1"/>
  <c r="AG85" i="2"/>
  <c r="BU85" i="2" s="1"/>
  <c r="BR85" i="2"/>
  <c r="AX85" i="2"/>
  <c r="BZ85" i="2" s="1"/>
  <c r="AJ85" i="2"/>
  <c r="BV85" i="2" s="1"/>
  <c r="W86" i="2"/>
  <c r="O86" i="2"/>
  <c r="CC86" i="2" s="1"/>
  <c r="N86" i="2"/>
  <c r="L86" i="2"/>
  <c r="CF86" i="2"/>
  <c r="BK86" i="2"/>
  <c r="BQ86" i="2"/>
  <c r="AU86" i="2"/>
  <c r="BY86" i="2" s="1"/>
  <c r="AG86" i="2"/>
  <c r="BU86" i="2" s="1"/>
  <c r="BR86" i="2"/>
  <c r="AX86" i="2"/>
  <c r="BZ86" i="2" s="1"/>
  <c r="AJ86" i="2"/>
  <c r="BV86" i="2" s="1"/>
  <c r="W87" i="2"/>
  <c r="O87" i="2"/>
  <c r="CC87" i="2" s="1"/>
  <c r="N87" i="2"/>
  <c r="L87" i="2"/>
  <c r="CF87" i="2"/>
  <c r="BK87" i="2"/>
  <c r="BQ87" i="2"/>
  <c r="AU87" i="2"/>
  <c r="BY87" i="2" s="1"/>
  <c r="AG87" i="2"/>
  <c r="BU87" i="2" s="1"/>
  <c r="BR87" i="2"/>
  <c r="AX87" i="2"/>
  <c r="BZ87" i="2" s="1"/>
  <c r="AJ87" i="2"/>
  <c r="BV87" i="2" s="1"/>
  <c r="W88" i="2"/>
  <c r="O88" i="2"/>
  <c r="CC88" i="2" s="1"/>
  <c r="N88" i="2"/>
  <c r="L88" i="2"/>
  <c r="CF88" i="2"/>
  <c r="BK88" i="2"/>
  <c r="BQ88" i="2"/>
  <c r="AU88" i="2"/>
  <c r="BY88" i="2" s="1"/>
  <c r="AG88" i="2"/>
  <c r="BU88" i="2" s="1"/>
  <c r="BR88" i="2"/>
  <c r="AX88" i="2"/>
  <c r="BZ88" i="2" s="1"/>
  <c r="AJ88" i="2"/>
  <c r="BV88" i="2" s="1"/>
  <c r="W89" i="2"/>
  <c r="O89" i="2"/>
  <c r="CC89" i="2" s="1"/>
  <c r="N89" i="2"/>
  <c r="L89" i="2"/>
  <c r="CF89" i="2"/>
  <c r="BK89" i="2"/>
  <c r="BQ89" i="2"/>
  <c r="AU89" i="2"/>
  <c r="BY89" i="2" s="1"/>
  <c r="AG89" i="2"/>
  <c r="BU89" i="2" s="1"/>
  <c r="BR89" i="2"/>
  <c r="AX89" i="2"/>
  <c r="BZ89" i="2" s="1"/>
  <c r="AJ89" i="2"/>
  <c r="BV89" i="2" s="1"/>
  <c r="W90" i="2"/>
  <c r="O90" i="2"/>
  <c r="CC90" i="2" s="1"/>
  <c r="N90" i="2"/>
  <c r="L90" i="2"/>
  <c r="CF90" i="2"/>
  <c r="BK90" i="2"/>
  <c r="BQ90" i="2"/>
  <c r="AU90" i="2"/>
  <c r="BY90" i="2" s="1"/>
  <c r="AG90" i="2"/>
  <c r="BU90" i="2" s="1"/>
  <c r="BR90" i="2"/>
  <c r="AX90" i="2"/>
  <c r="BZ90" i="2" s="1"/>
  <c r="AJ90" i="2"/>
  <c r="BV90" i="2" s="1"/>
  <c r="W91" i="2"/>
  <c r="O91" i="2"/>
  <c r="CC91" i="2" s="1"/>
  <c r="N91" i="2"/>
  <c r="L91" i="2"/>
  <c r="CF91" i="2"/>
  <c r="BK91" i="2"/>
  <c r="BQ91" i="2"/>
  <c r="AU91" i="2"/>
  <c r="BY91" i="2" s="1"/>
  <c r="AG91" i="2"/>
  <c r="BU91" i="2" s="1"/>
  <c r="BR91" i="2"/>
  <c r="AX91" i="2"/>
  <c r="BZ91" i="2" s="1"/>
  <c r="AJ91" i="2"/>
  <c r="BV91" i="2" s="1"/>
  <c r="W92" i="2"/>
  <c r="O92" i="2"/>
  <c r="CC92" i="2" s="1"/>
  <c r="N92" i="2"/>
  <c r="L92" i="2"/>
  <c r="CF92" i="2"/>
  <c r="BK92" i="2"/>
  <c r="BQ92" i="2"/>
  <c r="AU92" i="2"/>
  <c r="BY92" i="2" s="1"/>
  <c r="AG92" i="2"/>
  <c r="BU92" i="2" s="1"/>
  <c r="BR92" i="2"/>
  <c r="AX92" i="2"/>
  <c r="BZ92" i="2" s="1"/>
  <c r="AJ92" i="2"/>
  <c r="BV92" i="2" s="1"/>
  <c r="W93" i="2"/>
  <c r="O93" i="2"/>
  <c r="CC93" i="2" s="1"/>
  <c r="N93" i="2"/>
  <c r="L93" i="2"/>
  <c r="CF93" i="2"/>
  <c r="BK93" i="2"/>
  <c r="BQ93" i="2"/>
  <c r="AU93" i="2"/>
  <c r="BY93" i="2" s="1"/>
  <c r="AG93" i="2"/>
  <c r="BU93" i="2" s="1"/>
  <c r="BR93" i="2"/>
  <c r="AX93" i="2"/>
  <c r="BZ93" i="2" s="1"/>
  <c r="AJ93" i="2"/>
  <c r="BV93" i="2" s="1"/>
  <c r="W94" i="2"/>
  <c r="O94" i="2"/>
  <c r="CC94" i="2" s="1"/>
  <c r="N94" i="2"/>
  <c r="L94" i="2"/>
  <c r="CF94" i="2"/>
  <c r="BK94" i="2"/>
  <c r="BQ94" i="2"/>
  <c r="AU94" i="2"/>
  <c r="BY94" i="2" s="1"/>
  <c r="AG94" i="2"/>
  <c r="BU94" i="2" s="1"/>
  <c r="BR94" i="2"/>
  <c r="AX94" i="2"/>
  <c r="BZ94" i="2" s="1"/>
  <c r="AJ94" i="2"/>
  <c r="BV94" i="2" s="1"/>
  <c r="W95" i="2"/>
  <c r="O95" i="2"/>
  <c r="CC95" i="2" s="1"/>
  <c r="N95" i="2"/>
  <c r="L95" i="2"/>
  <c r="CF95" i="2"/>
  <c r="BK95" i="2"/>
  <c r="BQ95" i="2"/>
  <c r="AU95" i="2"/>
  <c r="BY95" i="2" s="1"/>
  <c r="AG95" i="2"/>
  <c r="BU95" i="2" s="1"/>
  <c r="BR95" i="2"/>
  <c r="AX95" i="2"/>
  <c r="BZ95" i="2" s="1"/>
  <c r="AJ95" i="2"/>
  <c r="BV95" i="2" s="1"/>
  <c r="W96" i="2"/>
  <c r="O96" i="2"/>
  <c r="CC96" i="2" s="1"/>
  <c r="N96" i="2"/>
  <c r="L96" i="2"/>
  <c r="CF96" i="2"/>
  <c r="BK96" i="2"/>
  <c r="BQ96" i="2"/>
  <c r="AU96" i="2"/>
  <c r="BY96" i="2" s="1"/>
  <c r="AG96" i="2"/>
  <c r="BU96" i="2" s="1"/>
  <c r="BR96" i="2"/>
  <c r="AX96" i="2"/>
  <c r="BZ96" i="2" s="1"/>
  <c r="AJ96" i="2"/>
  <c r="BV96" i="2" s="1"/>
  <c r="W97" i="2"/>
  <c r="O97" i="2"/>
  <c r="CC97" i="2" s="1"/>
  <c r="N97" i="2"/>
  <c r="L97" i="2"/>
  <c r="CF97" i="2"/>
  <c r="BK97" i="2"/>
  <c r="BQ97" i="2"/>
  <c r="AU97" i="2"/>
  <c r="BY97" i="2" s="1"/>
  <c r="AG97" i="2"/>
  <c r="BU97" i="2" s="1"/>
  <c r="BR97" i="2"/>
  <c r="AX97" i="2"/>
  <c r="BZ97" i="2" s="1"/>
  <c r="AJ97" i="2"/>
  <c r="BV97" i="2" s="1"/>
  <c r="W98" i="2"/>
  <c r="O98" i="2"/>
  <c r="CC98" i="2" s="1"/>
  <c r="N98" i="2"/>
  <c r="L98" i="2"/>
  <c r="CF98" i="2"/>
  <c r="BK98" i="2"/>
  <c r="BQ98" i="2"/>
  <c r="AU98" i="2"/>
  <c r="BY98" i="2" s="1"/>
  <c r="AG98" i="2"/>
  <c r="BU98" i="2" s="1"/>
  <c r="BR98" i="2"/>
  <c r="AX98" i="2"/>
  <c r="BZ98" i="2" s="1"/>
  <c r="AJ98" i="2"/>
  <c r="BV98" i="2" s="1"/>
  <c r="W99" i="2"/>
  <c r="O99" i="2"/>
  <c r="CC99" i="2" s="1"/>
  <c r="N99" i="2"/>
  <c r="L99" i="2"/>
  <c r="CF99" i="2"/>
  <c r="BK99" i="2"/>
  <c r="BQ99" i="2"/>
  <c r="AU99" i="2"/>
  <c r="BY99" i="2" s="1"/>
  <c r="AG99" i="2"/>
  <c r="BU99" i="2" s="1"/>
  <c r="BR99" i="2"/>
  <c r="AX99" i="2"/>
  <c r="BZ99" i="2" s="1"/>
  <c r="AJ99" i="2"/>
  <c r="BV99" i="2" s="1"/>
  <c r="W100" i="2"/>
  <c r="O100" i="2"/>
  <c r="CC100" i="2" s="1"/>
  <c r="N100" i="2"/>
  <c r="L100" i="2"/>
  <c r="CF100" i="2"/>
  <c r="BK100" i="2"/>
  <c r="BQ100" i="2"/>
  <c r="AU100" i="2"/>
  <c r="BY100" i="2" s="1"/>
  <c r="AG100" i="2"/>
  <c r="BU100" i="2" s="1"/>
  <c r="BR100" i="2"/>
  <c r="AX100" i="2"/>
  <c r="BZ100" i="2" s="1"/>
  <c r="AJ100" i="2"/>
  <c r="BV100" i="2" s="1"/>
  <c r="CE100" i="2" l="1"/>
  <c r="BM100" i="2"/>
  <c r="CD100" i="2" s="1"/>
  <c r="BS100" i="2"/>
  <c r="BA100" i="2"/>
  <c r="CA100" i="2" s="1"/>
  <c r="AM100" i="2"/>
  <c r="BW100" i="2" s="1"/>
  <c r="CE99" i="2"/>
  <c r="BM99" i="2"/>
  <c r="CD99" i="2" s="1"/>
  <c r="BS99" i="2"/>
  <c r="BA99" i="2"/>
  <c r="CA99" i="2" s="1"/>
  <c r="AM99" i="2"/>
  <c r="BW99" i="2" s="1"/>
  <c r="CE98" i="2"/>
  <c r="BM98" i="2"/>
  <c r="CD98" i="2" s="1"/>
  <c r="BS98" i="2"/>
  <c r="BA98" i="2"/>
  <c r="CA98" i="2" s="1"/>
  <c r="AM98" i="2"/>
  <c r="BW98" i="2" s="1"/>
  <c r="CE97" i="2"/>
  <c r="BM97" i="2"/>
  <c r="CD97" i="2" s="1"/>
  <c r="BS97" i="2"/>
  <c r="BA97" i="2"/>
  <c r="CA97" i="2" s="1"/>
  <c r="AM97" i="2"/>
  <c r="BW97" i="2" s="1"/>
  <c r="CE96" i="2"/>
  <c r="BM96" i="2"/>
  <c r="CD96" i="2" s="1"/>
  <c r="BS96" i="2"/>
  <c r="BA96" i="2"/>
  <c r="CA96" i="2" s="1"/>
  <c r="AM96" i="2"/>
  <c r="BW96" i="2" s="1"/>
  <c r="CE95" i="2"/>
  <c r="BM95" i="2"/>
  <c r="CD95" i="2" s="1"/>
  <c r="BS95" i="2"/>
  <c r="BA95" i="2"/>
  <c r="CA95" i="2" s="1"/>
  <c r="AM95" i="2"/>
  <c r="BW95" i="2" s="1"/>
  <c r="CE94" i="2"/>
  <c r="BM94" i="2"/>
  <c r="CD94" i="2" s="1"/>
  <c r="BS94" i="2"/>
  <c r="BA94" i="2"/>
  <c r="CA94" i="2" s="1"/>
  <c r="AM94" i="2"/>
  <c r="BW94" i="2" s="1"/>
  <c r="CE93" i="2"/>
  <c r="BM93" i="2"/>
  <c r="CD93" i="2" s="1"/>
  <c r="BS93" i="2"/>
  <c r="BA93" i="2"/>
  <c r="CA93" i="2" s="1"/>
  <c r="AM93" i="2"/>
  <c r="BW93" i="2" s="1"/>
  <c r="CE92" i="2"/>
  <c r="BM92" i="2"/>
  <c r="CD92" i="2" s="1"/>
  <c r="BS92" i="2"/>
  <c r="BA92" i="2"/>
  <c r="CA92" i="2" s="1"/>
  <c r="AM92" i="2"/>
  <c r="BW92" i="2" s="1"/>
  <c r="CE91" i="2"/>
  <c r="BM91" i="2"/>
  <c r="CD91" i="2" s="1"/>
  <c r="BS91" i="2"/>
  <c r="BA91" i="2"/>
  <c r="CA91" i="2" s="1"/>
  <c r="AM91" i="2"/>
  <c r="BW91" i="2" s="1"/>
  <c r="CE90" i="2"/>
  <c r="BM90" i="2"/>
  <c r="CD90" i="2" s="1"/>
  <c r="BS90" i="2"/>
  <c r="BA90" i="2"/>
  <c r="CA90" i="2" s="1"/>
  <c r="AM90" i="2"/>
  <c r="BW90" i="2" s="1"/>
  <c r="CE89" i="2"/>
  <c r="BM89" i="2"/>
  <c r="CD89" i="2" s="1"/>
  <c r="BS89" i="2"/>
  <c r="BA89" i="2"/>
  <c r="CA89" i="2" s="1"/>
  <c r="AM89" i="2"/>
  <c r="BW89" i="2" s="1"/>
  <c r="CE88" i="2"/>
  <c r="BM88" i="2"/>
  <c r="CD88" i="2" s="1"/>
  <c r="BS88" i="2"/>
  <c r="BA88" i="2"/>
  <c r="CA88" i="2" s="1"/>
  <c r="AM88" i="2"/>
  <c r="BW88" i="2" s="1"/>
  <c r="CE87" i="2"/>
  <c r="BM87" i="2"/>
  <c r="CD87" i="2" s="1"/>
  <c r="BS87" i="2"/>
  <c r="BA87" i="2"/>
  <c r="CA87" i="2" s="1"/>
  <c r="AM87" i="2"/>
  <c r="BW87" i="2" s="1"/>
  <c r="CE86" i="2"/>
  <c r="BM86" i="2"/>
  <c r="CD86" i="2" s="1"/>
  <c r="BS86" i="2"/>
  <c r="BA86" i="2"/>
  <c r="CA86" i="2" s="1"/>
  <c r="AM86" i="2"/>
  <c r="BW86" i="2" s="1"/>
  <c r="CE85" i="2"/>
  <c r="BM85" i="2"/>
  <c r="CD85" i="2" s="1"/>
  <c r="BS85" i="2"/>
  <c r="BA85" i="2"/>
  <c r="CA85" i="2" s="1"/>
  <c r="AM85" i="2"/>
  <c r="BW85" i="2" s="1"/>
  <c r="CE84" i="2"/>
  <c r="BM84" i="2"/>
  <c r="CD84" i="2" s="1"/>
  <c r="BS84" i="2"/>
  <c r="BA84" i="2"/>
  <c r="CA84" i="2" s="1"/>
  <c r="AM84" i="2"/>
  <c r="BW84" i="2" s="1"/>
  <c r="CE83" i="2"/>
  <c r="BM83" i="2"/>
  <c r="CD83" i="2" s="1"/>
  <c r="BS83" i="2"/>
  <c r="BA83" i="2"/>
  <c r="CA83" i="2" s="1"/>
  <c r="AM83" i="2"/>
  <c r="BW83" i="2" s="1"/>
  <c r="CE82" i="2"/>
  <c r="BM82" i="2"/>
  <c r="CD82" i="2" s="1"/>
  <c r="BS82" i="2"/>
  <c r="BA82" i="2"/>
  <c r="CA82" i="2" s="1"/>
  <c r="AM82" i="2"/>
  <c r="BW82" i="2" s="1"/>
  <c r="CE81" i="2"/>
  <c r="BM81" i="2"/>
  <c r="CD81" i="2" s="1"/>
  <c r="BS81" i="2"/>
  <c r="BA81" i="2"/>
  <c r="CA81" i="2" s="1"/>
  <c r="AM81" i="2"/>
  <c r="BW81" i="2" s="1"/>
  <c r="CE80" i="2"/>
  <c r="BM80" i="2"/>
  <c r="CD80" i="2" s="1"/>
  <c r="BS80" i="2"/>
  <c r="BA80" i="2"/>
  <c r="CA80" i="2" s="1"/>
  <c r="AM80" i="2"/>
  <c r="BW80" i="2" s="1"/>
  <c r="CE79" i="2"/>
  <c r="BM79" i="2"/>
  <c r="CD79" i="2" s="1"/>
  <c r="BS79" i="2"/>
  <c r="BA79" i="2"/>
  <c r="CA79" i="2" s="1"/>
  <c r="AM79" i="2"/>
  <c r="BW79" i="2" s="1"/>
  <c r="CE78" i="2"/>
  <c r="BM78" i="2"/>
  <c r="CD78" i="2" s="1"/>
  <c r="BS78" i="2"/>
  <c r="BA78" i="2"/>
  <c r="CA78" i="2" s="1"/>
  <c r="AM78" i="2"/>
  <c r="BW78" i="2" s="1"/>
  <c r="CE77" i="2"/>
  <c r="BM77" i="2"/>
  <c r="CD77" i="2" s="1"/>
  <c r="BS77" i="2"/>
  <c r="BA77" i="2"/>
  <c r="CA77" i="2" s="1"/>
  <c r="AM77" i="2"/>
  <c r="BW77" i="2" s="1"/>
  <c r="CE76" i="2"/>
  <c r="BM76" i="2"/>
  <c r="CD76" i="2" s="1"/>
  <c r="BS76" i="2"/>
  <c r="BA76" i="2"/>
  <c r="CA76" i="2" s="1"/>
  <c r="AM76" i="2"/>
  <c r="BW76" i="2" s="1"/>
  <c r="CE75" i="2"/>
  <c r="BM75" i="2"/>
  <c r="CD75" i="2" s="1"/>
  <c r="BS75" i="2"/>
  <c r="BA75" i="2"/>
  <c r="CA75" i="2" s="1"/>
  <c r="AM75" i="2"/>
  <c r="BW75" i="2" s="1"/>
  <c r="CE74" i="2"/>
  <c r="BM74" i="2"/>
  <c r="CD74" i="2" s="1"/>
  <c r="BS74" i="2"/>
  <c r="BA74" i="2"/>
  <c r="CA74" i="2" s="1"/>
  <c r="AM74" i="2"/>
  <c r="BW74" i="2" s="1"/>
  <c r="CE73" i="2"/>
  <c r="BM73" i="2"/>
  <c r="CD73" i="2" s="1"/>
  <c r="BS73" i="2"/>
  <c r="BA73" i="2"/>
  <c r="CA73" i="2" s="1"/>
  <c r="AM73" i="2"/>
  <c r="BW73" i="2" s="1"/>
  <c r="CE72" i="2"/>
  <c r="BM72" i="2"/>
  <c r="CD72" i="2" s="1"/>
  <c r="BS72" i="2"/>
  <c r="BA72" i="2"/>
  <c r="CA72" i="2" s="1"/>
  <c r="AM72" i="2"/>
  <c r="BW72" i="2" s="1"/>
  <c r="CE71" i="2"/>
  <c r="BM71" i="2"/>
  <c r="CD71" i="2" s="1"/>
  <c r="BS71" i="2"/>
  <c r="BA71" i="2"/>
  <c r="CA71" i="2" s="1"/>
  <c r="AM71" i="2"/>
  <c r="BW71" i="2" s="1"/>
  <c r="CE70" i="2"/>
  <c r="BM70" i="2"/>
  <c r="CD70" i="2" s="1"/>
  <c r="BS70" i="2"/>
  <c r="BA70" i="2"/>
  <c r="CA70" i="2" s="1"/>
  <c r="AM70" i="2"/>
  <c r="BW70" i="2" s="1"/>
  <c r="CE69" i="2"/>
  <c r="BM69" i="2"/>
  <c r="CD69" i="2" s="1"/>
  <c r="BS69" i="2"/>
  <c r="BA69" i="2"/>
  <c r="CA69" i="2" s="1"/>
  <c r="AM69" i="2"/>
  <c r="BW69" i="2" s="1"/>
  <c r="CE68" i="2"/>
  <c r="BM68" i="2"/>
  <c r="CD68" i="2" s="1"/>
  <c r="BS68" i="2"/>
  <c r="BA68" i="2"/>
  <c r="CA68" i="2" s="1"/>
  <c r="AM68" i="2"/>
  <c r="BW68" i="2" s="1"/>
  <c r="CE67" i="2"/>
  <c r="BM67" i="2"/>
  <c r="CD67" i="2" s="1"/>
  <c r="BS67" i="2"/>
  <c r="BA67" i="2"/>
  <c r="CA67" i="2" s="1"/>
  <c r="AM67" i="2"/>
  <c r="BW67" i="2" s="1"/>
  <c r="CE66" i="2"/>
  <c r="BM66" i="2"/>
  <c r="CD66" i="2" s="1"/>
  <c r="BS66" i="2"/>
  <c r="BA66" i="2"/>
  <c r="CA66" i="2" s="1"/>
  <c r="AM66" i="2"/>
  <c r="BW66" i="2" s="1"/>
  <c r="CE65" i="2"/>
  <c r="BM65" i="2"/>
  <c r="CD65" i="2" s="1"/>
  <c r="BS65" i="2"/>
  <c r="BA65" i="2"/>
  <c r="CA65" i="2" s="1"/>
  <c r="AM65" i="2"/>
  <c r="BW65" i="2" s="1"/>
  <c r="CE64" i="2"/>
  <c r="BM64" i="2"/>
  <c r="CD64" i="2" s="1"/>
  <c r="BS64" i="2"/>
  <c r="BA64" i="2"/>
  <c r="CA64" i="2" s="1"/>
  <c r="AM64" i="2"/>
  <c r="BW64" i="2" s="1"/>
  <c r="CE63" i="2"/>
  <c r="BM63" i="2"/>
  <c r="CD63" i="2" s="1"/>
  <c r="BS63" i="2"/>
  <c r="BA63" i="2"/>
  <c r="CA63" i="2" s="1"/>
  <c r="AM63" i="2"/>
  <c r="BW63" i="2" s="1"/>
  <c r="CE62" i="2"/>
  <c r="BM62" i="2"/>
  <c r="CD62" i="2" s="1"/>
  <c r="BS62" i="2"/>
  <c r="BA62" i="2"/>
  <c r="CA62" i="2" s="1"/>
  <c r="AM62" i="2"/>
  <c r="BW62" i="2" s="1"/>
  <c r="CE61" i="2"/>
  <c r="BM61" i="2"/>
  <c r="CD61" i="2" s="1"/>
  <c r="BS61" i="2"/>
  <c r="BA61" i="2"/>
  <c r="CA61" i="2" s="1"/>
  <c r="AM61" i="2"/>
  <c r="BW61" i="2" s="1"/>
  <c r="CE60" i="2"/>
  <c r="BM60" i="2"/>
  <c r="CD60" i="2" s="1"/>
  <c r="BS60" i="2"/>
  <c r="BA60" i="2"/>
  <c r="CA60" i="2" s="1"/>
  <c r="AM60" i="2"/>
  <c r="BW60" i="2" s="1"/>
  <c r="CE59" i="2"/>
  <c r="BM59" i="2"/>
  <c r="CD59" i="2" s="1"/>
  <c r="BS59" i="2"/>
  <c r="BA59" i="2"/>
  <c r="CA59" i="2" s="1"/>
  <c r="AM59" i="2"/>
  <c r="BW59" i="2" s="1"/>
  <c r="CE58" i="2"/>
  <c r="BM58" i="2"/>
  <c r="CD58" i="2" s="1"/>
  <c r="BS58" i="2"/>
  <c r="BA58" i="2"/>
  <c r="CA58" i="2" s="1"/>
  <c r="AM58" i="2"/>
  <c r="BW58" i="2" s="1"/>
  <c r="CE57" i="2"/>
  <c r="BM57" i="2"/>
  <c r="CD57" i="2" s="1"/>
  <c r="BS57" i="2"/>
  <c r="BA57" i="2"/>
  <c r="CA57" i="2" s="1"/>
  <c r="AM57" i="2"/>
  <c r="BW57" i="2" s="1"/>
  <c r="CE56" i="2"/>
  <c r="BM56" i="2"/>
  <c r="CD56" i="2" s="1"/>
  <c r="BS56" i="2"/>
  <c r="BA56" i="2"/>
  <c r="CA56" i="2" s="1"/>
  <c r="AM56" i="2"/>
  <c r="BW56" i="2" s="1"/>
  <c r="CE55" i="2"/>
  <c r="BM55" i="2"/>
  <c r="CD55" i="2" s="1"/>
  <c r="BS55" i="2"/>
  <c r="BA55" i="2"/>
  <c r="CA55" i="2" s="1"/>
  <c r="AM55" i="2"/>
  <c r="BW55" i="2" s="1"/>
  <c r="CE54" i="2"/>
  <c r="BM54" i="2"/>
  <c r="CD54" i="2" s="1"/>
  <c r="BS54" i="2"/>
  <c r="BA54" i="2"/>
  <c r="CA54" i="2" s="1"/>
  <c r="AM54" i="2"/>
  <c r="BW54" i="2" s="1"/>
  <c r="CE53" i="2"/>
  <c r="BM53" i="2"/>
  <c r="CD53" i="2" s="1"/>
  <c r="BS53" i="2"/>
  <c r="BA53" i="2"/>
  <c r="CA53" i="2" s="1"/>
  <c r="AM53" i="2"/>
  <c r="BW53" i="2" s="1"/>
  <c r="CE52" i="2"/>
  <c r="BM52" i="2"/>
  <c r="CD52" i="2" s="1"/>
  <c r="BS52" i="2"/>
  <c r="BA52" i="2"/>
  <c r="CA52" i="2" s="1"/>
  <c r="AM52" i="2"/>
  <c r="BW52" i="2" s="1"/>
  <c r="CE51" i="2"/>
  <c r="BM51" i="2"/>
  <c r="CD51" i="2" s="1"/>
  <c r="BS51" i="2"/>
  <c r="BA51" i="2"/>
  <c r="CA51" i="2" s="1"/>
  <c r="AM51" i="2"/>
  <c r="BW51" i="2" s="1"/>
  <c r="CE50" i="2"/>
  <c r="BM50" i="2"/>
  <c r="CD50" i="2" s="1"/>
  <c r="BS50" i="2"/>
  <c r="BA50" i="2"/>
  <c r="CA50" i="2" s="1"/>
  <c r="AM50" i="2"/>
  <c r="BW50" i="2" s="1"/>
  <c r="CE49" i="2"/>
  <c r="BM49" i="2"/>
  <c r="CD49" i="2" s="1"/>
  <c r="BS49" i="2"/>
  <c r="BA49" i="2"/>
  <c r="CA49" i="2" s="1"/>
  <c r="AM49" i="2"/>
  <c r="BW49" i="2" s="1"/>
  <c r="CE48" i="2"/>
  <c r="BM48" i="2"/>
  <c r="CD48" i="2" s="1"/>
  <c r="BS48" i="2"/>
  <c r="BA48" i="2"/>
  <c r="CA48" i="2" s="1"/>
  <c r="AM48" i="2"/>
  <c r="BW48" i="2" s="1"/>
  <c r="CE47" i="2"/>
  <c r="BM47" i="2"/>
  <c r="CD47" i="2" s="1"/>
  <c r="BS47" i="2"/>
  <c r="BA47" i="2"/>
  <c r="CA47" i="2" s="1"/>
  <c r="AM47" i="2"/>
  <c r="BW47" i="2" s="1"/>
  <c r="CE46" i="2"/>
  <c r="BM46" i="2"/>
  <c r="CD46" i="2" s="1"/>
  <c r="L24" i="1"/>
  <c r="K24" i="1"/>
  <c r="J24" i="1"/>
  <c r="BS46" i="2"/>
  <c r="BA46" i="2"/>
  <c r="CA46" i="2" s="1"/>
  <c r="AM46" i="2"/>
  <c r="BW46" i="2" s="1"/>
  <c r="BS45" i="2"/>
  <c r="BA45" i="2"/>
  <c r="CA45" i="2" s="1"/>
  <c r="AM45" i="2"/>
  <c r="BW45" i="2" s="1"/>
  <c r="T45" i="2"/>
  <c r="BS44" i="2"/>
  <c r="BA44" i="2"/>
  <c r="CA44" i="2" s="1"/>
  <c r="AM44" i="2"/>
  <c r="BW44" i="2" s="1"/>
  <c r="T44" i="2"/>
  <c r="BS43" i="2"/>
  <c r="BA43" i="2"/>
  <c r="CA43" i="2" s="1"/>
  <c r="AM43" i="2"/>
  <c r="BW43" i="2" s="1"/>
  <c r="T43" i="2"/>
  <c r="BS42" i="2"/>
  <c r="BA42" i="2"/>
  <c r="CA42" i="2" s="1"/>
  <c r="AM42" i="2"/>
  <c r="BW42" i="2" s="1"/>
  <c r="T42" i="2"/>
  <c r="BS41" i="2"/>
  <c r="BA41" i="2"/>
  <c r="CA41" i="2" s="1"/>
  <c r="AM41" i="2"/>
  <c r="BW41" i="2" s="1"/>
  <c r="T41" i="2"/>
  <c r="BS40" i="2"/>
  <c r="BA40" i="2"/>
  <c r="CA40" i="2" s="1"/>
  <c r="AM40" i="2"/>
  <c r="BW40" i="2" s="1"/>
  <c r="T40" i="2"/>
  <c r="BS39" i="2"/>
  <c r="BA39" i="2"/>
  <c r="CA39" i="2" s="1"/>
  <c r="AM39" i="2"/>
  <c r="BW39" i="2" s="1"/>
  <c r="T39" i="2"/>
  <c r="BS38" i="2"/>
  <c r="BA38" i="2"/>
  <c r="CA38" i="2" s="1"/>
  <c r="AM38" i="2"/>
  <c r="BW38" i="2" s="1"/>
  <c r="T38" i="2"/>
  <c r="BS37" i="2"/>
  <c r="BA37" i="2"/>
  <c r="CA37" i="2" s="1"/>
  <c r="AM37" i="2"/>
  <c r="BW37" i="2" s="1"/>
  <c r="T37" i="2"/>
  <c r="BS36" i="2"/>
  <c r="BA36" i="2"/>
  <c r="CA36" i="2" s="1"/>
  <c r="AM36" i="2"/>
  <c r="BW36" i="2" s="1"/>
  <c r="T36" i="2"/>
  <c r="BS35" i="2"/>
  <c r="BA35" i="2"/>
  <c r="CA35" i="2" s="1"/>
  <c r="AM35" i="2"/>
  <c r="BW35" i="2" s="1"/>
  <c r="T35" i="2"/>
  <c r="BS34" i="2"/>
  <c r="BA34" i="2"/>
  <c r="CA34" i="2" s="1"/>
  <c r="AM34" i="2"/>
  <c r="BW34" i="2" s="1"/>
  <c r="T34" i="2"/>
  <c r="BS33" i="2"/>
  <c r="BA33" i="2"/>
  <c r="CA33" i="2" s="1"/>
  <c r="AM33" i="2"/>
  <c r="BW33" i="2" s="1"/>
  <c r="T33" i="2"/>
  <c r="BS32" i="2"/>
  <c r="BA32" i="2"/>
  <c r="CA32" i="2" s="1"/>
  <c r="AM32" i="2"/>
  <c r="BW32" i="2" s="1"/>
  <c r="T32" i="2"/>
  <c r="BS31" i="2"/>
  <c r="BA31" i="2"/>
  <c r="CA31" i="2" s="1"/>
  <c r="AM31" i="2"/>
  <c r="BW31" i="2" s="1"/>
  <c r="T31" i="2"/>
  <c r="BS30" i="2"/>
  <c r="BA30" i="2"/>
  <c r="CA30" i="2" s="1"/>
  <c r="AM30" i="2"/>
  <c r="BW30" i="2" s="1"/>
  <c r="T30" i="2"/>
  <c r="BS29" i="2"/>
  <c r="BA29" i="2"/>
  <c r="CA29" i="2" s="1"/>
  <c r="AM29" i="2"/>
  <c r="BW29" i="2" s="1"/>
  <c r="T29" i="2"/>
  <c r="BS28" i="2"/>
  <c r="BA28" i="2"/>
  <c r="CA28" i="2" s="1"/>
  <c r="AM28" i="2"/>
  <c r="BW28" i="2" s="1"/>
  <c r="T28" i="2"/>
  <c r="BS27" i="2"/>
  <c r="BA27" i="2"/>
  <c r="CA27" i="2" s="1"/>
  <c r="AM27" i="2"/>
  <c r="BW27" i="2" s="1"/>
  <c r="T27" i="2"/>
  <c r="BS26" i="2"/>
  <c r="BA26" i="2"/>
  <c r="CA26" i="2" s="1"/>
  <c r="AM26" i="2"/>
  <c r="BW26" i="2" s="1"/>
  <c r="T26" i="2"/>
  <c r="BS25" i="2"/>
  <c r="BA25" i="2"/>
  <c r="CA25" i="2" s="1"/>
  <c r="AM25" i="2"/>
  <c r="BW25" i="2" s="1"/>
  <c r="T25" i="2"/>
  <c r="BS24" i="2"/>
  <c r="BA24" i="2"/>
  <c r="CA24" i="2" s="1"/>
  <c r="AM24" i="2"/>
  <c r="BW24" i="2" s="1"/>
  <c r="T24" i="2"/>
  <c r="BS23" i="2"/>
  <c r="BA23" i="2"/>
  <c r="CA23" i="2" s="1"/>
  <c r="AM23" i="2"/>
  <c r="BW23" i="2" s="1"/>
  <c r="T23" i="2"/>
  <c r="BS22" i="2"/>
  <c r="BA22" i="2"/>
  <c r="CA22" i="2" s="1"/>
  <c r="AM22" i="2"/>
  <c r="BW22" i="2" s="1"/>
  <c r="T22" i="2"/>
  <c r="BS21" i="2"/>
  <c r="BA21" i="2"/>
  <c r="CA21" i="2" s="1"/>
  <c r="AM21" i="2"/>
  <c r="BW21" i="2" s="1"/>
  <c r="T21" i="2"/>
  <c r="BS20" i="2"/>
  <c r="BA20" i="2"/>
  <c r="CA20" i="2" s="1"/>
  <c r="AM20" i="2"/>
  <c r="BW20" i="2" s="1"/>
  <c r="T20" i="2"/>
  <c r="BS19" i="2"/>
  <c r="BA19" i="2"/>
  <c r="CA19" i="2" s="1"/>
  <c r="AM19" i="2"/>
  <c r="BW19" i="2" s="1"/>
  <c r="T19" i="2"/>
  <c r="BS18" i="2"/>
  <c r="BA18" i="2"/>
  <c r="CA18" i="2" s="1"/>
  <c r="AM18" i="2"/>
  <c r="BW18" i="2" s="1"/>
  <c r="T18" i="2"/>
  <c r="BS17" i="2"/>
  <c r="BA17" i="2"/>
  <c r="CA17" i="2" s="1"/>
  <c r="AM17" i="2"/>
  <c r="BW17" i="2" s="1"/>
  <c r="T17" i="2"/>
  <c r="BS16" i="2"/>
  <c r="BA16" i="2"/>
  <c r="CA16" i="2" s="1"/>
  <c r="AM16" i="2"/>
  <c r="BW16" i="2" s="1"/>
  <c r="T16" i="2"/>
  <c r="BS15" i="2"/>
  <c r="BA15" i="2"/>
  <c r="CA15" i="2" s="1"/>
  <c r="AM15" i="2"/>
  <c r="BW15" i="2" s="1"/>
  <c r="T15" i="2"/>
  <c r="BS14" i="2"/>
  <c r="BA14" i="2"/>
  <c r="CA14" i="2" s="1"/>
  <c r="AM14" i="2"/>
  <c r="BW14" i="2" s="1"/>
  <c r="T14" i="2"/>
  <c r="BS13" i="2"/>
  <c r="BA13" i="2"/>
  <c r="CA13" i="2" s="1"/>
  <c r="AM13" i="2"/>
  <c r="BW13" i="2" s="1"/>
  <c r="T13" i="2"/>
  <c r="BS12" i="2"/>
  <c r="BA12" i="2"/>
  <c r="CA12" i="2" s="1"/>
  <c r="AM12" i="2"/>
  <c r="BW12" i="2" s="1"/>
  <c r="T12" i="2"/>
  <c r="BS11" i="2"/>
  <c r="BA11" i="2"/>
  <c r="CA11" i="2" s="1"/>
  <c r="AM11" i="2"/>
  <c r="BW11" i="2" s="1"/>
  <c r="T11" i="2"/>
  <c r="BS10" i="2"/>
  <c r="BA10" i="2"/>
  <c r="CA10" i="2" s="1"/>
  <c r="AM10" i="2"/>
  <c r="BW10" i="2" s="1"/>
  <c r="T10" i="2"/>
  <c r="BS9" i="2"/>
  <c r="BA9" i="2"/>
  <c r="CA9" i="2" s="1"/>
  <c r="AM9" i="2"/>
  <c r="BW9" i="2" s="1"/>
  <c r="T9" i="2"/>
  <c r="BS8" i="2"/>
  <c r="BA8" i="2"/>
  <c r="CA8" i="2" s="1"/>
  <c r="AM8" i="2"/>
  <c r="BW8" i="2" s="1"/>
  <c r="T8" i="2"/>
  <c r="BS7" i="2"/>
  <c r="BA7" i="2"/>
  <c r="CA7" i="2" s="1"/>
  <c r="AM7" i="2"/>
  <c r="BW7" i="2" s="1"/>
  <c r="T7" i="2"/>
  <c r="BS6" i="2"/>
  <c r="BA6" i="2"/>
  <c r="CA6" i="2" s="1"/>
  <c r="AM6" i="2"/>
  <c r="BW6" i="2" s="1"/>
  <c r="T6" i="2"/>
  <c r="BS5" i="2"/>
  <c r="BA5" i="2"/>
  <c r="CA5" i="2" s="1"/>
  <c r="AM5" i="2"/>
  <c r="BW5" i="2" s="1"/>
  <c r="T5" i="2"/>
  <c r="BS4" i="2"/>
  <c r="BA4" i="2"/>
  <c r="CA4" i="2" s="1"/>
  <c r="AM4" i="2"/>
  <c r="BW4" i="2" s="1"/>
  <c r="T4" i="2"/>
  <c r="BS3" i="2"/>
  <c r="BA3" i="2"/>
  <c r="CA3" i="2" s="1"/>
  <c r="AM3" i="2"/>
  <c r="BW3" i="2" s="1"/>
  <c r="T3" i="2"/>
  <c r="BR3" i="2" l="1"/>
  <c r="AX3" i="2"/>
  <c r="BZ3" i="2" s="1"/>
  <c r="AJ3" i="2"/>
  <c r="BV3" i="2" s="1"/>
  <c r="Q3" i="2"/>
  <c r="O13" i="1"/>
  <c r="N13" i="1"/>
  <c r="M11" i="1"/>
  <c r="L11" i="1"/>
  <c r="K11" i="1"/>
  <c r="J11" i="1"/>
  <c r="P11" i="1" s="1"/>
  <c r="BR4" i="2"/>
  <c r="AX4" i="2"/>
  <c r="BZ4" i="2" s="1"/>
  <c r="AJ4" i="2"/>
  <c r="BV4" i="2" s="1"/>
  <c r="Q4" i="2"/>
  <c r="BR5" i="2"/>
  <c r="AX5" i="2"/>
  <c r="BZ5" i="2" s="1"/>
  <c r="AJ5" i="2"/>
  <c r="BV5" i="2" s="1"/>
  <c r="Q5" i="2"/>
  <c r="BR6" i="2"/>
  <c r="AX6" i="2"/>
  <c r="BZ6" i="2" s="1"/>
  <c r="AJ6" i="2"/>
  <c r="BV6" i="2" s="1"/>
  <c r="Q6" i="2"/>
  <c r="BR7" i="2"/>
  <c r="AX7" i="2"/>
  <c r="BZ7" i="2" s="1"/>
  <c r="AJ7" i="2"/>
  <c r="BV7" i="2" s="1"/>
  <c r="Q7" i="2"/>
  <c r="BR8" i="2"/>
  <c r="AX8" i="2"/>
  <c r="BZ8" i="2" s="1"/>
  <c r="AJ8" i="2"/>
  <c r="BV8" i="2" s="1"/>
  <c r="Q8" i="2"/>
  <c r="BR9" i="2"/>
  <c r="AX9" i="2"/>
  <c r="BZ9" i="2" s="1"/>
  <c r="AJ9" i="2"/>
  <c r="BV9" i="2" s="1"/>
  <c r="Q9" i="2"/>
  <c r="BR10" i="2"/>
  <c r="AX10" i="2"/>
  <c r="BZ10" i="2" s="1"/>
  <c r="AJ10" i="2"/>
  <c r="BV10" i="2" s="1"/>
  <c r="Q10" i="2"/>
  <c r="BR11" i="2"/>
  <c r="AX11" i="2"/>
  <c r="BZ11" i="2" s="1"/>
  <c r="AJ11" i="2"/>
  <c r="BV11" i="2" s="1"/>
  <c r="Q11" i="2"/>
  <c r="BR12" i="2"/>
  <c r="AX12" i="2"/>
  <c r="BZ12" i="2" s="1"/>
  <c r="AJ12" i="2"/>
  <c r="BV12" i="2" s="1"/>
  <c r="Q12" i="2"/>
  <c r="BR13" i="2"/>
  <c r="AX13" i="2"/>
  <c r="BZ13" i="2" s="1"/>
  <c r="AJ13" i="2"/>
  <c r="BV13" i="2" s="1"/>
  <c r="Q13" i="2"/>
  <c r="BR14" i="2"/>
  <c r="AX14" i="2"/>
  <c r="BZ14" i="2" s="1"/>
  <c r="AJ14" i="2"/>
  <c r="BV14" i="2" s="1"/>
  <c r="Q14" i="2"/>
  <c r="BR15" i="2"/>
  <c r="AX15" i="2"/>
  <c r="BZ15" i="2" s="1"/>
  <c r="AJ15" i="2"/>
  <c r="BV15" i="2" s="1"/>
  <c r="Q15" i="2"/>
  <c r="BR16" i="2"/>
  <c r="AX16" i="2"/>
  <c r="BZ16" i="2" s="1"/>
  <c r="AJ16" i="2"/>
  <c r="BV16" i="2" s="1"/>
  <c r="Q16" i="2"/>
  <c r="BR17" i="2"/>
  <c r="AX17" i="2"/>
  <c r="BZ17" i="2" s="1"/>
  <c r="AJ17" i="2"/>
  <c r="BV17" i="2" s="1"/>
  <c r="Q17" i="2"/>
  <c r="BR18" i="2"/>
  <c r="AX18" i="2"/>
  <c r="BZ18" i="2" s="1"/>
  <c r="AJ18" i="2"/>
  <c r="BV18" i="2" s="1"/>
  <c r="Q18" i="2"/>
  <c r="BR19" i="2"/>
  <c r="AX19" i="2"/>
  <c r="BZ19" i="2" s="1"/>
  <c r="AJ19" i="2"/>
  <c r="BV19" i="2" s="1"/>
  <c r="Q19" i="2"/>
  <c r="BR20" i="2"/>
  <c r="AX20" i="2"/>
  <c r="BZ20" i="2" s="1"/>
  <c r="AJ20" i="2"/>
  <c r="BV20" i="2" s="1"/>
  <c r="Q20" i="2"/>
  <c r="BR21" i="2"/>
  <c r="AX21" i="2"/>
  <c r="BZ21" i="2" s="1"/>
  <c r="AJ21" i="2"/>
  <c r="BV21" i="2" s="1"/>
  <c r="Q21" i="2"/>
  <c r="BR22" i="2"/>
  <c r="AX22" i="2"/>
  <c r="BZ22" i="2" s="1"/>
  <c r="AJ22" i="2"/>
  <c r="BV22" i="2" s="1"/>
  <c r="Q22" i="2"/>
  <c r="BR23" i="2"/>
  <c r="AX23" i="2"/>
  <c r="BZ23" i="2" s="1"/>
  <c r="AJ23" i="2"/>
  <c r="BV23" i="2" s="1"/>
  <c r="Q23" i="2"/>
  <c r="BR24" i="2"/>
  <c r="AX24" i="2"/>
  <c r="BZ24" i="2" s="1"/>
  <c r="AJ24" i="2"/>
  <c r="BV24" i="2" s="1"/>
  <c r="Q24" i="2"/>
  <c r="BR25" i="2"/>
  <c r="AX25" i="2"/>
  <c r="BZ25" i="2" s="1"/>
  <c r="AJ25" i="2"/>
  <c r="BV25" i="2" s="1"/>
  <c r="Q25" i="2"/>
  <c r="BR26" i="2"/>
  <c r="AX26" i="2"/>
  <c r="BZ26" i="2" s="1"/>
  <c r="AJ26" i="2"/>
  <c r="BV26" i="2" s="1"/>
  <c r="Q26" i="2"/>
  <c r="BR27" i="2"/>
  <c r="AX27" i="2"/>
  <c r="BZ27" i="2" s="1"/>
  <c r="AJ27" i="2"/>
  <c r="BV27" i="2" s="1"/>
  <c r="Q27" i="2"/>
  <c r="BR28" i="2"/>
  <c r="AX28" i="2"/>
  <c r="BZ28" i="2" s="1"/>
  <c r="AJ28" i="2"/>
  <c r="BV28" i="2" s="1"/>
  <c r="Q28" i="2"/>
  <c r="BR29" i="2"/>
  <c r="AX29" i="2"/>
  <c r="BZ29" i="2" s="1"/>
  <c r="AJ29" i="2"/>
  <c r="BV29" i="2" s="1"/>
  <c r="Q29" i="2"/>
  <c r="BR30" i="2"/>
  <c r="AX30" i="2"/>
  <c r="BZ30" i="2" s="1"/>
  <c r="AJ30" i="2"/>
  <c r="BV30" i="2" s="1"/>
  <c r="Q30" i="2"/>
  <c r="BR31" i="2"/>
  <c r="AX31" i="2"/>
  <c r="BZ31" i="2" s="1"/>
  <c r="AJ31" i="2"/>
  <c r="BV31" i="2" s="1"/>
  <c r="Q31" i="2"/>
  <c r="BR32" i="2"/>
  <c r="AX32" i="2"/>
  <c r="BZ32" i="2" s="1"/>
  <c r="AJ32" i="2"/>
  <c r="BV32" i="2" s="1"/>
  <c r="Q32" i="2"/>
  <c r="BR33" i="2"/>
  <c r="AX33" i="2"/>
  <c r="BZ33" i="2" s="1"/>
  <c r="AJ33" i="2"/>
  <c r="BV33" i="2" s="1"/>
  <c r="Q33" i="2"/>
  <c r="BR34" i="2"/>
  <c r="AX34" i="2"/>
  <c r="BZ34" i="2" s="1"/>
  <c r="AJ34" i="2"/>
  <c r="BV34" i="2" s="1"/>
  <c r="Q34" i="2"/>
  <c r="BR35" i="2"/>
  <c r="AX35" i="2"/>
  <c r="BZ35" i="2" s="1"/>
  <c r="AJ35" i="2"/>
  <c r="BV35" i="2" s="1"/>
  <c r="Q35" i="2"/>
  <c r="BR36" i="2"/>
  <c r="AX36" i="2"/>
  <c r="BZ36" i="2" s="1"/>
  <c r="AJ36" i="2"/>
  <c r="BV36" i="2" s="1"/>
  <c r="Q36" i="2"/>
  <c r="BR37" i="2"/>
  <c r="AX37" i="2"/>
  <c r="BZ37" i="2" s="1"/>
  <c r="AJ37" i="2"/>
  <c r="BV37" i="2" s="1"/>
  <c r="Q37" i="2"/>
  <c r="BR38" i="2"/>
  <c r="AX38" i="2"/>
  <c r="BZ38" i="2" s="1"/>
  <c r="AJ38" i="2"/>
  <c r="BV38" i="2" s="1"/>
  <c r="Q38" i="2"/>
  <c r="BR39" i="2"/>
  <c r="AX39" i="2"/>
  <c r="BZ39" i="2" s="1"/>
  <c r="AJ39" i="2"/>
  <c r="BV39" i="2" s="1"/>
  <c r="Q39" i="2"/>
  <c r="BR40" i="2"/>
  <c r="AX40" i="2"/>
  <c r="BZ40" i="2" s="1"/>
  <c r="AJ40" i="2"/>
  <c r="BV40" i="2" s="1"/>
  <c r="Q40" i="2"/>
  <c r="BR41" i="2"/>
  <c r="AX41" i="2"/>
  <c r="BZ41" i="2" s="1"/>
  <c r="AJ41" i="2"/>
  <c r="BV41" i="2" s="1"/>
  <c r="Q41" i="2"/>
  <c r="BR42" i="2"/>
  <c r="AX42" i="2"/>
  <c r="BZ42" i="2" s="1"/>
  <c r="AJ42" i="2"/>
  <c r="BV42" i="2" s="1"/>
  <c r="Q42" i="2"/>
  <c r="BR43" i="2"/>
  <c r="AX43" i="2"/>
  <c r="BZ43" i="2" s="1"/>
  <c r="AJ43" i="2"/>
  <c r="BV43" i="2" s="1"/>
  <c r="Q43" i="2"/>
  <c r="BR44" i="2"/>
  <c r="AX44" i="2"/>
  <c r="BZ44" i="2" s="1"/>
  <c r="AJ44" i="2"/>
  <c r="BV44" i="2" s="1"/>
  <c r="Q44" i="2"/>
  <c r="BR45" i="2"/>
  <c r="AX45" i="2"/>
  <c r="BZ45" i="2" s="1"/>
  <c r="AJ45" i="2"/>
  <c r="BV45" i="2" s="1"/>
  <c r="Q45" i="2"/>
  <c r="BQ45" i="2" l="1"/>
  <c r="AU45" i="2"/>
  <c r="BY45" i="2" s="1"/>
  <c r="AG45" i="2"/>
  <c r="BU45" i="2" s="1"/>
  <c r="G45" i="2"/>
  <c r="D45" i="2"/>
  <c r="BQ44" i="2"/>
  <c r="AU44" i="2"/>
  <c r="BY44" i="2" s="1"/>
  <c r="AG44" i="2"/>
  <c r="BU44" i="2" s="1"/>
  <c r="G44" i="2"/>
  <c r="D44" i="2"/>
  <c r="BQ43" i="2"/>
  <c r="AU43" i="2"/>
  <c r="BY43" i="2" s="1"/>
  <c r="AG43" i="2"/>
  <c r="BU43" i="2" s="1"/>
  <c r="G43" i="2"/>
  <c r="D43" i="2"/>
  <c r="BQ42" i="2"/>
  <c r="AU42" i="2"/>
  <c r="BY42" i="2" s="1"/>
  <c r="AG42" i="2"/>
  <c r="BU42" i="2" s="1"/>
  <c r="G42" i="2"/>
  <c r="D42" i="2"/>
  <c r="BQ41" i="2"/>
  <c r="AU41" i="2"/>
  <c r="BY41" i="2" s="1"/>
  <c r="AG41" i="2"/>
  <c r="BU41" i="2" s="1"/>
  <c r="G41" i="2"/>
  <c r="D41" i="2"/>
  <c r="BQ40" i="2"/>
  <c r="AU40" i="2"/>
  <c r="BY40" i="2" s="1"/>
  <c r="AG40" i="2"/>
  <c r="BU40" i="2" s="1"/>
  <c r="G40" i="2"/>
  <c r="D40" i="2"/>
  <c r="BQ39" i="2"/>
  <c r="AU39" i="2"/>
  <c r="BY39" i="2" s="1"/>
  <c r="AG39" i="2"/>
  <c r="BU39" i="2" s="1"/>
  <c r="G39" i="2"/>
  <c r="D39" i="2"/>
  <c r="BQ38" i="2"/>
  <c r="AU38" i="2"/>
  <c r="BY38" i="2" s="1"/>
  <c r="AG38" i="2"/>
  <c r="BU38" i="2" s="1"/>
  <c r="G38" i="2"/>
  <c r="D38" i="2"/>
  <c r="BQ37" i="2"/>
  <c r="AU37" i="2"/>
  <c r="BY37" i="2" s="1"/>
  <c r="AG37" i="2"/>
  <c r="BU37" i="2" s="1"/>
  <c r="G37" i="2"/>
  <c r="D37" i="2"/>
  <c r="BQ36" i="2"/>
  <c r="AU36" i="2"/>
  <c r="BY36" i="2" s="1"/>
  <c r="AG36" i="2"/>
  <c r="BU36" i="2" s="1"/>
  <c r="G36" i="2"/>
  <c r="D36" i="2"/>
  <c r="BQ35" i="2"/>
  <c r="AU35" i="2"/>
  <c r="BY35" i="2" s="1"/>
  <c r="AG35" i="2"/>
  <c r="BU35" i="2" s="1"/>
  <c r="G35" i="2"/>
  <c r="D35" i="2"/>
  <c r="CG35" i="2" s="1"/>
  <c r="BQ34" i="2"/>
  <c r="AU34" i="2"/>
  <c r="BY34" i="2" s="1"/>
  <c r="AG34" i="2"/>
  <c r="BU34" i="2" s="1"/>
  <c r="G34" i="2"/>
  <c r="D34" i="2"/>
  <c r="CG34" i="2" s="1"/>
  <c r="BQ33" i="2"/>
  <c r="AU33" i="2"/>
  <c r="BY33" i="2" s="1"/>
  <c r="AG33" i="2"/>
  <c r="BU33" i="2" s="1"/>
  <c r="G33" i="2"/>
  <c r="D33" i="2"/>
  <c r="CG33" i="2" s="1"/>
  <c r="BQ32" i="2"/>
  <c r="AU32" i="2"/>
  <c r="AG32" i="2"/>
  <c r="AA32" i="2"/>
  <c r="BT32" i="2" s="1"/>
  <c r="BQ31" i="2"/>
  <c r="AU31" i="2"/>
  <c r="BY31" i="2" s="1"/>
  <c r="AG31" i="2"/>
  <c r="BU31" i="2" s="1"/>
  <c r="G31" i="2"/>
  <c r="D31" i="2"/>
  <c r="CG31" i="2" s="1"/>
  <c r="BQ30" i="2"/>
  <c r="AU30" i="2"/>
  <c r="BY30" i="2" s="1"/>
  <c r="AG30" i="2"/>
  <c r="BU30" i="2" s="1"/>
  <c r="G30" i="2"/>
  <c r="D30" i="2"/>
  <c r="CG30" i="2" s="1"/>
  <c r="BQ29" i="2"/>
  <c r="AU29" i="2"/>
  <c r="AG29" i="2"/>
  <c r="AA29" i="2"/>
  <c r="BT29" i="2" s="1"/>
  <c r="BQ28" i="2"/>
  <c r="AU28" i="2"/>
  <c r="BY28" i="2" s="1"/>
  <c r="AG28" i="2"/>
  <c r="BU28" i="2" s="1"/>
  <c r="G28" i="2"/>
  <c r="D28" i="2"/>
  <c r="CG28" i="2" s="1"/>
  <c r="BQ27" i="2"/>
  <c r="AU27" i="2"/>
  <c r="BY27" i="2" s="1"/>
  <c r="AG27" i="2"/>
  <c r="BU27" i="2" s="1"/>
  <c r="G27" i="2"/>
  <c r="D27" i="2"/>
  <c r="CG27" i="2" s="1"/>
  <c r="BQ26" i="2"/>
  <c r="AU26" i="2"/>
  <c r="BY26" i="2" s="1"/>
  <c r="AG26" i="2"/>
  <c r="BU26" i="2" s="1"/>
  <c r="G26" i="2"/>
  <c r="D26" i="2"/>
  <c r="CG26" i="2" s="1"/>
  <c r="BQ25" i="2"/>
  <c r="AU25" i="2"/>
  <c r="BY25" i="2" s="1"/>
  <c r="AG25" i="2"/>
  <c r="BU25" i="2" s="1"/>
  <c r="G25" i="2"/>
  <c r="D25" i="2"/>
  <c r="CG25" i="2" s="1"/>
  <c r="BQ24" i="2"/>
  <c r="AU24" i="2"/>
  <c r="BY24" i="2" s="1"/>
  <c r="AG24" i="2"/>
  <c r="BU24" i="2" s="1"/>
  <c r="G24" i="2"/>
  <c r="D24" i="2"/>
  <c r="CG24" i="2" s="1"/>
  <c r="BQ23" i="2"/>
  <c r="AU23" i="2"/>
  <c r="BY23" i="2" s="1"/>
  <c r="AG23" i="2"/>
  <c r="BU23" i="2" s="1"/>
  <c r="G23" i="2"/>
  <c r="D23" i="2"/>
  <c r="CG23" i="2" s="1"/>
  <c r="BQ22" i="2"/>
  <c r="AU22" i="2"/>
  <c r="BY22" i="2" s="1"/>
  <c r="AG22" i="2"/>
  <c r="BU22" i="2" s="1"/>
  <c r="G22" i="2"/>
  <c r="D22" i="2"/>
  <c r="CG22" i="2" s="1"/>
  <c r="BQ21" i="2"/>
  <c r="AU21" i="2"/>
  <c r="AG21" i="2"/>
  <c r="AA21" i="2"/>
  <c r="BT21" i="2" s="1"/>
  <c r="BQ20" i="2"/>
  <c r="AU20" i="2"/>
  <c r="BY20" i="2" s="1"/>
  <c r="AG20" i="2"/>
  <c r="BU20" i="2" s="1"/>
  <c r="G20" i="2"/>
  <c r="D20" i="2"/>
  <c r="CG20" i="2" s="1"/>
  <c r="BQ19" i="2"/>
  <c r="AU19" i="2"/>
  <c r="BY19" i="2" s="1"/>
  <c r="AG19" i="2"/>
  <c r="BU19" i="2" s="1"/>
  <c r="G19" i="2"/>
  <c r="D19" i="2"/>
  <c r="CG19" i="2" s="1"/>
  <c r="BQ18" i="2"/>
  <c r="AU18" i="2"/>
  <c r="BY18" i="2" s="1"/>
  <c r="AG18" i="2"/>
  <c r="BU18" i="2" s="1"/>
  <c r="G18" i="2"/>
  <c r="D18" i="2"/>
  <c r="CG18" i="2" s="1"/>
  <c r="BQ17" i="2"/>
  <c r="AU17" i="2"/>
  <c r="BY17" i="2" s="1"/>
  <c r="AG17" i="2"/>
  <c r="BU17" i="2" s="1"/>
  <c r="G17" i="2"/>
  <c r="D17" i="2"/>
  <c r="CG17" i="2" s="1"/>
  <c r="BQ16" i="2"/>
  <c r="AU16" i="2"/>
  <c r="BY16" i="2" s="1"/>
  <c r="AG16" i="2"/>
  <c r="BU16" i="2" s="1"/>
  <c r="G16" i="2"/>
  <c r="D16" i="2"/>
  <c r="CG16" i="2" s="1"/>
  <c r="BQ15" i="2"/>
  <c r="AU15" i="2"/>
  <c r="BY15" i="2" s="1"/>
  <c r="AG15" i="2"/>
  <c r="BU15" i="2" s="1"/>
  <c r="G15" i="2"/>
  <c r="D15" i="2"/>
  <c r="CG15" i="2" s="1"/>
  <c r="BQ14" i="2"/>
  <c r="AU14" i="2"/>
  <c r="BY14" i="2" s="1"/>
  <c r="AG14" i="2"/>
  <c r="BU14" i="2" s="1"/>
  <c r="G14" i="2"/>
  <c r="D14" i="2"/>
  <c r="CG14" i="2" s="1"/>
  <c r="BQ13" i="2"/>
  <c r="AU13" i="2"/>
  <c r="AG13" i="2"/>
  <c r="AA13" i="2"/>
  <c r="BQ12" i="2"/>
  <c r="AU12" i="2"/>
  <c r="BY12" i="2" s="1"/>
  <c r="AG12" i="2"/>
  <c r="BU12" i="2" s="1"/>
  <c r="G12" i="2"/>
  <c r="D12" i="2"/>
  <c r="CG12" i="2" s="1"/>
  <c r="BQ11" i="2"/>
  <c r="AU11" i="2"/>
  <c r="BY11" i="2" s="1"/>
  <c r="AG11" i="2"/>
  <c r="BU11" i="2" s="1"/>
  <c r="G11" i="2"/>
  <c r="D11" i="2"/>
  <c r="CG11" i="2" s="1"/>
  <c r="BQ10" i="2"/>
  <c r="AU10" i="2"/>
  <c r="BY10" i="2" s="1"/>
  <c r="AG10" i="2"/>
  <c r="BU10" i="2" s="1"/>
  <c r="G10" i="2"/>
  <c r="D10" i="2"/>
  <c r="CG10" i="2" s="1"/>
  <c r="BQ9" i="2"/>
  <c r="AU9" i="2"/>
  <c r="BY9" i="2" s="1"/>
  <c r="AG9" i="2"/>
  <c r="BU9" i="2" s="1"/>
  <c r="G9" i="2"/>
  <c r="D9" i="2"/>
  <c r="CG9" i="2" s="1"/>
  <c r="BQ8" i="2"/>
  <c r="AU8" i="2"/>
  <c r="BY8" i="2" s="1"/>
  <c r="AG8" i="2"/>
  <c r="BU8" i="2" s="1"/>
  <c r="G8" i="2"/>
  <c r="D8" i="2"/>
  <c r="CG8" i="2" s="1"/>
  <c r="BQ7" i="2"/>
  <c r="AU7" i="2"/>
  <c r="BY7" i="2" s="1"/>
  <c r="AG7" i="2"/>
  <c r="BU7" i="2" s="1"/>
  <c r="G7" i="2"/>
  <c r="D7" i="2"/>
  <c r="CG7" i="2" s="1"/>
  <c r="BQ6" i="2"/>
  <c r="AU6" i="2"/>
  <c r="BY6" i="2" s="1"/>
  <c r="AG6" i="2"/>
  <c r="BU6" i="2" s="1"/>
  <c r="G6" i="2"/>
  <c r="D6" i="2"/>
  <c r="CG6" i="2" s="1"/>
  <c r="BQ5" i="2"/>
  <c r="AU5" i="2"/>
  <c r="BY5" i="2" s="1"/>
  <c r="AG5" i="2"/>
  <c r="BU5" i="2" s="1"/>
  <c r="G5" i="2"/>
  <c r="D5" i="2"/>
  <c r="CG5" i="2" s="1"/>
  <c r="BQ4" i="2"/>
  <c r="AU4" i="2"/>
  <c r="BY4" i="2" s="1"/>
  <c r="AG4" i="2"/>
  <c r="BU4" i="2" s="1"/>
  <c r="G4" i="2"/>
  <c r="D4" i="2"/>
  <c r="CG4" i="2" s="1"/>
  <c r="BQ3" i="2"/>
  <c r="AU3" i="2"/>
  <c r="BY3" i="2" s="1"/>
  <c r="AG3" i="2"/>
  <c r="BU3" i="2" s="1"/>
  <c r="G3" i="2"/>
  <c r="D3" i="2"/>
  <c r="O12" i="1"/>
  <c r="N12" i="1"/>
  <c r="M10" i="1"/>
  <c r="L10" i="1"/>
  <c r="K10" i="1"/>
  <c r="J10" i="1"/>
  <c r="P10" i="1" s="1"/>
  <c r="CG3" i="2" l="1"/>
  <c r="F3" i="2"/>
  <c r="F4" i="2"/>
  <c r="F5" i="2"/>
  <c r="F6" i="2"/>
  <c r="F7" i="2"/>
  <c r="F8" i="2"/>
  <c r="F9" i="2"/>
  <c r="F10" i="2"/>
  <c r="F11" i="2"/>
  <c r="F12" i="2"/>
  <c r="BT13" i="2"/>
  <c r="M19" i="1"/>
  <c r="O17" i="1"/>
  <c r="N17" i="1"/>
  <c r="L13" i="1"/>
  <c r="K13" i="1"/>
  <c r="J13" i="1"/>
  <c r="P13" i="1" s="1"/>
  <c r="BU13" i="2"/>
  <c r="AP13" i="2"/>
  <c r="BY13" i="2"/>
  <c r="BD13" i="2"/>
  <c r="F14" i="2"/>
  <c r="F15" i="2"/>
  <c r="F16" i="2"/>
  <c r="F17" i="2"/>
  <c r="F18" i="2"/>
  <c r="F19" i="2"/>
  <c r="F20" i="2"/>
  <c r="BU21" i="2"/>
  <c r="AP21" i="2"/>
  <c r="BY21" i="2"/>
  <c r="BD21" i="2"/>
  <c r="CB21" i="2" s="1"/>
  <c r="F22" i="2"/>
  <c r="F23" i="2"/>
  <c r="F24" i="2"/>
  <c r="F25" i="2"/>
  <c r="F26" i="2"/>
  <c r="F27" i="2"/>
  <c r="F28" i="2"/>
  <c r="BU29" i="2"/>
  <c r="AP29" i="2"/>
  <c r="BY29" i="2"/>
  <c r="BD29" i="2"/>
  <c r="CB29" i="2" s="1"/>
  <c r="F30" i="2"/>
  <c r="F31" i="2"/>
  <c r="BU32" i="2"/>
  <c r="AP32" i="2"/>
  <c r="BY32" i="2"/>
  <c r="BD32" i="2"/>
  <c r="CB32" i="2" s="1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BP45" i="2" l="1"/>
  <c r="E45" i="2"/>
  <c r="CG45" i="2"/>
  <c r="BP44" i="2"/>
  <c r="E44" i="2"/>
  <c r="CG44" i="2"/>
  <c r="BP43" i="2"/>
  <c r="E43" i="2"/>
  <c r="CG43" i="2"/>
  <c r="BP42" i="2"/>
  <c r="E42" i="2"/>
  <c r="CG42" i="2"/>
  <c r="BP41" i="2"/>
  <c r="E41" i="2"/>
  <c r="CG41" i="2"/>
  <c r="BP40" i="2"/>
  <c r="E40" i="2"/>
  <c r="CG40" i="2"/>
  <c r="BP39" i="2"/>
  <c r="E39" i="2"/>
  <c r="CG39" i="2"/>
  <c r="BP38" i="2"/>
  <c r="E38" i="2"/>
  <c r="CG38" i="2"/>
  <c r="BP37" i="2"/>
  <c r="E37" i="2"/>
  <c r="CG37" i="2"/>
  <c r="BP36" i="2"/>
  <c r="E36" i="2"/>
  <c r="CG36" i="2"/>
  <c r="BP35" i="2"/>
  <c r="E35" i="2"/>
  <c r="BP34" i="2"/>
  <c r="E34" i="2"/>
  <c r="BP33" i="2"/>
  <c r="E33" i="2"/>
  <c r="BX32" i="2"/>
  <c r="F32" i="2" s="1"/>
  <c r="G32" i="2"/>
  <c r="D32" i="2"/>
  <c r="CG32" i="2" s="1"/>
  <c r="BP31" i="2"/>
  <c r="E31" i="2"/>
  <c r="BP30" i="2"/>
  <c r="E30" i="2"/>
  <c r="BX29" i="2"/>
  <c r="F29" i="2" s="1"/>
  <c r="G29" i="2"/>
  <c r="D29" i="2"/>
  <c r="CG29" i="2" s="1"/>
  <c r="BP28" i="2"/>
  <c r="E28" i="2"/>
  <c r="BP27" i="2"/>
  <c r="E27" i="2"/>
  <c r="BP26" i="2"/>
  <c r="E26" i="2"/>
  <c r="BP25" i="2"/>
  <c r="E25" i="2"/>
  <c r="BP24" i="2"/>
  <c r="E24" i="2"/>
  <c r="BP23" i="2"/>
  <c r="E23" i="2"/>
  <c r="BP22" i="2"/>
  <c r="E22" i="2"/>
  <c r="BX21" i="2"/>
  <c r="F21" i="2" s="1"/>
  <c r="G21" i="2"/>
  <c r="D21" i="2"/>
  <c r="CG21" i="2" s="1"/>
  <c r="BP20" i="2"/>
  <c r="E20" i="2"/>
  <c r="BP19" i="2"/>
  <c r="E19" i="2"/>
  <c r="BP18" i="2"/>
  <c r="E18" i="2"/>
  <c r="BP17" i="2"/>
  <c r="E17" i="2"/>
  <c r="BP16" i="2"/>
  <c r="E16" i="2"/>
  <c r="BP15" i="2"/>
  <c r="E15" i="2"/>
  <c r="BP14" i="2"/>
  <c r="E14" i="2"/>
  <c r="CB13" i="2"/>
  <c r="L21" i="1"/>
  <c r="K21" i="1"/>
  <c r="J21" i="1"/>
  <c r="Q5" i="1"/>
  <c r="BX13" i="2"/>
  <c r="F13" i="2" s="1"/>
  <c r="L17" i="1"/>
  <c r="K17" i="1"/>
  <c r="J17" i="1"/>
  <c r="P17" i="1" s="1"/>
  <c r="G13" i="2"/>
  <c r="O5" i="1" s="1"/>
  <c r="D13" i="2"/>
  <c r="K5" i="1"/>
  <c r="I5" i="1"/>
  <c r="F5" i="1"/>
  <c r="D5" i="1"/>
  <c r="BP12" i="2"/>
  <c r="E12" i="2"/>
  <c r="BP11" i="2"/>
  <c r="E11" i="2"/>
  <c r="BP10" i="2"/>
  <c r="E10" i="2"/>
  <c r="BP9" i="2"/>
  <c r="E9" i="2"/>
  <c r="BP8" i="2"/>
  <c r="E8" i="2"/>
  <c r="BP7" i="2"/>
  <c r="E7" i="2"/>
  <c r="BP6" i="2"/>
  <c r="E6" i="2"/>
  <c r="BP5" i="2"/>
  <c r="E5" i="2"/>
  <c r="BP4" i="2"/>
  <c r="E4" i="2"/>
  <c r="BP3" i="2"/>
  <c r="E3" i="2"/>
  <c r="CG13" i="2" l="1"/>
  <c r="M5" i="1"/>
  <c r="BP13" i="2"/>
  <c r="E13" i="2"/>
  <c r="BP21" i="2"/>
  <c r="E21" i="2"/>
  <c r="BP29" i="2"/>
  <c r="E29" i="2"/>
  <c r="BP32" i="2"/>
  <c r="E32" i="2"/>
  <c r="B18" i="1" l="1"/>
  <c r="B17" i="1"/>
  <c r="B16" i="1"/>
  <c r="B15" i="1"/>
  <c r="B14" i="1"/>
  <c r="B13" i="1"/>
  <c r="B12" i="1"/>
  <c r="B11" i="1"/>
  <c r="B21" i="1"/>
  <c r="B20" i="1"/>
  <c r="B19" i="1"/>
  <c r="B10" i="1"/>
  <c r="M21" i="1"/>
  <c r="L25" i="1"/>
  <c r="K25" i="1"/>
  <c r="J25" i="1"/>
  <c r="L22" i="1"/>
  <c r="K22" i="1"/>
  <c r="J22" i="1"/>
  <c r="M20" i="1"/>
  <c r="L20" i="1"/>
  <c r="K20" i="1"/>
  <c r="J20" i="1"/>
  <c r="P20" i="1"/>
  <c r="O19" i="1"/>
  <c r="N19" i="1"/>
  <c r="L19" i="1"/>
  <c r="K19" i="1"/>
  <c r="J19" i="1"/>
  <c r="P19" i="1"/>
  <c r="L18" i="1"/>
  <c r="K18" i="1"/>
  <c r="J18" i="1"/>
  <c r="P18" i="1"/>
  <c r="L16" i="1"/>
  <c r="K16" i="1"/>
  <c r="J16" i="1"/>
  <c r="P16" i="1"/>
  <c r="O15" i="1"/>
  <c r="N15" i="1"/>
  <c r="M15" i="1"/>
  <c r="L15" i="1"/>
  <c r="K15" i="1"/>
  <c r="J15" i="1"/>
  <c r="P15" i="1"/>
  <c r="M14" i="1"/>
  <c r="L14" i="1"/>
  <c r="K14" i="1"/>
  <c r="J14" i="1"/>
  <c r="P14" i="1"/>
  <c r="M13" i="1"/>
  <c r="M12" i="1"/>
  <c r="L12" i="1"/>
  <c r="K12" i="1"/>
  <c r="J12" i="1"/>
  <c r="P12" i="1"/>
  <c r="O11" i="1"/>
  <c r="N11" i="1"/>
  <c r="O10" i="1"/>
  <c r="O21" i="1"/>
  <c r="N10" i="1"/>
  <c r="N21" i="1"/>
  <c r="G10" i="1" l="1"/>
  <c r="F10" i="1"/>
  <c r="E10" i="1"/>
  <c r="D10" i="1"/>
  <c r="C10" i="1"/>
  <c r="G19" i="1"/>
  <c r="F19" i="1"/>
  <c r="E19" i="1"/>
  <c r="D19" i="1"/>
  <c r="C19" i="1"/>
  <c r="G20" i="1"/>
  <c r="F20" i="1"/>
  <c r="E20" i="1"/>
  <c r="D20" i="1"/>
  <c r="C20" i="1"/>
  <c r="G21" i="1"/>
  <c r="F21" i="1"/>
  <c r="E21" i="1"/>
  <c r="D21" i="1"/>
  <c r="C21" i="1"/>
  <c r="G11" i="1"/>
  <c r="F11" i="1"/>
  <c r="E11" i="1"/>
  <c r="D11" i="1"/>
  <c r="C11" i="1"/>
  <c r="G12" i="1"/>
  <c r="F12" i="1"/>
  <c r="E12" i="1"/>
  <c r="D12" i="1"/>
  <c r="C12" i="1"/>
  <c r="G13" i="1"/>
  <c r="F13" i="1"/>
  <c r="E13" i="1"/>
  <c r="D13" i="1"/>
  <c r="C13" i="1"/>
  <c r="G14" i="1"/>
  <c r="F14" i="1"/>
  <c r="E14" i="1"/>
  <c r="D14" i="1"/>
  <c r="C14" i="1"/>
  <c r="G15" i="1"/>
  <c r="F15" i="1"/>
  <c r="E15" i="1"/>
  <c r="D15" i="1"/>
  <c r="C15" i="1"/>
  <c r="G16" i="1"/>
  <c r="F16" i="1"/>
  <c r="E16" i="1"/>
  <c r="D16" i="1"/>
  <c r="C16" i="1"/>
  <c r="G17" i="1"/>
  <c r="F17" i="1"/>
  <c r="E17" i="1"/>
  <c r="D17" i="1"/>
  <c r="C17" i="1"/>
  <c r="G18" i="1"/>
  <c r="F18" i="1"/>
  <c r="E18" i="1"/>
  <c r="D18" i="1"/>
  <c r="C18" i="1"/>
</calcChain>
</file>

<file path=xl/sharedStrings.xml><?xml version="1.0" encoding="utf-8"?>
<sst xmlns="http://schemas.openxmlformats.org/spreadsheetml/2006/main" count="658" uniqueCount="208">
  <si>
    <t>Application access &amp; release tracker</t>
  </si>
  <si>
    <t>Formulas only. Update yellow cells on Tracker. Sheet is locked.</t>
  </si>
  <si>
    <t>As of</t>
  </si>
  <si>
    <t>KPIs use current Tracker columns (File Type Z / Frequency AF shared). TBD is separate from N/A. Reopen/recalc if numbers look stale.</t>
  </si>
  <si>
    <t>Applications</t>
  </si>
  <si>
    <t>Overdue tickets</t>
  </si>
  <si>
    <t>Blocked</t>
  </si>
  <si>
    <t>Due in 7 days</t>
  </si>
  <si>
    <t>In progress</t>
  </si>
  <si>
    <t>Fully ready</t>
  </si>
  <si>
    <t>overdue (days)</t>
  </si>
  <si>
    <t>Raised on time</t>
  </si>
  <si>
    <t>Apps with a name filled</t>
  </si>
  <si>
    <t>Date in the past and status not Completed</t>
  </si>
  <si>
    <t>Requests marked Blocked</t>
  </si>
  <si>
    <t>Raise-by in the next week, not Completed</t>
  </si>
  <si>
    <t>Tickets marked In Progress</t>
  </si>
  <si>
    <t>Every dated request Completed</t>
  </si>
  <si>
    <t>Days past raise-by among open requests. Increases daily until Completed.</t>
  </si>
  <si>
    <t>Requests with Raised On filled on or before the raise-by date.</t>
  </si>
  <si>
    <t>Apps overdue - worst first (days overdue keeps increasing until Completed)</t>
  </si>
  <si>
    <t>Where work is stuck - by request type</t>
  </si>
  <si>
    <t>Application</t>
  </si>
  <si>
    <t>Sprint</t>
  </si>
  <si>
    <t>Overall Status</t>
  </si>
  <si>
    <t>Next Action</t>
  </si>
  <si>
    <t>Next Action Date</t>
  </si>
  <si>
    <t>Days overdue</t>
  </si>
  <si>
    <t>Request type</t>
  </si>
  <si>
    <t>Overdue</t>
  </si>
  <si>
    <t>In Progress</t>
  </si>
  <si>
    <t>Pending</t>
  </si>
  <si>
    <t>Completed</t>
  </si>
  <si>
    <t>Overdue bar</t>
  </si>
  <si>
    <t>Dev R-Task</t>
  </si>
  <si>
    <t>Dev OUR</t>
  </si>
  <si>
    <t>Dev Service Request</t>
  </si>
  <si>
    <t>Dev File R-Task</t>
  </si>
  <si>
    <t>QA R-Task</t>
  </si>
  <si>
    <t>QA OUR</t>
  </si>
  <si>
    <t>QA Service Request</t>
  </si>
  <si>
    <t>QA File R-Task</t>
  </si>
  <si>
    <t>Prod R-Task</t>
  </si>
  <si>
    <t>Prod OUR</t>
  </si>
  <si>
    <t>Prod Service Request</t>
  </si>
  <si>
    <t>Prod File R-Task</t>
  </si>
  <si>
    <t>Sprint Readiness</t>
  </si>
  <si>
    <t>CAB</t>
  </si>
  <si>
    <t>Code Review</t>
  </si>
  <si>
    <t>Code Review Invite</t>
  </si>
  <si>
    <t>CONTROL STRIP - always visible</t>
  </si>
  <si>
    <t>INPUTS - type dates</t>
  </si>
  <si>
    <t>AUDIT - Excel fills</t>
  </si>
  <si>
    <t>READY / READINESS</t>
  </si>
  <si>
    <t>DEV DB REQUESTS</t>
  </si>
  <si>
    <t>DEV FILE REQUESTS</t>
  </si>
  <si>
    <t>QA DB REQUESTS</t>
  </si>
  <si>
    <t>QA FILE REQUESTS</t>
  </si>
  <si>
    <t>PROD DB REQUESTS</t>
  </si>
  <si>
    <t>PROD FILE REQUESTS</t>
  </si>
  <si>
    <t>RELEASE GOVERNANCE</t>
  </si>
  <si>
    <t>VALIDATION</t>
  </si>
  <si>
    <t>Responsible PM</t>
  </si>
  <si>
    <t>Days Overdue</t>
  </si>
  <si>
    <t>Sprint Start</t>
  </si>
  <si>
    <t>Sprint End</t>
  </si>
  <si>
    <t>Release Date</t>
  </si>
  <si>
    <t>Effective Sprint Start</t>
  </si>
  <si>
    <t>Effective Sprint End</t>
  </si>
  <si>
    <t>Effective Release Date</t>
  </si>
  <si>
    <t>App Ready By</t>
  </si>
  <si>
    <t>Sprint Readiness Date</t>
  </si>
  <si>
    <t>Sprint Readiness Status</t>
  </si>
  <si>
    <t>Raised On</t>
  </si>
  <si>
    <t>Dev R-Task Status</t>
  </si>
  <si>
    <t>Dev OUR Status</t>
  </si>
  <si>
    <t>Dev SR Status</t>
  </si>
  <si>
    <t>File Type (all envs)</t>
  </si>
  <si>
    <t>Dev File R-Task Status</t>
  </si>
  <si>
    <t>IAM</t>
  </si>
  <si>
    <t>Ownership Identified</t>
  </si>
  <si>
    <t>Frequency (all envs)</t>
  </si>
  <si>
    <t>QA R-Task Status</t>
  </si>
  <si>
    <t>QA OUR Status</t>
  </si>
  <si>
    <t>QA SR Status</t>
  </si>
  <si>
    <t>QA File R-Task Status</t>
  </si>
  <si>
    <t>Prod R-Task Status</t>
  </si>
  <si>
    <t>Prod OUR Status</t>
  </si>
  <si>
    <t>Prod SR Status</t>
  </si>
  <si>
    <t>Prod File R-Task Status</t>
  </si>
  <si>
    <t>CAB Date</t>
  </si>
  <si>
    <t>CAB Status</t>
  </si>
  <si>
    <t>Code Review Date</t>
  </si>
  <si>
    <t>Code Review Status</t>
  </si>
  <si>
    <t>CR Invite Status</t>
  </si>
  <si>
    <t>Release Status</t>
  </si>
  <si>
    <t>Validation / Notes</t>
  </si>
  <si>
    <t>CI_MART</t>
  </si>
  <si>
    <t>Sharath Kotha</t>
  </si>
  <si>
    <t>Sprint 17</t>
  </si>
  <si>
    <t>N/A</t>
  </si>
  <si>
    <t>CI</t>
  </si>
  <si>
    <t>CBP</t>
  </si>
  <si>
    <t>BI80</t>
  </si>
  <si>
    <t>AR80</t>
  </si>
  <si>
    <t>No</t>
  </si>
  <si>
    <t>ALLOCATIONS</t>
  </si>
  <si>
    <t>Yet to start</t>
  </si>
  <si>
    <t>Yes</t>
  </si>
  <si>
    <t>EPM_UI PUSH</t>
  </si>
  <si>
    <t>EPM_DIM_NOD</t>
  </si>
  <si>
    <t>EPM_BALANCES</t>
  </si>
  <si>
    <t>EDDS</t>
  </si>
  <si>
    <t>Ecosys</t>
  </si>
  <si>
    <t>FTP</t>
  </si>
  <si>
    <t>AUDIT REPORTS</t>
  </si>
  <si>
    <t>FIN</t>
  </si>
  <si>
    <t>Sprint 18</t>
  </si>
  <si>
    <t>FINDET_BUDGETS</t>
  </si>
  <si>
    <t>FINREC</t>
  </si>
  <si>
    <t>FOF_WORKIVA</t>
  </si>
  <si>
    <t>GL80</t>
  </si>
  <si>
    <t>IKW</t>
  </si>
  <si>
    <t>P2P</t>
  </si>
  <si>
    <t>PC80</t>
  </si>
  <si>
    <t>PO80</t>
  </si>
  <si>
    <t>PSTREE_EPM</t>
  </si>
  <si>
    <t>RAS</t>
  </si>
  <si>
    <t>Real_Estate</t>
  </si>
  <si>
    <t>SECURITY</t>
  </si>
  <si>
    <t>TRIAD</t>
  </si>
  <si>
    <t>UIBUDGETS</t>
  </si>
  <si>
    <t>IKW_DWMS</t>
  </si>
  <si>
    <t>LED</t>
  </si>
  <si>
    <t>UI_PLANNER</t>
  </si>
  <si>
    <t>FEL</t>
  </si>
  <si>
    <t>Sprint 19</t>
  </si>
  <si>
    <t>Claims_Portal</t>
  </si>
  <si>
    <t>DWMR_DM</t>
  </si>
  <si>
    <t>MISO</t>
  </si>
  <si>
    <t>Sprint 20</t>
  </si>
  <si>
    <t>Pasta</t>
  </si>
  <si>
    <t>GADS</t>
  </si>
  <si>
    <t>GENMART</t>
  </si>
  <si>
    <t>TELECOM_CEB</t>
  </si>
  <si>
    <t>TPD</t>
  </si>
  <si>
    <t>FIELD_MOBILITY</t>
  </si>
  <si>
    <t>Conformed_Dimensions</t>
  </si>
  <si>
    <t>Maximo_EDW-TDC</t>
  </si>
  <si>
    <t>FACILITY</t>
  </si>
  <si>
    <t>Sprint #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</si>
  <si>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</si>
  <si>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</si>
  <si>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</si>
  <si>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</si>
  <si>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</si>
  <si>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</si>
  <si>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</si>
  <si>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</si>
  <si>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SPRINT 21</t>
  </si>
  <si>
    <t>SPRINT 22</t>
  </si>
  <si>
    <t>SPRINT 23</t>
  </si>
  <si>
    <t>Lead-time parameters - change yellow values only</t>
  </si>
  <si>
    <t>Parameter</t>
  </si>
  <si>
    <t>Value</t>
  </si>
  <si>
    <t>Meaning</t>
  </si>
  <si>
    <t>Status list</t>
  </si>
  <si>
    <t>File types</t>
  </si>
  <si>
    <t>Frequency</t>
  </si>
  <si>
    <t>Yes/No</t>
  </si>
  <si>
    <t>SprintWorkingDays</t>
  </si>
  <si>
    <t>Working days in a sprint when one side is blank (2-week default).</t>
  </si>
  <si>
    <t>MP</t>
  </si>
  <si>
    <t>Daily at 5:00 AM</t>
  </si>
  <si>
    <t>ReadyOffsetWD</t>
  </si>
  <si>
    <t>Working days from Effective Sprint Start to Ready By. Monday start -&gt; previous Friday.</t>
  </si>
  <si>
    <t>Weekly (Mon at 12:00 AM)</t>
  </si>
  <si>
    <t>SROffsetFromStartWD</t>
  </si>
  <si>
    <t>Sprint start -&gt; Service Request raise-by. Monday start -&gt; previous Monday.</t>
  </si>
  <si>
    <t>Fileshare</t>
  </si>
  <si>
    <t>Weekly (Thursday at 12:00 AM)</t>
  </si>
  <si>
    <t>OUROffsetFromSR_WD</t>
  </si>
  <si>
    <t>Service Request date -&gt; OUR raise-by. SR Monday -&gt; previous Friday.</t>
  </si>
  <si>
    <t>API</t>
  </si>
  <si>
    <t>Monthly (1st Monday at 4:00 AM)</t>
  </si>
  <si>
    <t>RTSKOffsetFromOUR_WD</t>
  </si>
  <si>
    <t>OUR -&gt; R-Task. OUR Friday -&gt; previous Wednesday (VP extra buffer).</t>
  </si>
  <si>
    <t>Mount</t>
  </si>
  <si>
    <t>Yearly</t>
  </si>
  <si>
    <t>CABOffsetFromReleaseWD</t>
  </si>
  <si>
    <t>Release -&gt; CAB. Thu -&gt; Wed; Tue -&gt; Mon.</t>
  </si>
  <si>
    <t>TBD</t>
  </si>
  <si>
    <t>Source</t>
  </si>
  <si>
    <t>Adhoc (on demand)</t>
  </si>
  <si>
    <t>CodeReviewCalendarDays</t>
  </si>
  <si>
    <t>Calendar days before CAB; weekend snaps to previous Friday.</t>
  </si>
  <si>
    <t>MFT</t>
  </si>
  <si>
    <t>CodeReviewInviteCalendarDays</t>
  </si>
  <si>
    <t>Calendar days before Code Review to send invite email.</t>
  </si>
  <si>
    <t>SFTP</t>
  </si>
  <si>
    <t>Yellow cells are editable. Sheet is protected so formulas cannot be overwritten. Review &gt; Unprotect Sheet if you must change structure (no password). Sequence: R-Task -&gt; OUR -&gt; Service Request. Releases Tue/Thu only. CAB Mon/Wed/Fri.</t>
  </si>
  <si>
    <t>NFS</t>
  </si>
  <si>
    <t>SprintWarningDays</t>
  </si>
  <si>
    <t>Days before Effective Sprint Start to warn if requests not actioned.</t>
  </si>
  <si>
    <t>N/A = not applicable (no file). TBD = type/frequency still to be decided (File R-Task still calculated).</t>
  </si>
  <si>
    <t>SprintReadinessOffsetWD</t>
  </si>
  <si>
    <t>Working days from Effective Sprint Start to sprint-readiness discussion.</t>
  </si>
  <si>
    <t>Status TBD = pending decision; does not count as Completed/N/A.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</si>
</sst>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dd\,\ dd\-mmm\-yyyy"/>
  </numFmts>
  <fonts count="27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color rgb="FF375623"/>
      <name val="Calibri"/>
      <family val="2"/>
    </font>
    <font>
      <b/>
      <sz val="9"/>
      <color rgb="FFFFFFFF"/>
      <name val="Calibri"/>
      <family val="2"/>
    </font>
    <font>
      <b/>
      <sz val="22"/>
      <color rgb="FFFFFFFF"/>
      <name val="Calibri"/>
      <family val="2"/>
    </font>
    <font>
      <i/>
      <sz val="11"/>
      <color rgb="FFFFFFFF"/>
      <name val="Calibri"/>
      <family val="2"/>
    </font>
    <font>
      <sz val="11"/>
      <color rgb="FF666666"/>
      <name val="Calibri"/>
      <family val="2"/>
    </font>
    <font>
      <b/>
      <sz val="12"/>
      <color rgb="FF1F4E79"/>
      <name val="Calibri"/>
      <family val="2"/>
    </font>
    <font>
      <b/>
      <sz val="10"/>
      <color rgb="FFFFFFFF"/>
      <name val="Calibri"/>
      <family val="2"/>
    </font>
    <font>
      <b/>
      <sz val="22"/>
      <color rgb="FF1F4E79"/>
      <name val="Calibri"/>
      <family val="2"/>
    </font>
    <font>
      <i/>
      <sz val="8"/>
      <color rgb="FF666666"/>
      <name val="Calibri"/>
      <family val="2"/>
    </font>
    <font>
      <b/>
      <sz val="22"/>
      <color rgb="FFC00000"/>
      <name val="Calibri"/>
      <family val="2"/>
    </font>
    <font>
      <b/>
      <sz val="22"/>
      <color rgb="FFC65911"/>
      <name val="Calibri"/>
      <family val="2"/>
    </font>
    <font>
      <b/>
      <sz val="22"/>
      <color rgb="FFBF8F00"/>
      <name val="Calibri"/>
      <family val="2"/>
    </font>
    <font>
      <b/>
      <sz val="22"/>
      <color rgb="FF2E75B6"/>
      <name val="Calibri"/>
      <family val="2"/>
    </font>
    <font>
      <b/>
      <sz val="22"/>
      <color rgb="FF548235"/>
      <name val="Calibri"/>
      <family val="2"/>
    </font>
    <font>
      <b/>
      <sz val="13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rgb="FFC00000"/>
      <name val="Consolas"/>
      <family val="2"/>
    </font>
    <font>
      <sz val="8"/>
      <color rgb="FF595959"/>
      <name val="Calibri"/>
      <family val="2"/>
    </font>
    <font>
      <b/>
      <sz val="22"/>
      <color rgb="FF375623"/>
      <name val="Calibri"/>
      <family val="2"/>
    </font>
    <font>
      <b/>
      <sz val="10"/>
      <color rgb="FFFFFFFF"/>
      <name val="Calibri"/>
    </font>
    <font>
      <b/>
      <sz val="9"/>
      <color rgb="FFFFFFFF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9EDF2"/>
      </patternFill>
    </fill>
    <fill>
      <patternFill patternType="solid">
        <fgColor rgb="FFFFF2CC"/>
      </patternFill>
    </fill>
    <fill>
      <patternFill patternType="solid">
        <fgColor rgb="FFC65911"/>
      </patternFill>
    </fill>
    <fill>
      <patternFill patternType="solid">
        <fgColor rgb="FF833C0C"/>
      </patternFill>
    </fill>
    <fill>
      <patternFill patternType="solid">
        <fgColor rgb="FF7F6000"/>
      </patternFill>
    </fill>
    <fill>
      <patternFill patternType="solid">
        <fgColor rgb="FF375623"/>
      </patternFill>
    </fill>
    <fill>
      <patternFill patternType="solid">
        <fgColor rgb="FF203864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BF8F00"/>
      </patternFill>
    </fill>
    <fill>
      <patternFill patternType="solid">
        <fgColor rgb="FF548235"/>
      </patternFill>
    </fill>
    <fill>
      <patternFill patternType="solid">
        <fgColor rgb="FFFFFFFF"/>
      </patternFill>
    </fill>
    <fill>
      <patternFill patternType="solid">
        <fgColor rgb="FF5B9BD5"/>
      </patternFill>
    </fill>
    <fill>
      <patternFill patternType="solid">
        <fgColor rgb="FFDEEBF7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548235"/>
      </left>
      <right style="thin">
        <color rgb="FF548235"/>
      </right>
      <top style="thin">
        <color rgb="FF548235"/>
      </top>
      <bottom style="thin">
        <color rgb="FF548235"/>
      </bottom>
      <diagonal/>
    </border>
    <border>
      <left/>
      <right style="thin">
        <color rgb="FFBF8F00"/>
      </right>
      <top style="thin">
        <color rgb="FFBF8F00"/>
      </top>
      <bottom style="thin">
        <color rgb="FFBF8F00"/>
      </bottom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  <border>
      <left/>
      <right style="thin">
        <color rgb="FFC65911"/>
      </right>
      <top style="thin">
        <color rgb="FFC65911"/>
      </top>
      <bottom style="thin">
        <color rgb="FFC65911"/>
      </bottom>
      <diagonal/>
    </border>
    <border>
      <left/>
      <right style="thin">
        <color rgb="FF548235"/>
      </right>
      <top style="thin">
        <color rgb="FF548235"/>
      </top>
      <bottom style="thin">
        <color rgb="FF548235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 style="thin">
        <color rgb="FF1F4E79"/>
      </right>
      <top style="thin">
        <color rgb="FF1F4E79"/>
      </top>
      <bottom style="thin">
        <color rgb="FF1F4E79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1"/>
  </cellStyleXfs>
  <cellXfs count="96">
    <xf numFmtId="0" fontId="0" fillId="0" borderId="0" xfId="0" applyBorder="1"/>
    <xf numFmtId="0" fontId="0" fillId="0" borderId="1" xfId="0"/>
    <xf numFmtId="0" fontId="9" fillId="0" borderId="1" xfId="0" applyFont="1"/>
    <xf numFmtId="165" fontId="10" fillId="0" borderId="1" xfId="0" applyNumberFormat="1" applyFont="1"/>
    <xf numFmtId="0" fontId="2" fillId="16" borderId="1" xfId="0" applyFont="1" applyFill="1" applyAlignment="1">
      <alignment horizontal="center" vertical="center" wrapText="1"/>
    </xf>
    <xf numFmtId="0" fontId="0" fillId="17" borderId="1" xfId="0" applyFill="1" applyAlignment="1">
      <alignment horizontal="center" vertical="center" wrapText="1"/>
    </xf>
    <xf numFmtId="164" fontId="0" fillId="17" borderId="1" xfId="0" applyNumberFormat="1" applyFill="1" applyAlignment="1">
      <alignment horizontal="center" vertical="center" wrapText="1"/>
    </xf>
    <xf numFmtId="0" fontId="0" fillId="0" borderId="1" xfId="0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5" borderId="15" xfId="0" applyFill="1" applyBorder="1" applyAlignment="1">
      <alignment vertical="center" wrapText="1"/>
    </xf>
    <xf numFmtId="0" fontId="0" fillId="4" borderId="15" xfId="0" applyFill="1" applyBorder="1" applyAlignment="1">
      <alignment vertical="center" wrapText="1"/>
    </xf>
    <xf numFmtId="164" fontId="0" fillId="4" borderId="15" xfId="0" applyNumberFormat="1" applyFill="1" applyBorder="1" applyAlignment="1">
      <alignment vertical="center" wrapText="1"/>
    </xf>
    <xf numFmtId="0" fontId="0" fillId="4" borderId="15" xfId="0" applyFill="1" applyBorder="1" applyAlignment="1">
      <alignment horizontal="center" vertical="center" wrapText="1"/>
    </xf>
    <xf numFmtId="14" fontId="0" fillId="5" borderId="15" xfId="0" applyNumberFormat="1" applyFill="1" applyBorder="1" applyAlignment="1">
      <alignment vertical="center" wrapText="1"/>
    </xf>
    <xf numFmtId="164" fontId="0" fillId="5" borderId="15" xfId="0" applyNumberFormat="1" applyFill="1" applyBorder="1" applyAlignment="1">
      <alignment vertical="center" wrapText="1"/>
    </xf>
    <xf numFmtId="0" fontId="0" fillId="4" borderId="15" xfId="0" applyFill="1" applyBorder="1" applyAlignment="1">
      <alignment vertical="center"/>
    </xf>
    <xf numFmtId="0" fontId="0" fillId="5" borderId="15" xfId="0" applyFill="1" applyBorder="1"/>
    <xf numFmtId="0" fontId="0" fillId="4" borderId="15" xfId="0" applyFill="1" applyBorder="1"/>
    <xf numFmtId="164" fontId="0" fillId="4" borderId="15" xfId="0" applyNumberFormat="1" applyFill="1" applyBorder="1"/>
    <xf numFmtId="0" fontId="25" fillId="11" borderId="1" xfId="0" applyFont="1" applyFill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/>
    </xf>
    <xf numFmtId="0" fontId="8" fillId="3" borderId="1" xfId="0" applyFont="1" applyFill="1" applyAlignment="1">
      <alignment vertical="center"/>
    </xf>
    <xf numFmtId="0" fontId="13" fillId="12" borderId="5" xfId="0" applyFont="1" applyFill="1" applyBorder="1" applyAlignment="1">
      <alignment horizontal="center" vertical="center" wrapText="1"/>
    </xf>
    <xf numFmtId="0" fontId="7" fillId="2" borderId="1" xfId="0" applyFont="1" applyFill="1" applyAlignment="1">
      <alignment vertical="center"/>
    </xf>
    <xf numFmtId="1" fontId="17" fillId="0" borderId="6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 wrapText="1"/>
    </xf>
    <xf numFmtId="1" fontId="18" fillId="0" borderId="7" xfId="0" applyNumberFormat="1" applyFont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 wrapText="1"/>
    </xf>
    <xf numFmtId="1" fontId="15" fillId="0" borderId="4" xfId="0" applyNumberFormat="1" applyFont="1" applyBorder="1" applyAlignment="1">
      <alignment horizontal="center" vertical="center"/>
    </xf>
    <xf numFmtId="0" fontId="13" fillId="12" borderId="7" xfId="0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1" fontId="16" fillId="0" borderId="5" xfId="0" applyNumberFormat="1" applyFont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4" fillId="0" borderId="1" xfId="0" applyFont="1" applyAlignment="1">
      <alignment vertical="top" wrapText="1"/>
    </xf>
    <xf numFmtId="0" fontId="13" fillId="12" borderId="2" xfId="0" applyFont="1" applyFill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14" borderId="7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25" fillId="7" borderId="1" xfId="0" applyFont="1" applyFill="1" applyAlignment="1">
      <alignment horizontal="center" vertical="center" wrapText="1"/>
    </xf>
    <xf numFmtId="0" fontId="25" fillId="2" borderId="1" xfId="0" applyFont="1" applyFill="1" applyAlignment="1">
      <alignment horizontal="center" vertical="center" wrapText="1"/>
    </xf>
    <xf numFmtId="0" fontId="25" fillId="6" borderId="1" xfId="0" applyFont="1" applyFill="1" applyAlignment="1">
      <alignment horizontal="center" vertical="center" wrapText="1"/>
    </xf>
    <xf numFmtId="0" fontId="25" fillId="10" borderId="1" xfId="0" applyFont="1" applyFill="1" applyAlignment="1">
      <alignment horizontal="center" vertical="center" wrapText="1"/>
    </xf>
    <xf numFmtId="0" fontId="25" fillId="9" borderId="1" xfId="0" applyFont="1" applyFill="1" applyAlignment="1">
      <alignment horizontal="center" vertical="center" wrapText="1"/>
    </xf>
    <xf numFmtId="0" fontId="25" fillId="3" borderId="1" xfId="0" applyFont="1" applyFill="1" applyAlignment="1">
      <alignment horizontal="center" vertical="center" wrapText="1"/>
    </xf>
    <xf numFmtId="0" fontId="25" fillId="16" borderId="1" xfId="0" applyFont="1" applyFill="1" applyAlignment="1">
      <alignment horizontal="center" vertical="center" wrapText="1"/>
    </xf>
    <xf numFmtId="0" fontId="25" fillId="8" borderId="1" xfId="0" applyFont="1" applyFill="1" applyAlignment="1">
      <alignment horizontal="center" vertical="center" wrapText="1"/>
    </xf>
    <xf numFmtId="0" fontId="1" fillId="2" borderId="1" xfId="0" applyFont="1" applyFill="1" applyAlignment="1">
      <alignment vertical="center"/>
    </xf>
    <xf numFmtId="0" fontId="5" fillId="0" borderId="1" xfId="0" applyFont="1" applyAlignment="1">
      <alignment vertical="top" wrapText="1"/>
    </xf>
    <xf numFmtId="0" fontId="0" fillId="0" borderId="1" xfId="0" applyBorder="1" applyAlignment="1"/>
    <xf numFmtId="0" fontId="5" fillId="0" borderId="1" xfId="0" applyFont="1" applyAlignment="1"/>
    <xf numFmtId="0" fontId="0" fillId="0" borderId="13" xfId="0" applyBorder="1" applyAlignment="1"/>
    <xf numFmtId="0" fontId="0" fillId="0" borderId="12" xfId="0" applyBorder="1" applyAlignment="1"/>
    <xf numFmtId="0" fontId="0" fillId="0" borderId="10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1" xfId="0" applyBorder="1" applyAlignment="1"/>
    <xf numFmtId="0" fontId="11" fillId="6" borderId="15" xfId="0" applyFont="1" applyFill="1" applyBorder="1" applyAlignment="1">
      <alignment horizontal="center" vertical="center" wrapText="1"/>
    </xf>
    <xf numFmtId="0" fontId="0" fillId="0" borderId="14" xfId="0" applyBorder="1" applyAlignment="1"/>
    <xf numFmtId="0" fontId="11" fillId="9" borderId="15" xfId="0" applyFont="1" applyFill="1" applyBorder="1" applyAlignment="1">
      <alignment horizontal="center" vertical="center" wrapText="1"/>
    </xf>
    <xf numFmtId="0" fontId="14" fillId="15" borderId="15" xfId="0" applyFont="1" applyFill="1" applyBorder="1" applyAlignment="1">
      <alignment horizontal="center" vertical="center" wrapText="1"/>
    </xf>
    <xf numFmtId="0" fontId="24" fillId="15" borderId="15" xfId="0" applyFont="1" applyFill="1" applyBorder="1" applyAlignment="1">
      <alignment horizontal="center" vertical="center" wrapText="1"/>
    </xf>
    <xf numFmtId="0" fontId="23" fillId="12" borderId="15" xfId="0" applyFont="1" applyFill="1" applyBorder="1" applyAlignment="1">
      <alignment horizontal="center" vertical="center" wrapText="1"/>
    </xf>
    <xf numFmtId="0" fontId="2" fillId="11" borderId="1" xfId="0" applyFont="1" applyFill="1" applyAlignment="1"/>
    <xf numFmtId="0" fontId="19" fillId="2" borderId="1" xfId="0" applyFont="1" applyFill="1" applyAlignment="1"/>
    <xf numFmtId="0" fontId="11" fillId="2" borderId="15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20" fillId="15" borderId="15" xfId="0" applyFont="1" applyFill="1" applyBorder="1" applyAlignment="1">
      <alignment vertical="center" wrapText="1"/>
    </xf>
    <xf numFmtId="164" fontId="20" fillId="15" borderId="15" xfId="0" applyNumberFormat="1" applyFont="1" applyFill="1" applyBorder="1" applyAlignment="1">
      <alignment vertical="center" wrapText="1"/>
    </xf>
    <xf numFmtId="1" fontId="20" fillId="15" borderId="15" xfId="0" applyNumberFormat="1" applyFont="1" applyFill="1" applyBorder="1" applyAlignment="1">
      <alignment vertical="center" wrapText="1"/>
    </xf>
    <xf numFmtId="0" fontId="21" fillId="15" borderId="15" xfId="0" applyFont="1" applyFill="1" applyBorder="1" applyAlignment="1">
      <alignment horizontal="left" vertical="center"/>
    </xf>
    <xf numFmtId="1" fontId="20" fillId="15" borderId="15" xfId="0" applyNumberFormat="1" applyFont="1" applyFill="1" applyBorder="1" applyAlignment="1">
      <alignment horizontal="center" vertical="center"/>
    </xf>
    <xf numFmtId="0" fontId="22" fillId="15" borderId="15" xfId="0" applyFont="1" applyFill="1" applyBorder="1" applyAlignment="1">
      <alignment vertical="center"/>
    </xf>
    <xf numFmtId="0" fontId="20" fillId="12" borderId="15" xfId="0" applyFont="1" applyFill="1" applyBorder="1" applyAlignment="1">
      <alignment vertical="center" wrapText="1"/>
    </xf>
    <xf numFmtId="164" fontId="20" fillId="12" borderId="15" xfId="0" applyNumberFormat="1" applyFont="1" applyFill="1" applyBorder="1" applyAlignment="1">
      <alignment vertical="center" wrapText="1"/>
    </xf>
    <xf numFmtId="1" fontId="20" fillId="12" borderId="15" xfId="0" applyNumberFormat="1" applyFont="1" applyFill="1" applyBorder="1" applyAlignment="1">
      <alignment vertical="center" wrapText="1"/>
    </xf>
    <xf numFmtId="0" fontId="21" fillId="12" borderId="15" xfId="0" applyFont="1" applyFill="1" applyBorder="1" applyAlignment="1">
      <alignment horizontal="left" vertical="center"/>
    </xf>
    <xf numFmtId="1" fontId="20" fillId="12" borderId="15" xfId="0" applyNumberFormat="1" applyFont="1" applyFill="1" applyBorder="1" applyAlignment="1">
      <alignment horizontal="center" vertical="center"/>
    </xf>
    <xf numFmtId="0" fontId="22" fillId="12" borderId="15" xfId="0" applyFont="1" applyFill="1" applyBorder="1" applyAlignment="1">
      <alignment vertical="center"/>
    </xf>
    <xf numFmtId="0" fontId="11" fillId="2" borderId="15" xfId="0" applyFont="1" applyFill="1" applyBorder="1" applyAlignment="1">
      <alignment horizontal="left"/>
    </xf>
    <xf numFmtId="1" fontId="11" fillId="2" borderId="15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6" fillId="2" borderId="15" xfId="0" applyFont="1" applyFill="1" applyBorder="1" applyAlignment="1">
      <alignment horizontal="center" vertical="center" wrapText="1"/>
    </xf>
    <xf numFmtId="0" fontId="26" fillId="2" borderId="15" xfId="0" applyFont="1" applyFill="1" applyBorder="1" applyAlignment="1">
      <alignment horizontal="center" vertical="center" wrapText="1"/>
    </xf>
    <xf numFmtId="164" fontId="0" fillId="4" borderId="1" xfId="0" applyNumberFormat="1" applyFill="1" applyBorder="1"/>
    <xf numFmtId="0" fontId="2" fillId="3" borderId="15" xfId="0" applyFont="1" applyFill="1" applyBorder="1" applyAlignment="1">
      <alignment vertical="center"/>
    </xf>
    <xf numFmtId="0" fontId="2" fillId="3" borderId="15" xfId="0" applyFont="1" applyFill="1" applyBorder="1"/>
    <xf numFmtId="0" fontId="3" fillId="4" borderId="15" xfId="0" applyFont="1" applyFill="1" applyBorder="1" applyAlignment="1">
      <alignment vertical="center" wrapText="1"/>
    </xf>
    <xf numFmtId="0" fontId="4" fillId="5" borderId="15" xfId="0" applyFont="1" applyFill="1" applyBorder="1" applyAlignment="1" applyProtection="1">
      <alignment vertical="center" wrapText="1"/>
      <protection locked="0"/>
    </xf>
    <xf numFmtId="0" fontId="4" fillId="4" borderId="15" xfId="0" applyFont="1" applyFill="1" applyBorder="1" applyAlignment="1">
      <alignment vertical="center" wrapText="1"/>
    </xf>
    <xf numFmtId="0" fontId="4" fillId="5" borderId="15" xfId="0" applyFont="1" applyFill="1" applyBorder="1" applyProtection="1">
      <protection locked="0"/>
    </xf>
  </cellXfs>
  <cellStyles count="1">
    <cellStyle name="Normal" xfId="0" builtinId="0"/>
  </cellStyles>
  <dxfs count="144"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4C7C3"/>
        </patternFill>
      </fill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ont>
        <color rgb="FFC00000"/>
      </font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ont>
        <color rgb="FFC00000"/>
      </font>
      <fill>
        <patternFill patternType="solid">
          <fgColor rgb="FFF4C7C3"/>
        </patternFill>
      </fill>
    </dxf>
    <dxf>
      <font>
        <color rgb="FF006100"/>
      </font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C7C3"/>
        </patternFill>
      </fill>
    </dxf>
    <dxf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235"/>
    <pageSetUpPr fitToPage="1"/>
  </sheetPr>
  <dimension ref="B1:R30"/>
  <sheetViews>
    <sheetView showGridLines="0" zoomScale="125" workbookViewId="0">
      <pane ySplit="7" topLeftCell="A8" activePane="bottomLeft" state="frozen"/>
      <selection pane="bottomLeft" activeCell="R10" sqref="R10"/>
    </sheetView>
  </sheetViews>
  <sheetFormatPr defaultColWidth="8.85546875" defaultRowHeight="15"/>
  <cols>
    <col min="1" max="1" width="3" customWidth="1"/>
    <col min="2" max="2" width="16.28515625" customWidth="1"/>
    <col min="3" max="3" width="16.7109375" bestFit="1" customWidth="1"/>
    <col min="4" max="4" width="16" customWidth="1"/>
    <col min="5" max="5" width="11.28515625" customWidth="1"/>
    <col min="6" max="6" width="16" customWidth="1"/>
    <col min="7" max="7" width="12" customWidth="1"/>
    <col min="8" max="8" width="3" customWidth="1"/>
    <col min="9" max="9" width="18" customWidth="1"/>
    <col min="10" max="10" width="10.42578125" customWidth="1"/>
    <col min="11" max="11" width="14" customWidth="1"/>
    <col min="12" max="12" width="11" customWidth="1"/>
    <col min="13" max="13" width="13" customWidth="1"/>
    <col min="14" max="14" width="11" customWidth="1"/>
    <col min="15" max="15" width="12.85546875" customWidth="1"/>
    <col min="16" max="16" width="8.42578125" customWidth="1"/>
    <col min="17" max="17" width="11.7109375" customWidth="1"/>
    <col min="18" max="18" width="7.85546875" customWidth="1"/>
  </cols>
  <sheetData>
    <row r="1" spans="2:18" ht="32.1" customHeight="1">
      <c r="B1" s="24" t="s">
        <v>0</v>
      </c>
      <c r="C1" s="52"/>
      <c r="D1" s="52"/>
      <c r="E1" s="52"/>
      <c r="F1" s="52"/>
      <c r="G1" s="52"/>
      <c r="H1" s="1"/>
      <c r="I1" s="22" t="s">
        <v>1</v>
      </c>
      <c r="J1" s="52"/>
      <c r="K1" s="52"/>
      <c r="L1" s="52"/>
      <c r="M1" s="52"/>
      <c r="N1" s="52"/>
      <c r="O1" s="52"/>
      <c r="P1" s="1"/>
      <c r="Q1" s="1"/>
      <c r="R1" s="1"/>
    </row>
    <row r="2" spans="2:18" ht="15.95" customHeight="1">
      <c r="B2" s="2" t="s">
        <v>2</v>
      </c>
      <c r="C2" s="3">
        <f ca="1">TODAY()</f>
        <v>46255</v>
      </c>
      <c r="D2" s="1"/>
      <c r="E2" s="53" t="s">
        <v>3</v>
      </c>
      <c r="F2" s="52"/>
      <c r="G2" s="52"/>
      <c r="H2" s="52"/>
      <c r="I2" s="52"/>
      <c r="J2" s="52"/>
      <c r="K2" s="52"/>
      <c r="L2" s="52"/>
      <c r="M2" s="52"/>
      <c r="N2" s="52"/>
      <c r="O2" s="52"/>
      <c r="P2" s="1"/>
      <c r="Q2" s="1"/>
      <c r="R2" s="1"/>
    </row>
    <row r="4" spans="2:18" ht="18" customHeight="1">
      <c r="B4" s="41" t="s">
        <v>4</v>
      </c>
      <c r="C4" s="54"/>
      <c r="D4" s="33" t="s">
        <v>5</v>
      </c>
      <c r="E4" s="55"/>
      <c r="F4" s="21" t="s">
        <v>6</v>
      </c>
      <c r="G4" s="56"/>
      <c r="H4" s="1"/>
      <c r="I4" s="36" t="s">
        <v>7</v>
      </c>
      <c r="J4" s="57"/>
      <c r="K4" s="39" t="s">
        <v>8</v>
      </c>
      <c r="L4" s="58"/>
      <c r="M4" s="40" t="s">
        <v>9</v>
      </c>
      <c r="N4" s="59"/>
      <c r="O4" s="60" t="s">
        <v>10</v>
      </c>
      <c r="P4" s="61"/>
      <c r="Q4" s="62" t="s">
        <v>11</v>
      </c>
      <c r="R4" s="61"/>
    </row>
    <row r="5" spans="2:18" ht="27.95" customHeight="1">
      <c r="B5" s="37">
        <f>COUNTA(Tracker!A3:A100)</f>
        <v>43</v>
      </c>
      <c r="C5" s="54"/>
      <c r="D5" s="38">
        <f ca="1">SUMPRODUCT((Tracker!$A$3:$A$100&lt;&gt;"")*(Tracker!$S$3:$S$100&lt;&gt;"Completed")*(Tracker!$S$3:$S$100&lt;&gt;"N/A")*(ISNUMBER(Tracker!$Q$3:$Q$100))*(N(Tracker!$Q$3:$Q$100)&lt;TODAY()))+SUMPRODUCT((Tracker!$A$3:$A$100&lt;&gt;"")*(Tracker!$V$3:$V$100&lt;&gt;"Completed")*(Tracker!$V$3:$V$100&lt;&gt;"N/A")*(ISNUMBER(Tracker!$T$3:$T$100))*(N(Tracker!$T$3:$T$100)&lt;TODAY()))+SUMPRODUCT((Tracker!$A$3:$A$100&lt;&gt;"")*(Tracker!$Y$3:$Y$100&lt;&gt;"Completed")*(Tracker!$Y$3:$Y$100&lt;&gt;"N/A")*(ISNUMBER(Tracker!$W$3:$W$100))*(N(Tracker!$W$3:$W$100)&lt;TODAY()))+SUMPRODUCT((Tracker!$A$3:$A$100&lt;&gt;"")*(Tracker!$AC$3:$AC$100&lt;&gt;"Completed")*(Tracker!$AC$3:$AC$100&lt;&gt;"N/A")*(ISNUMBER(Tracker!$AA$3:$AA$100))*(N(Tracker!$AA$3:$AA$100)&lt;TODAY()))+SUMPRODUCT((Tracker!$A$3:$A$100&lt;&gt;"")*(Tracker!$AI$3:$AI$100&lt;&gt;"Completed")*(Tracker!$AI$3:$AI$100&lt;&gt;"N/A")*(ISNUMBER(Tracker!$AG$3:$AG$100))*(N(Tracker!$AG$3:$AG$100)&lt;TODAY()))+SUMPRODUCT((Tracker!$A$3:$A$100&lt;&gt;"")*(Tracker!$AL$3:$AL$100&lt;&gt;"Completed")*(Tracker!$AL$3:$AL$100&lt;&gt;"N/A")*(ISNUMBER(Tracker!$AJ$3:$AJ$100))*(N(Tracker!$AJ$3:$AJ$100)&lt;TODAY()))+SUMPRODUCT((Tracker!$A$3:$A$100&lt;&gt;"")*(Tracker!$AO$3:$AO$100&lt;&gt;"Completed")*(Tracker!$AO$3:$AO$100&lt;&gt;"N/A")*(ISNUMBER(Tracker!$AM$3:$AM$100))*(N(Tracker!$AM$3:$AM$100)&lt;TODAY()))+SUMPRODUCT((Tracker!$A$3:$A$100&lt;&gt;"")*(Tracker!$AR$3:$AR$100&lt;&gt;"Completed")*(Tracker!$AR$3:$AR$100&lt;&gt;"N/A")*(ISNUMBER(Tracker!$AP$3:$AP$100))*(N(Tracker!$AP$3:$AP$100)&lt;TODAY()))+SUMPRODUCT((Tracker!$A$3:$A$100&lt;&gt;"")*(Tracker!$AW$3:$AW$100&lt;&gt;"Completed")*(Tracker!$AW$3:$AW$100&lt;&gt;"N/A")*(ISNUMBER(Tracker!$AU$3:$AU$100))*(N(Tracker!$AU$3:$AU$100)&lt;TODAY()))+SUMPRODUCT((Tracker!$A$3:$A$100&lt;&gt;"")*(Tracker!$AZ$3:$AZ$100&lt;&gt;"Completed")*(Tracker!$AZ$3:$AZ$100&lt;&gt;"N/A")*(ISNUMBER(Tracker!$AX$3:$AX$100))*(N(Tracker!$AX$3:$AX$100)&lt;TODAY()))+SUMPRODUCT((Tracker!$A$3:$A$100&lt;&gt;"")*(Tracker!$BC$3:$BC$100&lt;&gt;"Completed")*(Tracker!$BC$3:$BC$100&lt;&gt;"N/A")*(ISNUMBER(Tracker!$BA$3:$BA$100))*(N(Tracker!$BA$3:$BA$100)&lt;TODAY()))+SUMPRODUCT((Tracker!$A$3:$A$100&lt;&gt;"")*(Tracker!$BF$3:$BF$100&lt;&gt;"Completed")*(Tracker!$BF$3:$BF$100&lt;&gt;"N/A")*(ISNUMBER(Tracker!$BD$3:$BD$100))*(N(Tracker!$BD$3:$BD$100)&lt;TODAY()))+SUMPRODUCT((Tracker!$A$3:$A$100&lt;&gt;"")*(Tracker!$P$3:$P$100&lt;&gt;"Completed")*(Tracker!$P$3:$P$100&lt;&gt;"N/A")*(ISNUMBER(Tracker!$O$3:$O$100))*(N(Tracker!$O$3:$O$100)&lt;TODAY()))+SUMPRODUCT((Tracker!$A$3:$A$100&lt;&gt;"")*(Tracker!$BJ$3:$BJ$100&lt;&gt;"Completed")*(Tracker!$BJ$3:$BJ$100&lt;&gt;"N/A")*(ISNUMBER(Tracker!$BI$3:$BI$100))*(N(Tracker!$BI$3:$BI$100)&lt;TODAY()))+SUMPRODUCT((Tracker!$A$3:$A$100&lt;&gt;"")*(Tracker!$BL$3:$BL$100&lt;&gt;"Completed")*(Tracker!$BL$3:$BL$100&lt;&gt;"N/A")*(ISNUMBER(Tracker!$BK$3:$BK$100))*(N(Tracker!$BK$3:$BK$100)&lt;TODAY()))+SUMPRODUCT((Tracker!$A$3:$A$100&lt;&gt;"")*(Tracker!$BN$3:$BN$100&lt;&gt;"Completed")*(Tracker!$BN$3:$BN$100&lt;&gt;"N/A")*(ISNUMBER(Tracker!$BM$3:$BM$100))*(N(Tracker!$BM$3:$BM$100)&lt;TODAY()))</f>
        <v>205</v>
      </c>
      <c r="E5" s="55"/>
      <c r="F5" s="29">
        <f>SUMPRODUCT((Tracker!$A$3:$A$100&lt;&gt;"")*(ISNUMBER(Tracker!$Q$3:$Q$100))*(Tracker!$S$3:$S$100="Blocked"))+SUMPRODUCT((Tracker!$A$3:$A$100&lt;&gt;"")*(ISNUMBER(Tracker!$T$3:$T$100))*(Tracker!$V$3:$V$100="Blocked"))+SUMPRODUCT((Tracker!$A$3:$A$100&lt;&gt;"")*(ISNUMBER(Tracker!$W$3:$W$100))*(Tracker!$Y$3:$Y$100="Blocked"))+SUMPRODUCT((Tracker!$A$3:$A$100&lt;&gt;"")*(ISNUMBER(Tracker!$AA$3:$AA$100))*(Tracker!$AC$3:$AC$100="Blocked"))+SUMPRODUCT((Tracker!$A$3:$A$100&lt;&gt;"")*(ISNUMBER(Tracker!$AG$3:$AG$100))*(Tracker!$AI$3:$AI$100="Blocked"))+SUMPRODUCT((Tracker!$A$3:$A$100&lt;&gt;"")*(ISNUMBER(Tracker!$AJ$3:$AJ$100))*(Tracker!$AL$3:$AL$100="Blocked"))+SUMPRODUCT((Tracker!$A$3:$A$100&lt;&gt;"")*(ISNUMBER(Tracker!$AM$3:$AM$100))*(Tracker!$AO$3:$AO$100="Blocked"))+SUMPRODUCT((Tracker!$A$3:$A$100&lt;&gt;"")*(ISNUMBER(Tracker!$AP$3:$AP$100))*(Tracker!$AR$3:$AR$100="Blocked"))+SUMPRODUCT((Tracker!$A$3:$A$100&lt;&gt;"")*(ISNUMBER(Tracker!$AU$3:$AU$100))*(Tracker!$AW$3:$AW$100="Blocked"))+SUMPRODUCT((Tracker!$A$3:$A$100&lt;&gt;"")*(ISNUMBER(Tracker!$AX$3:$AX$100))*(Tracker!$AZ$3:$AZ$100="Blocked"))+SUMPRODUCT((Tracker!$A$3:$A$100&lt;&gt;"")*(ISNUMBER(Tracker!$BA$3:$BA$100))*(Tracker!$BC$3:$BC$100="Blocked"))+SUMPRODUCT((Tracker!$A$3:$A$100&lt;&gt;"")*(ISNUMBER(Tracker!$BD$3:$BD$100))*(Tracker!$BF$3:$BF$100="Blocked"))+SUMPRODUCT((Tracker!$A$3:$A$100&lt;&gt;"")*(ISNUMBER(Tracker!$O$3:$O$100))*(Tracker!$P$3:$P$100="Blocked"))+SUMPRODUCT((Tracker!$A$3:$A$100&lt;&gt;"")*(ISNUMBER(Tracker!$BI$3:$BI$100))*(Tracker!$BJ$3:$BJ$100="Blocked"))+SUMPRODUCT((Tracker!$A$3:$A$100&lt;&gt;"")*(ISNUMBER(Tracker!$BK$3:$BK$100))*(Tracker!$BL$3:$BL$100="Blocked"))+SUMPRODUCT((Tracker!$A$3:$A$100&lt;&gt;"")*(ISNUMBER(Tracker!$BM$3:$BM$100))*(Tracker!$BN$3:$BN$100="Blocked"))</f>
        <v>0</v>
      </c>
      <c r="G5" s="56"/>
      <c r="H5" s="1"/>
      <c r="I5" s="32">
        <f ca="1">SUMPRODUCT((Tracker!$A$3:$A$100&lt;&gt;"")*(Tracker!$S$3:$S$100&lt;&gt;"Completed")*(Tracker!$S$3:$S$100&lt;&gt;"N/A")*(ISNUMBER(Tracker!$Q$3:$Q$100))*(N(Tracker!$Q$3:$Q$100)&gt;=TODAY())*(N(Tracker!$Q$3:$Q$100)&lt;=TODAY()+7))+SUMPRODUCT((Tracker!$A$3:$A$100&lt;&gt;"")*(Tracker!$V$3:$V$100&lt;&gt;"Completed")*(Tracker!$V$3:$V$100&lt;&gt;"N/A")*(ISNUMBER(Tracker!$T$3:$T$100))*(N(Tracker!$T$3:$T$100)&gt;=TODAY())*(N(Tracker!$T$3:$T$100)&lt;=TODAY()+7))+SUMPRODUCT((Tracker!$A$3:$A$100&lt;&gt;"")*(Tracker!$Y$3:$Y$100&lt;&gt;"Completed")*(Tracker!$Y$3:$Y$100&lt;&gt;"N/A")*(ISNUMBER(Tracker!$W$3:$W$100))*(N(Tracker!$W$3:$W$100)&gt;=TODAY())*(N(Tracker!$W$3:$W$100)&lt;=TODAY()+7))+SUMPRODUCT((Tracker!$A$3:$A$100&lt;&gt;"")*(Tracker!$AC$3:$AC$100&lt;&gt;"Completed")*(Tracker!$AC$3:$AC$100&lt;&gt;"N/A")*(ISNUMBER(Tracker!$AA$3:$AA$100))*(N(Tracker!$AA$3:$AA$100)&gt;=TODAY())*(N(Tracker!$AA$3:$AA$100)&lt;=TODAY()+7))+SUMPRODUCT((Tracker!$A$3:$A$100&lt;&gt;"")*(Tracker!$AI$3:$AI$100&lt;&gt;"Completed")*(Tracker!$AI$3:$AI$100&lt;&gt;"N/A")*(ISNUMBER(Tracker!$AG$3:$AG$100))*(N(Tracker!$AG$3:$AG$100)&gt;=TODAY())*(N(Tracker!$AG$3:$AG$100)&lt;=TODAY()+7))+SUMPRODUCT((Tracker!$A$3:$A$100&lt;&gt;"")*(Tracker!$AL$3:$AL$100&lt;&gt;"Completed")*(Tracker!$AL$3:$AL$100&lt;&gt;"N/A")*(ISNUMBER(Tracker!$AJ$3:$AJ$100))*(N(Tracker!$AJ$3:$AJ$100)&gt;=TODAY())*(N(Tracker!$AJ$3:$AJ$100)&lt;=TODAY()+7))+SUMPRODUCT((Tracker!$A$3:$A$100&lt;&gt;"")*(Tracker!$AO$3:$AO$100&lt;&gt;"Completed")*(Tracker!$AO$3:$AO$100&lt;&gt;"N/A")*(ISNUMBER(Tracker!$AM$3:$AM$100))*(N(Tracker!$AM$3:$AM$100)&gt;=TODAY())*(N(Tracker!$AM$3:$AM$100)&lt;=TODAY()+7))+SUMPRODUCT((Tracker!$A$3:$A$100&lt;&gt;"")*(Tracker!$AR$3:$AR$100&lt;&gt;"Completed")*(Tracker!$AR$3:$AR$100&lt;&gt;"N/A")*(ISNUMBER(Tracker!$AP$3:$AP$100))*(N(Tracker!$AP$3:$AP$100)&gt;=TODAY())*(N(Tracker!$AP$3:$AP$100)&lt;=TODAY()+7))+SUMPRODUCT((Tracker!$A$3:$A$100&lt;&gt;"")*(Tracker!$AW$3:$AW$100&lt;&gt;"Completed")*(Tracker!$AW$3:$AW$100&lt;&gt;"N/A")*(ISNUMBER(Tracker!$AU$3:$AU$100))*(N(Tracker!$AU$3:$AU$100)&gt;=TODAY())*(N(Tracker!$AU$3:$AU$100)&lt;=TODAY()+7))+SUMPRODUCT((Tracker!$A$3:$A$100&lt;&gt;"")*(Tracker!$AZ$3:$AZ$100&lt;&gt;"Completed")*(Tracker!$AZ$3:$AZ$100&lt;&gt;"N/A")*(ISNUMBER(Tracker!$AX$3:$AX$100))*(N(Tracker!$AX$3:$AX$100)&gt;=TODAY())*(N(Tracker!$AX$3:$AX$100)&lt;=TODAY()+7))+SUMPRODUCT((Tracker!$A$3:$A$100&lt;&gt;"")*(Tracker!$BC$3:$BC$100&lt;&gt;"Completed")*(Tracker!$BC$3:$BC$100&lt;&gt;"N/A")*(ISNUMBER(Tracker!$BA$3:$BA$100))*(N(Tracker!$BA$3:$BA$100)&gt;=TODAY())*(N(Tracker!$BA$3:$BA$100)&lt;=TODAY()+7))+SUMPRODUCT((Tracker!$A$3:$A$100&lt;&gt;"")*(Tracker!$BF$3:$BF$100&lt;&gt;"Completed")*(Tracker!$BF$3:$BF$100&lt;&gt;"N/A")*(ISNUMBER(Tracker!$BD$3:$BD$100))*(N(Tracker!$BD$3:$BD$100)&gt;=TODAY())*(N(Tracker!$BD$3:$BD$100)&lt;=TODAY()+7))+SUMPRODUCT((Tracker!$A$3:$A$100&lt;&gt;"")*(Tracker!$P$3:$P$100&lt;&gt;"Completed")*(Tracker!$P$3:$P$100&lt;&gt;"N/A")*(ISNUMBER(Tracker!$O$3:$O$100))*(N(Tracker!$O$3:$O$100)&gt;=TODAY())*(N(Tracker!$O$3:$O$100)&lt;=TODAY()+7))+SUMPRODUCT((Tracker!$A$3:$A$100&lt;&gt;"")*(Tracker!$BJ$3:$BJ$100&lt;&gt;"Completed")*(Tracker!$BJ$3:$BJ$100&lt;&gt;"N/A")*(ISNUMBER(Tracker!$BI$3:$BI$100))*(N(Tracker!$BI$3:$BI$100)&gt;=TODAY())*(N(Tracker!$BI$3:$BI$100)&lt;=TODAY()+7))+SUMPRODUCT((Tracker!$A$3:$A$100&lt;&gt;"")*(Tracker!$BL$3:$BL$100&lt;&gt;"Completed")*(Tracker!$BL$3:$BL$100&lt;&gt;"N/A")*(ISNUMBER(Tracker!$BK$3:$BK$100))*(N(Tracker!$BK$3:$BK$100)&gt;=TODAY())*(N(Tracker!$BK$3:$BK$100)&lt;=TODAY()+7))+SUMPRODUCT((Tracker!$A$3:$A$100&lt;&gt;"")*(Tracker!$BN$3:$BN$100&lt;&gt;"Completed")*(Tracker!$BN$3:$BN$100&lt;&gt;"N/A")*(ISNUMBER(Tracker!$BM$3:$BM$100))*(N(Tracker!$BM$3:$BM$100)&gt;=TODAY())*(N(Tracker!$BM$3:$BM$100)&lt;=TODAY()+7))</f>
        <v>0</v>
      </c>
      <c r="J5" s="57"/>
      <c r="K5" s="25">
        <f>SUMPRODUCT((Tracker!$A$3:$A$100&lt;&gt;"")*(ISNUMBER(Tracker!$Q$3:$Q$100))*(Tracker!$S$3:$S$100="In Progress"))+SUMPRODUCT((Tracker!$A$3:$A$100&lt;&gt;"")*(ISNUMBER(Tracker!$T$3:$T$100))*(Tracker!$V$3:$V$100="In Progress"))+SUMPRODUCT((Tracker!$A$3:$A$100&lt;&gt;"")*(ISNUMBER(Tracker!$W$3:$W$100))*(Tracker!$Y$3:$Y$100="In Progress"))+SUMPRODUCT((Tracker!$A$3:$A$100&lt;&gt;"")*(ISNUMBER(Tracker!$AA$3:$AA$100))*(Tracker!$AC$3:$AC$100="In Progress"))+SUMPRODUCT((Tracker!$A$3:$A$100&lt;&gt;"")*(ISNUMBER(Tracker!$AG$3:$AG$100))*(Tracker!$AI$3:$AI$100="In Progress"))+SUMPRODUCT((Tracker!$A$3:$A$100&lt;&gt;"")*(ISNUMBER(Tracker!$AJ$3:$AJ$100))*(Tracker!$AL$3:$AL$100="In Progress"))+SUMPRODUCT((Tracker!$A$3:$A$100&lt;&gt;"")*(ISNUMBER(Tracker!$AM$3:$AM$100))*(Tracker!$AO$3:$AO$100="In Progress"))+SUMPRODUCT((Tracker!$A$3:$A$100&lt;&gt;"")*(ISNUMBER(Tracker!$AP$3:$AP$100))*(Tracker!$AR$3:$AR$100="In Progress"))+SUMPRODUCT((Tracker!$A$3:$A$100&lt;&gt;"")*(ISNUMBER(Tracker!$AU$3:$AU$100))*(Tracker!$AW$3:$AW$100="In Progress"))+SUMPRODUCT((Tracker!$A$3:$A$100&lt;&gt;"")*(ISNUMBER(Tracker!$AX$3:$AX$100))*(Tracker!$AZ$3:$AZ$100="In Progress"))+SUMPRODUCT((Tracker!$A$3:$A$100&lt;&gt;"")*(ISNUMBER(Tracker!$BA$3:$BA$100))*(Tracker!$BC$3:$BC$100="In Progress"))+SUMPRODUCT((Tracker!$A$3:$A$100&lt;&gt;"")*(ISNUMBER(Tracker!$BD$3:$BD$100))*(Tracker!$BF$3:$BF$100="In Progress"))+SUMPRODUCT((Tracker!$A$3:$A$100&lt;&gt;"")*(ISNUMBER(Tracker!$O$3:$O$100))*(Tracker!$P$3:$P$100="In Progress"))+SUMPRODUCT((Tracker!$A$3:$A$100&lt;&gt;"")*(ISNUMBER(Tracker!$BI$3:$BI$100))*(Tracker!$BJ$3:$BJ$100="In Progress"))+SUMPRODUCT((Tracker!$A$3:$A$100&lt;&gt;"")*(ISNUMBER(Tracker!$BK$3:$BK$100))*(Tracker!$BL$3:$BL$100="In Progress"))+SUMPRODUCT((Tracker!$A$3:$A$100&lt;&gt;"")*(ISNUMBER(Tracker!$BM$3:$BM$100))*(Tracker!$BN$3:$BN$100="In Progress"))</f>
        <v>24</v>
      </c>
      <c r="L5" s="58"/>
      <c r="M5" s="27">
        <f>COUNTIF(Tracker!D3:D100,"Completed")</f>
        <v>0</v>
      </c>
      <c r="N5" s="59"/>
      <c r="O5" s="63">
        <f ca="1">IFERROR(MAX(Tracker!G3:G100),0)</f>
        <v>35</v>
      </c>
      <c r="P5" s="61"/>
      <c r="Q5" s="64">
        <f>SUMPRODUCT((Tracker!$A$3:$A$100&lt;&gt;"")*(ISNUMBER(Tracker!$Q$3:$Q$100))*(ISNUMBER(Tracker!$R$3:$R$100))*(N(Tracker!$R$3:$R$100)&lt;=N(Tracker!$Q$3:$Q$100)))+SUMPRODUCT((Tracker!$A$3:$A$100&lt;&gt;"")*(ISNUMBER(Tracker!$T$3:$T$100))*(ISNUMBER(Tracker!$U$3:$U$100))*(N(Tracker!$U$3:$U$100)&lt;=N(Tracker!$T$3:$T$100)))+SUMPRODUCT((Tracker!$A$3:$A$100&lt;&gt;"")*(ISNUMBER(Tracker!$W$3:$W$100))*(ISNUMBER(Tracker!$X$3:$X$100))*(N(Tracker!$X$3:$X$100)&lt;=N(Tracker!$W$3:$W$100)))+SUMPRODUCT((Tracker!$A$3:$A$100&lt;&gt;"")*(ISNUMBER(Tracker!$AA$3:$AA$100))*(ISNUMBER(Tracker!$AB$3:$AB$100))*(N(Tracker!$AB$3:$AB$100)&lt;=N(Tracker!$AA$3:$AA$100)))+SUMPRODUCT((Tracker!$A$3:$A$100&lt;&gt;"")*(ISNUMBER(Tracker!$AG$3:$AG$100))*(ISNUMBER(Tracker!$AH$3:$AH$100))*(N(Tracker!$AH$3:$AH$100)&lt;=N(Tracker!$AG$3:$AG$100)))+SUMPRODUCT((Tracker!$A$3:$A$100&lt;&gt;"")*(ISNUMBER(Tracker!$AJ$3:$AJ$100))*(ISNUMBER(Tracker!$AK$3:$AK$100))*(N(Tracker!$AK$3:$AK$100)&lt;=N(Tracker!$AJ$3:$AJ$100)))+SUMPRODUCT((Tracker!$A$3:$A$100&lt;&gt;"")*(ISNUMBER(Tracker!$AM$3:$AM$100))*(ISNUMBER(Tracker!$AN$3:$AN$100))*(N(Tracker!$AN$3:$AN$100)&lt;=N(Tracker!$AM$3:$AM$100)))+SUMPRODUCT((Tracker!$A$3:$A$100&lt;&gt;"")*(ISNUMBER(Tracker!$AQ$3:$AQ$100))*(ISNUMBER(Tracker!$AR$3:$AR$100))*(N(Tracker!$AR$3:$AR$100)&lt;=N(Tracker!$AQ$3:$AQ$100)))+SUMPRODUCT((Tracker!$A$3:$A$100&lt;&gt;"")*(ISNUMBER(Tracker!$AW$3:$AW$100))*(ISNUMBER(Tracker!$AX$3:$AX$100))*(N(Tracker!$AX$3:$AX$100)&lt;=N(Tracker!$AW$3:$AW$100)))+SUMPRODUCT((Tracker!$A$3:$A$100&lt;&gt;"")*(ISNUMBER(Tracker!$AZ$3:$AZ$100))*(ISNUMBER(Tracker!$BA$3:$BA$100))*(N(Tracker!$BA$3:$BA$100)&lt;=N(Tracker!$AZ$3:$AZ$100)))+SUMPRODUCT((Tracker!$A$3:$A$100&lt;&gt;"")*(ISNUMBER(Tracker!$BC$3:$BC$100))*(ISNUMBER(Tracker!$BD$3:$BD$100))*(N(Tracker!$BD$3:$BD$100)&lt;=N(Tracker!$BC$3:$BC$100)))+SUMPRODUCT((Tracker!$A$3:$A$100&lt;&gt;"")*(ISNUMBER(Tracker!$BG$3:$BG$100))*(ISNUMBER(Tracker!$BH$3:$BH$100))*(N(Tracker!$BH$3:$BH$100)&lt;=N(Tracker!$BG$3:$BG$100)))</f>
        <v>100</v>
      </c>
      <c r="R5" s="61"/>
    </row>
    <row r="6" spans="2:18" ht="32.1" customHeight="1">
      <c r="B6" s="35" t="s">
        <v>12</v>
      </c>
      <c r="C6" s="54"/>
      <c r="D6" s="28" t="s">
        <v>13</v>
      </c>
      <c r="E6" s="55"/>
      <c r="F6" s="26" t="s">
        <v>14</v>
      </c>
      <c r="G6" s="56"/>
      <c r="H6" s="1"/>
      <c r="I6" s="23" t="s">
        <v>15</v>
      </c>
      <c r="J6" s="57"/>
      <c r="K6" s="31" t="s">
        <v>16</v>
      </c>
      <c r="L6" s="58"/>
      <c r="M6" s="30" t="s">
        <v>17</v>
      </c>
      <c r="N6" s="59"/>
      <c r="O6" s="65" t="s">
        <v>18</v>
      </c>
      <c r="P6" s="61"/>
      <c r="Q6" s="65" t="s">
        <v>19</v>
      </c>
      <c r="R6" s="61"/>
    </row>
    <row r="8" spans="2:18" ht="17.100000000000001" customHeight="1">
      <c r="B8" s="66" t="s">
        <v>20</v>
      </c>
      <c r="C8" s="52"/>
      <c r="D8" s="52"/>
      <c r="E8" s="52"/>
      <c r="F8" s="52"/>
      <c r="G8" s="52"/>
      <c r="H8" s="1"/>
      <c r="I8" s="67" t="s">
        <v>21</v>
      </c>
      <c r="J8" s="52"/>
      <c r="K8" s="52"/>
      <c r="L8" s="52"/>
      <c r="M8" s="52"/>
      <c r="N8" s="52"/>
      <c r="O8" s="52"/>
      <c r="P8" s="52"/>
      <c r="Q8" s="1"/>
      <c r="R8" s="1"/>
    </row>
    <row r="9" spans="2:18" ht="27.95" customHeight="1">
      <c r="B9" s="68" t="s">
        <v>22</v>
      </c>
      <c r="C9" s="68" t="s">
        <v>23</v>
      </c>
      <c r="D9" s="68" t="s">
        <v>24</v>
      </c>
      <c r="E9" s="68" t="s">
        <v>25</v>
      </c>
      <c r="F9" s="68" t="s">
        <v>26</v>
      </c>
      <c r="G9" s="68" t="s">
        <v>27</v>
      </c>
      <c r="H9" s="1"/>
      <c r="I9" s="69" t="s">
        <v>28</v>
      </c>
      <c r="J9" s="69" t="s">
        <v>29</v>
      </c>
      <c r="K9" s="69" t="s">
        <v>7</v>
      </c>
      <c r="L9" s="69" t="s">
        <v>6</v>
      </c>
      <c r="M9" s="69" t="s">
        <v>30</v>
      </c>
      <c r="N9" s="69" t="s">
        <v>31</v>
      </c>
      <c r="O9" s="69" t="s">
        <v>32</v>
      </c>
      <c r="P9" s="69" t="s">
        <v>33</v>
      </c>
      <c r="Q9" s="1"/>
      <c r="R9" s="1"/>
    </row>
    <row r="10" spans="2:18" ht="18" customHeight="1">
      <c r="B10" s="70" t="str">
        <f ca="1">IFERROR(INDEX(Tracker!$A$3:$A$100, MATCH(_xlfn.SINGLE(_xlfn.AGGREGATE(15, 6, Tracker!$CG$3:$CG$100, 1)), Tracker!$CG$3:$CG$100, 0)), "")</f>
        <v>Ecosys</v>
      </c>
      <c r="C10" s="70" t="str">
        <f ca="1">IF(B10 = "", "", IFERROR(INDEX(Tracker!$C$3:$C$100, MATCH(_xlfn.SINGLE(_xlfn.AGGREGATE(15, 6, Tracker!$CG$3:$CG$100, 1)), Tracker!$CG$3:$CG$100, 0)), ""))</f>
        <v>Sprint 17</v>
      </c>
      <c r="D10" s="70" t="str">
        <f ca="1">IF(B10 = "", "", IFERROR(INDEX(Tracker!$D$3:$D$100, MATCH(_xlfn.SINGLE(_xlfn.AGGREGATE(15, 6, Tracker!$CG$3:$CG$100, 1)), Tracker!$CG$3:$CG$100, 0)), ""))</f>
        <v>In Progress</v>
      </c>
      <c r="E10" s="70" t="str">
        <f ca="1">IF(B10 = "", "", IFERROR(INDEX(Tracker!$E$3:$E$100, MATCH(_xlfn.SINGLE(_xlfn.AGGREGATE(15, 6, Tracker!$CG$3:$CG$100, 1)), Tracker!$CG$3:$CG$100, 0)), ""))</f>
        <v>Dev File R-Task</v>
      </c>
      <c r="F10" s="71">
        <f ca="1">IF(B10 = "", "", IFERROR(INDEX(Tracker!$F$3:$F$100, MATCH(_xlfn.SINGLE(_xlfn.AGGREGATE(15, 6, Tracker!$CG$3:$CG$100, 1)), Tracker!$CG$3:$CG$100, 0)), ""))</f>
        <v>46220</v>
      </c>
      <c r="G10" s="72">
        <f ca="1">IF(B10 = "", "", IFERROR(INDEX(Tracker!$G$3:$G$100, MATCH(_xlfn.SINGLE(_xlfn.AGGREGATE(15, 6, Tracker!$CG$3:$CG$100, 1)), Tracker!$CG$3:$CG$100, 0)), ""))</f>
        <v>35</v>
      </c>
      <c r="H10" s="1"/>
      <c r="I10" s="73" t="s">
        <v>34</v>
      </c>
      <c r="J10" s="74">
        <f ca="1">SUMPRODUCT((Tracker!$A$3:$A$100&lt;&gt;"")*(Tracker!$S$3:$S$100&lt;&gt;"Completed")*(Tracker!$S$3:$S$100&lt;&gt;"N/A")*(ISNUMBER(Tracker!$Q$3:$Q$100))*(N(Tracker!$Q$3:$Q$100)&lt;TODAY()))</f>
        <v>10</v>
      </c>
      <c r="K10" s="74">
        <f ca="1">SUMPRODUCT((Tracker!$A$3:$A$100&lt;&gt;"")*(Tracker!$S$3:$S$100&lt;&gt;"Completed")*(Tracker!$S$3:$S$100&lt;&gt;"N/A")*(ISNUMBER(Tracker!$Q$3:$Q$100))*(N(Tracker!$Q$3:$Q$100)&gt;=TODAY())*(N(Tracker!$Q$3:$Q$100)&lt;=TODAY()+7))</f>
        <v>0</v>
      </c>
      <c r="L10" s="74">
        <f>SUMPRODUCT((Tracker!$A$3:$A$100&lt;&gt;"")*(ISNUMBER(Tracker!$Q$3:$Q$100))*(Tracker!$S$3:$S$100="Blocked"))</f>
        <v>0</v>
      </c>
      <c r="M10" s="74">
        <f>SUMPRODUCT((Tracker!$A$3:$A$100&lt;&gt;"")*(ISNUMBER(Tracker!$Q$3:$Q$100))*(Tracker!$S$3:$S$100="In Progress"))</f>
        <v>0</v>
      </c>
      <c r="N10" s="74">
        <f>SUMPRODUCT((Tracker!$A$3:$A$100&lt;&gt;"")*(ISNUMBER(Tracker!$M$3:$M$100))*(Tracker!$N$3:$N$100&lt;&gt;"Completed")*(Tracker!$N$3:$N$100&lt;&gt;"Blocked")*(Tracker!$N$3:$N$100&lt;&gt;"In Progress"))</f>
        <v>43</v>
      </c>
      <c r="O10" s="74">
        <f>SUMPRODUCT((Tracker!$A$3:$A$100&lt;&gt;"")*(ISNUMBER(Tracker!$M$3:$M$100))*(Tracker!$N$3:$N$100="Completed"))</f>
        <v>0</v>
      </c>
      <c r="P10" s="75" t="str">
        <f ca="1">IF(N(J10)&lt;=0,"",REPT("|",MIN(N(J10),25)))</f>
        <v>||||||||||</v>
      </c>
      <c r="Q10" s="1"/>
      <c r="R10" s="1"/>
    </row>
    <row r="11" spans="2:18" ht="18" customHeight="1">
      <c r="B11" s="76" t="str">
        <f ca="1">IFERROR(INDEX(Tracker!$A$3:$A$100, MATCH(_xlfn.SINGLE(_xlfn.AGGREGATE(15, 6, Tracker!$CG$3:$CG$100, 2)), Tracker!$CG$3:$CG$100, 0)), "")</f>
        <v>ALLOCATIONS</v>
      </c>
      <c r="C11" s="76" t="str">
        <f ca="1">IF(B11 = "", "", IFERROR(INDEX(Tracker!$C$3:$C$100, MATCH(_xlfn.SINGLE(_xlfn.AGGREGATE(15, 6, Tracker!$CG$3:$CG$100, 2)), Tracker!$CG$3:$CG$100, 0)), ""))</f>
        <v>Sprint 17</v>
      </c>
      <c r="D11" s="76" t="str">
        <f ca="1">IF(B11 = "", "", IFERROR(INDEX(Tracker!$D$3:$D$100, MATCH(_xlfn.SINGLE(_xlfn.AGGREGATE(15, 6, Tracker!$CG$3:$CG$100, 2)), Tracker!$CG$3:$CG$100, 0)), ""))</f>
        <v>In Progress</v>
      </c>
      <c r="E11" s="76" t="str">
        <f ca="1">IF(B11 = "", "", IFERROR(INDEX(Tracker!$E$3:$E$100, MATCH(_xlfn.SINGLE(_xlfn.AGGREGATE(15, 6, Tracker!$CG$3:$CG$100, 2)), Tracker!$CG$3:$CG$100, 0)), ""))</f>
        <v>Dev R-Task</v>
      </c>
      <c r="F11" s="77">
        <f ca="1">IF(B11 = "", "", IFERROR(INDEX(Tracker!$F$3:$F$100, MATCH(_xlfn.SINGLE(_xlfn.AGGREGATE(15, 6, Tracker!$CG$3:$CG$100, 2)), Tracker!$CG$3:$CG$100, 0)), ""))</f>
        <v>46220</v>
      </c>
      <c r="G11" s="78">
        <f ca="1">IF(B11 = "", "", IFERROR(INDEX(Tracker!$G$3:$G$100, MATCH(_xlfn.SINGLE(_xlfn.AGGREGATE(15, 6, Tracker!$CG$3:$CG$100, 2)), Tracker!$CG$3:$CG$100, 0)), ""))</f>
        <v>35</v>
      </c>
      <c r="H11" s="1"/>
      <c r="I11" s="79" t="s">
        <v>35</v>
      </c>
      <c r="J11" s="80">
        <f ca="1">SUMPRODUCT((Tracker!$A$3:$A$100&lt;&gt;"")*(Tracker!$V$3:$V$100&lt;&gt;"Completed")*(Tracker!$V$3:$V$100&lt;&gt;"N/A")*(ISNUMBER(Tracker!$T$3:$T$100))*(N(Tracker!$T$3:$T$100)&lt;TODAY()))</f>
        <v>10</v>
      </c>
      <c r="K11" s="80">
        <f ca="1">SUMPRODUCT((Tracker!$A$3:$A$100&lt;&gt;"")*(Tracker!$V$3:$V$100&lt;&gt;"Completed")*(Tracker!$V$3:$V$100&lt;&gt;"N/A")*(ISNUMBER(Tracker!$T$3:$T$100))*(N(Tracker!$T$3:$T$100)&gt;=TODAY())*(N(Tracker!$T$3:$T$100)&lt;=TODAY()+7))</f>
        <v>0</v>
      </c>
      <c r="L11" s="80">
        <f>SUMPRODUCT((Tracker!$A$3:$A$100&lt;&gt;"")*(ISNUMBER(Tracker!$T$3:$T$100))*(Tracker!$V$3:$V$100="Blocked"))</f>
        <v>0</v>
      </c>
      <c r="M11" s="80">
        <f>SUMPRODUCT((Tracker!$A$3:$A$100&lt;&gt;"")*(ISNUMBER(Tracker!$T$3:$T$100))*(Tracker!$V$3:$V$100="In Progress"))</f>
        <v>0</v>
      </c>
      <c r="N11" s="80">
        <f>SUMPRODUCT((Tracker!$A$3:$A$100&lt;&gt;"")*(ISNUMBER(Tracker!$O$3:$O$100))*(Tracker!$P$3:$P$100&lt;&gt;"Completed")*(Tracker!$P$3:$P$100&lt;&gt;"Blocked")*(Tracker!$P$3:$P$100&lt;&gt;"In Progress"))</f>
        <v>14</v>
      </c>
      <c r="O11" s="80">
        <f>SUMPRODUCT((Tracker!$A$3:$A$100&lt;&gt;"")*(ISNUMBER(Tracker!$O$3:$O$100))*(Tracker!$P$3:$P$100="Completed"))</f>
        <v>7</v>
      </c>
      <c r="P11" s="81" t="str">
        <f ca="1">IF(N(J11)&lt;=0,"",REPT("|",MIN(N(J11),25)))</f>
        <v>||||||||||</v>
      </c>
      <c r="Q11" s="1"/>
      <c r="R11" s="1"/>
    </row>
    <row r="12" spans="2:18" ht="18" customHeight="1">
      <c r="B12" s="70" t="str">
        <f ca="1">IFERROR(INDEX(Tracker!$A$3:$A$100, MATCH(_xlfn.SINGLE(_xlfn.AGGREGATE(15, 6, Tracker!$CG$3:$CG$100, 3)), Tracker!$CG$3:$CG$100, 0)), "")</f>
        <v>AUDIT REPORTS</v>
      </c>
      <c r="C12" s="70" t="str">
        <f ca="1">IF(B12 = "", "", IFERROR(INDEX(Tracker!$C$3:$C$100, MATCH(_xlfn.SINGLE(_xlfn.AGGREGATE(15, 6, Tracker!$CG$3:$CG$100, 3)), Tracker!$CG$3:$CG$100, 0)), ""))</f>
        <v>Sprint 17</v>
      </c>
      <c r="D12" s="70" t="str">
        <f ca="1">IF(B12 = "", "", IFERROR(INDEX(Tracker!$D$3:$D$100, MATCH(_xlfn.SINGLE(_xlfn.AGGREGATE(15, 6, Tracker!$CG$3:$CG$100, 3)), Tracker!$CG$3:$CG$100, 0)), ""))</f>
        <v>In Progress</v>
      </c>
      <c r="E12" s="70" t="str">
        <f ca="1">IF(B12 = "", "", IFERROR(INDEX(Tracker!$E$3:$E$100, MATCH(_xlfn.SINGLE(_xlfn.AGGREGATE(15, 6, Tracker!$CG$3:$CG$100, 3)), Tracker!$CG$3:$CG$100, 0)), ""))</f>
        <v>Prod OUR</v>
      </c>
      <c r="F12" s="71">
        <f ca="1">IF(B12 = "", "", IFERROR(INDEX(Tracker!$F$3:$F$100, MATCH(_xlfn.SINGLE(_xlfn.AGGREGATE(15, 6, Tracker!$CG$3:$CG$100, 3)), Tracker!$CG$3:$CG$100, 0)), ""))</f>
        <v>46224</v>
      </c>
      <c r="G12" s="72">
        <f ca="1">IF(B12 = "", "", IFERROR(INDEX(Tracker!$G$3:$G$100, MATCH(_xlfn.SINGLE(_xlfn.AGGREGATE(15, 6, Tracker!$CG$3:$CG$100, 3)), Tracker!$CG$3:$CG$100, 0)), ""))</f>
        <v>31</v>
      </c>
      <c r="H12" s="1"/>
      <c r="I12" s="73" t="s">
        <v>36</v>
      </c>
      <c r="J12" s="74">
        <f ca="1">SUMPRODUCT((Tracker!$A$3:$A$100&lt;&gt;"")*(Tracker!$Y$3:$Y$100&lt;&gt;"Completed")*(Tracker!$Y$3:$Y$100&lt;&gt;"N/A")*(ISNUMBER(Tracker!$W$3:$W$100))*(N(Tracker!$W$3:$W$100)&lt;TODAY()))</f>
        <v>11</v>
      </c>
      <c r="K12" s="74">
        <f ca="1">SUMPRODUCT((Tracker!$A$3:$A$100&lt;&gt;"")*(Tracker!$Y$3:$Y$100&lt;&gt;"Completed")*(Tracker!$Y$3:$Y$100&lt;&gt;"N/A")*(ISNUMBER(Tracker!$W$3:$W$100))*(N(Tracker!$W$3:$W$100)&gt;=TODAY())*(N(Tracker!$W$3:$W$100)&lt;=TODAY()+7))</f>
        <v>0</v>
      </c>
      <c r="L12" s="74">
        <f>SUMPRODUCT((Tracker!$A$3:$A$100&lt;&gt;"")*(ISNUMBER(Tracker!$W$3:$W$100))*(Tracker!$Y$3:$Y$100="Blocked"))</f>
        <v>0</v>
      </c>
      <c r="M12" s="74">
        <f>SUMPRODUCT((Tracker!$A$3:$A$100&lt;&gt;"")*(ISNUMBER(Tracker!$W$3:$W$100))*(Tracker!$Y$3:$Y$100="In Progress"))</f>
        <v>1</v>
      </c>
      <c r="N12" s="74">
        <f>SUMPRODUCT((Tracker!$A$3:$A$100&lt;&gt;"")*(ISNUMBER(Tracker!$Q$3:$Q$100))*(Tracker!$R$3:$R$100&lt;&gt;"Completed")*(Tracker!$R$3:$R$100&lt;&gt;"Blocked")*(Tracker!$R$3:$R$100&lt;&gt;"In Progress"))</f>
        <v>43</v>
      </c>
      <c r="O12" s="74">
        <f>SUMPRODUCT((Tracker!$A$3:$A$100&lt;&gt;"")*(ISNUMBER(Tracker!$Q$3:$Q$100))*(Tracker!$R$3:$R$100="Completed"))</f>
        <v>0</v>
      </c>
      <c r="P12" s="75" t="str">
        <f ca="1">IF(N(J12)&lt;=0,"",REPT("|",MIN(N(J12),25)))</f>
        <v>|||||||||||</v>
      </c>
      <c r="Q12" s="1"/>
      <c r="R12" s="1"/>
    </row>
    <row r="13" spans="2:18" ht="18" customHeight="1">
      <c r="B13" s="76" t="str">
        <f ca="1">IFERROR(INDEX(Tracker!$A$3:$A$100, MATCH(_xlfn.SINGLE(_xlfn.AGGREGATE(15, 6, Tracker!$CG$3:$CG$100, 4)), Tracker!$CG$3:$CG$100, 0)), "")</f>
        <v>EDDS</v>
      </c>
      <c r="C13" s="76" t="str">
        <f ca="1">IF(B13 = "", "", IFERROR(INDEX(Tracker!$C$3:$C$100, MATCH(_xlfn.SINGLE(_xlfn.AGGREGATE(15, 6, Tracker!$CG$3:$CG$100, 4)), Tracker!$CG$3:$CG$100, 0)), ""))</f>
        <v>Sprint 17</v>
      </c>
      <c r="D13" s="76" t="str">
        <f ca="1">IF(B13 = "", "", IFERROR(INDEX(Tracker!$D$3:$D$100, MATCH(_xlfn.SINGLE(_xlfn.AGGREGATE(15, 6, Tracker!$CG$3:$CG$100, 4)), Tracker!$CG$3:$CG$100, 0)), ""))</f>
        <v>In Progress</v>
      </c>
      <c r="E13" s="76" t="str">
        <f ca="1">IF(B13 = "", "", IFERROR(INDEX(Tracker!$E$3:$E$100, MATCH(_xlfn.SINGLE(_xlfn.AGGREGATE(15, 6, Tracker!$CG$3:$CG$100, 4)), Tracker!$CG$3:$CG$100, 0)), ""))</f>
        <v>Prod OUR</v>
      </c>
      <c r="F13" s="77">
        <f ca="1">IF(B13 = "", "", IFERROR(INDEX(Tracker!$F$3:$F$100, MATCH(_xlfn.SINGLE(_xlfn.AGGREGATE(15, 6, Tracker!$CG$3:$CG$100, 4)), Tracker!$CG$3:$CG$100, 0)), ""))</f>
        <v>46224</v>
      </c>
      <c r="G13" s="78">
        <f ca="1">IF(B13 = "", "", IFERROR(INDEX(Tracker!$G$3:$G$100, MATCH(_xlfn.SINGLE(_xlfn.AGGREGATE(15, 6, Tracker!$CG$3:$CG$100, 4)), Tracker!$CG$3:$CG$100, 0)), ""))</f>
        <v>31</v>
      </c>
      <c r="H13" s="1"/>
      <c r="I13" s="79" t="s">
        <v>37</v>
      </c>
      <c r="J13" s="80">
        <f ca="1">SUMPRODUCT((Tracker!$A$3:$A$100&lt;&gt;"")*(Tracker!$AC$3:$AC$100&lt;&gt;"Completed")*(Tracker!$AC$3:$AC$100&lt;&gt;"N/A")*(ISNUMBER(Tracker!$AA$3:$AA$100))*(N(Tracker!$AA$3:$AA$100)&lt;TODAY()))</f>
        <v>4</v>
      </c>
      <c r="K13" s="80">
        <f ca="1">SUMPRODUCT((Tracker!$A$3:$A$100&lt;&gt;"")*(Tracker!$AC$3:$AC$100&lt;&gt;"Completed")*(Tracker!$AC$3:$AC$100&lt;&gt;"N/A")*(ISNUMBER(Tracker!$AA$3:$AA$100))*(N(Tracker!$AA$3:$AA$100)&gt;=TODAY())*(N(Tracker!$AA$3:$AA$100)&lt;=TODAY()+7))</f>
        <v>0</v>
      </c>
      <c r="L13" s="80">
        <f>SUMPRODUCT((Tracker!$A$3:$A$100&lt;&gt;"")*(ISNUMBER(Tracker!$AA$3:$AA$100))*(Tracker!$AC$3:$AC$100="Blocked"))</f>
        <v>0</v>
      </c>
      <c r="M13" s="80">
        <f>SUMPRODUCT((Tracker!$A$3:$A$100&lt;&gt;"")*(ISNUMBER(Tracker!$AG$3:$AG$100))*(Tracker!$AI$3:$AI$100="In Progress"))</f>
        <v>1</v>
      </c>
      <c r="N13" s="80">
        <f>SUMPRODUCT((Tracker!$A$3:$A$100&lt;&gt;"")*(ISNUMBER(Tracker!$S$3:$S$100))*(Tracker!$T$3:$T$100&lt;&gt;"Completed")*(Tracker!$T$3:$T$100&lt;&gt;"Blocked")*(Tracker!$T$3:$T$100&lt;&gt;"In Progress"))</f>
        <v>0</v>
      </c>
      <c r="O13" s="80">
        <f>SUMPRODUCT((Tracker!$A$3:$A$100&lt;&gt;"")*(ISNUMBER(Tracker!$S$3:$S$100))*(Tracker!$T$3:$T$100="Completed"))</f>
        <v>0</v>
      </c>
      <c r="P13" s="81" t="str">
        <f ca="1">IF(N(J13)&lt;=0,"",REPT("|",MIN(N(J13),25)))</f>
        <v>||||</v>
      </c>
      <c r="Q13" s="1"/>
      <c r="R13" s="1"/>
    </row>
    <row r="14" spans="2:18" ht="18" customHeight="1">
      <c r="B14" s="70" t="str">
        <f ca="1">IFERROR(INDEX(Tracker!$A$3:$A$100, MATCH(_xlfn.SINGLE(_xlfn.AGGREGATE(15, 6, Tracker!$CG$3:$CG$100, 5)), Tracker!$CG$3:$CG$100, 0)), "")</f>
        <v>EPM_BALANCES</v>
      </c>
      <c r="C14" s="70" t="str">
        <f ca="1">IF(B14 = "", "", IFERROR(INDEX(Tracker!$C$3:$C$100, MATCH(_xlfn.SINGLE(_xlfn.AGGREGATE(15, 6, Tracker!$CG$3:$CG$100, 5)), Tracker!$CG$3:$CG$100, 0)), ""))</f>
        <v>Sprint 17</v>
      </c>
      <c r="D14" s="70" t="str">
        <f ca="1">IF(B14 = "", "", IFERROR(INDEX(Tracker!$D$3:$D$100, MATCH(_xlfn.SINGLE(_xlfn.AGGREGATE(15, 6, Tracker!$CG$3:$CG$100, 5)), Tracker!$CG$3:$CG$100, 0)), ""))</f>
        <v>In Progress</v>
      </c>
      <c r="E14" s="70" t="str">
        <f ca="1">IF(B14 = "", "", IFERROR(INDEX(Tracker!$E$3:$E$100, MATCH(_xlfn.SINGLE(_xlfn.AGGREGATE(15, 6, Tracker!$CG$3:$CG$100, 5)), Tracker!$CG$3:$CG$100, 0)), ""))</f>
        <v>Prod OUR</v>
      </c>
      <c r="F14" s="71">
        <f ca="1">IF(B14 = "", "", IFERROR(INDEX(Tracker!$F$3:$F$100, MATCH(_xlfn.SINGLE(_xlfn.AGGREGATE(15, 6, Tracker!$CG$3:$CG$100, 5)), Tracker!$CG$3:$CG$100, 0)), ""))</f>
        <v>46224</v>
      </c>
      <c r="G14" s="72">
        <f ca="1">IF(B14 = "", "", IFERROR(INDEX(Tracker!$G$3:$G$100, MATCH(_xlfn.SINGLE(_xlfn.AGGREGATE(15, 6, Tracker!$CG$3:$CG$100, 5)), Tracker!$CG$3:$CG$100, 0)), ""))</f>
        <v>31</v>
      </c>
      <c r="H14" s="1"/>
      <c r="I14" s="73" t="s">
        <v>38</v>
      </c>
      <c r="J14" s="74">
        <f ca="1">SUMPRODUCT((Tracker!$A$3:$A$100&lt;&gt;"")*(Tracker!$AI$3:$AI$100&lt;&gt;"Completed")*(Tracker!$AI$3:$AI$100&lt;&gt;"N/A")*(ISNUMBER(Tracker!$AG$3:$AG$100))*(N(Tracker!$AG$3:$AG$100)&lt;TODAY()))</f>
        <v>10</v>
      </c>
      <c r="K14" s="74">
        <f ca="1">SUMPRODUCT((Tracker!$A$3:$A$100&lt;&gt;"")*(Tracker!$AI$3:$AI$100&lt;&gt;"Completed")*(Tracker!$AI$3:$AI$100&lt;&gt;"N/A")*(ISNUMBER(Tracker!$AG$3:$AG$100))*(N(Tracker!$AG$3:$AG$100)&gt;=TODAY())*(N(Tracker!$AG$3:$AG$100)&lt;=TODAY()+7))</f>
        <v>0</v>
      </c>
      <c r="L14" s="74">
        <f>SUMPRODUCT((Tracker!$A$3:$A$100&lt;&gt;"")*(ISNUMBER(Tracker!$AG$3:$AG$100))*(Tracker!$AI$3:$AI$100="Blocked"))</f>
        <v>0</v>
      </c>
      <c r="M14" s="74">
        <f>SUMPRODUCT((Tracker!$A$3:$A$100&lt;&gt;"")*(ISNUMBER(Tracker!$AJ$3:$AJ$100))*(Tracker!$AL$3:$AL$100="In Progress"))</f>
        <v>0</v>
      </c>
      <c r="N14" s="74">
        <f>SUMPRODUCT((Tracker!$A$3:$A$100&lt;&gt;"")*(ISNUMBER(Tracker!$U$3:$U$100))*(Tracker!$V$3:$V$100&lt;&gt;"Completed")*(Tracker!$V$3:$V$100&lt;&gt;"Blocked")*(Tracker!$V$3:$V$100&lt;&gt;"In Progress"))</f>
        <v>0</v>
      </c>
      <c r="O14" s="74">
        <f>SUMPRODUCT((Tracker!$A$3:$A$100&lt;&gt;"")*(ISNUMBER(Tracker!$U$3:$U$100))*(Tracker!$V$3:$V$100="Completed"))</f>
        <v>33</v>
      </c>
      <c r="P14" s="75" t="str">
        <f ca="1">IF(N(J14)&lt;=0,"",REPT("|",MIN(N(J14),25)))</f>
        <v>||||||||||</v>
      </c>
      <c r="Q14" s="1"/>
      <c r="R14" s="1"/>
    </row>
    <row r="15" spans="2:18" ht="18" customHeight="1">
      <c r="B15" s="76" t="str">
        <f ca="1">IFERROR(INDEX(Tracker!$A$3:$A$100, MATCH(_xlfn.SINGLE(_xlfn.AGGREGATE(15, 6, Tracker!$CG$3:$CG$100, 6)), Tracker!$CG$3:$CG$100, 0)), "")</f>
        <v>EPM_DIM_NOD</v>
      </c>
      <c r="C15" s="76" t="str">
        <f ca="1">IF(B15 = "", "", IFERROR(INDEX(Tracker!$C$3:$C$100, MATCH(_xlfn.SINGLE(_xlfn.AGGREGATE(15, 6, Tracker!$CG$3:$CG$100, 6)), Tracker!$CG$3:$CG$100, 0)), ""))</f>
        <v>Sprint 17</v>
      </c>
      <c r="D15" s="76" t="str">
        <f ca="1">IF(B15 = "", "", IFERROR(INDEX(Tracker!$D$3:$D$100, MATCH(_xlfn.SINGLE(_xlfn.AGGREGATE(15, 6, Tracker!$CG$3:$CG$100, 6)), Tracker!$CG$3:$CG$100, 0)), ""))</f>
        <v>In Progress</v>
      </c>
      <c r="E15" s="76" t="str">
        <f ca="1">IF(B15 = "", "", IFERROR(INDEX(Tracker!$E$3:$E$100, MATCH(_xlfn.SINGLE(_xlfn.AGGREGATE(15, 6, Tracker!$CG$3:$CG$100, 6)), Tracker!$CG$3:$CG$100, 0)), ""))</f>
        <v>Prod OUR</v>
      </c>
      <c r="F15" s="77">
        <f ca="1">IF(B15 = "", "", IFERROR(INDEX(Tracker!$F$3:$F$100, MATCH(_xlfn.SINGLE(_xlfn.AGGREGATE(15, 6, Tracker!$CG$3:$CG$100, 6)), Tracker!$CG$3:$CG$100, 0)), ""))</f>
        <v>46224</v>
      </c>
      <c r="G15" s="78">
        <f ca="1">IF(B15 = "", "", IFERROR(INDEX(Tracker!$G$3:$G$100, MATCH(_xlfn.SINGLE(_xlfn.AGGREGATE(15, 6, Tracker!$CG$3:$CG$100, 6)), Tracker!$CG$3:$CG$100, 0)), ""))</f>
        <v>31</v>
      </c>
      <c r="H15" s="1"/>
      <c r="I15" s="79" t="s">
        <v>39</v>
      </c>
      <c r="J15" s="80">
        <f ca="1">SUMPRODUCT((Tracker!$A$3:$A$100&lt;&gt;"")*(Tracker!$AL$3:$AL$100&lt;&gt;"Completed")*(Tracker!$AL$3:$AL$100&lt;&gt;"N/A")*(ISNUMBER(Tracker!$AJ$3:$AJ$100))*(N(Tracker!$AJ$3:$AJ$100)&lt;TODAY()))</f>
        <v>10</v>
      </c>
      <c r="K15" s="80">
        <f ca="1">SUMPRODUCT((Tracker!$A$3:$A$100&lt;&gt;"")*(Tracker!$AL$3:$AL$100&lt;&gt;"Completed")*(Tracker!$AL$3:$AL$100&lt;&gt;"N/A")*(ISNUMBER(Tracker!$AJ$3:$AJ$100))*(N(Tracker!$AJ$3:$AJ$100)&gt;=TODAY())*(N(Tracker!$AJ$3:$AJ$100)&lt;=TODAY()+7))</f>
        <v>0</v>
      </c>
      <c r="L15" s="80">
        <f>SUMPRODUCT((Tracker!$A$3:$A$100&lt;&gt;"")*(ISNUMBER(Tracker!$AJ$3:$AJ$100))*(Tracker!$AL$3:$AL$100="Blocked"))</f>
        <v>0</v>
      </c>
      <c r="M15" s="80">
        <f>SUMPRODUCT((Tracker!$A$3:$A$100&lt;&gt;"")*(ISNUMBER(Tracker!$AM$3:$AM$100))*(Tracker!$AO$3:$AO$100="In Progress"))</f>
        <v>0</v>
      </c>
      <c r="N15" s="80">
        <f>SUMPRODUCT((Tracker!$A$3:$A$100&lt;&gt;"")*(ISNUMBER(Tracker!$W$3:$W$100))*(Tracker!$X$3:$X$100&lt;&gt;"Completed")*(Tracker!$X$3:$X$100&lt;&gt;"Blocked")*(Tracker!$X$3:$X$100&lt;&gt;"In Progress"))</f>
        <v>43</v>
      </c>
      <c r="O15" s="80">
        <f>SUMPRODUCT((Tracker!$A$3:$A$100&lt;&gt;"")*(ISNUMBER(Tracker!$W$3:$W$100))*(Tracker!$X$3:$X$100="Completed"))</f>
        <v>0</v>
      </c>
      <c r="P15" s="81" t="str">
        <f ca="1">IF(N(J15)&lt;=0,"",REPT("|",MIN(N(J15),25)))</f>
        <v>||||||||||</v>
      </c>
      <c r="Q15" s="1"/>
      <c r="R15" s="1"/>
    </row>
    <row r="16" spans="2:18" ht="18" customHeight="1">
      <c r="B16" s="70" t="str">
        <f ca="1">IFERROR(INDEX(Tracker!$A$3:$A$100, MATCH(_xlfn.SINGLE(_xlfn.AGGREGATE(15, 6, Tracker!$CG$3:$CG$100, 7)), Tracker!$CG$3:$CG$100, 0)), "")</f>
        <v>EPM_UI PUSH</v>
      </c>
      <c r="C16" s="70" t="str">
        <f ca="1">IF(B16 = "", "", IFERROR(INDEX(Tracker!$C$3:$C$100, MATCH(_xlfn.SINGLE(_xlfn.AGGREGATE(15, 6, Tracker!$CG$3:$CG$100, 7)), Tracker!$CG$3:$CG$100, 0)), ""))</f>
        <v>Sprint 17</v>
      </c>
      <c r="D16" s="70" t="str">
        <f ca="1">IF(B16 = "", "", IFERROR(INDEX(Tracker!$D$3:$D$100, MATCH(_xlfn.SINGLE(_xlfn.AGGREGATE(15, 6, Tracker!$CG$3:$CG$100, 7)), Tracker!$CG$3:$CG$100, 0)), ""))</f>
        <v>Yet to start</v>
      </c>
      <c r="E16" s="70" t="str">
        <f ca="1">IF(B16 = "", "", IFERROR(INDEX(Tracker!$E$3:$E$100, MATCH(_xlfn.SINGLE(_xlfn.AGGREGATE(15, 6, Tracker!$CG$3:$CG$100, 7)), Tracker!$CG$3:$CG$100, 0)), ""))</f>
        <v>Prod OUR</v>
      </c>
      <c r="F16" s="71">
        <f ca="1">IF(B16 = "", "", IFERROR(INDEX(Tracker!$F$3:$F$100, MATCH(_xlfn.SINGLE(_xlfn.AGGREGATE(15, 6, Tracker!$CG$3:$CG$100, 7)), Tracker!$CG$3:$CG$100, 0)), ""))</f>
        <v>46224</v>
      </c>
      <c r="G16" s="72">
        <f ca="1">IF(B16 = "", "", IFERROR(INDEX(Tracker!$G$3:$G$100, MATCH(_xlfn.SINGLE(_xlfn.AGGREGATE(15, 6, Tracker!$CG$3:$CG$100, 7)), Tracker!$CG$3:$CG$100, 0)), ""))</f>
        <v>31</v>
      </c>
      <c r="H16" s="1"/>
      <c r="I16" s="73" t="s">
        <v>40</v>
      </c>
      <c r="J16" s="74">
        <f ca="1">SUMPRODUCT((Tracker!$A$3:$A$100&lt;&gt;"")*(Tracker!$AO$3:$AO$100&lt;&gt;"Completed")*(Tracker!$AO$3:$AO$100&lt;&gt;"N/A")*(ISNUMBER(Tracker!$AM$3:$AM$100))*(N(Tracker!$AM$3:$AM$100)&lt;TODAY()))</f>
        <v>10</v>
      </c>
      <c r="K16" s="74">
        <f ca="1">SUMPRODUCT((Tracker!$A$3:$A$100&lt;&gt;"")*(Tracker!$AO$3:$AO$100&lt;&gt;"Completed")*(Tracker!$AO$3:$AO$100&lt;&gt;"N/A")*(ISNUMBER(Tracker!$AM$3:$AM$100))*(N(Tracker!$AM$3:$AM$100)&gt;=TODAY())*(N(Tracker!$AM$3:$AM$100)&lt;=TODAY()+7))</f>
        <v>0</v>
      </c>
      <c r="L16" s="74">
        <f>SUMPRODUCT((Tracker!$A$3:$A$100&lt;&gt;"")*(ISNUMBER(Tracker!$AM$3:$AM$100))*(Tracker!$AO$3:$AO$100="Blocked"))</f>
        <v>0</v>
      </c>
      <c r="M16" s="74">
        <f>SUMPRODUCT((Tracker!$A$3:$A$100&lt;&gt;"")*(ISNUMBER(Tracker!$AW$3:$AW$100))*(Tracker!$AY$3:$AY$100="In Progress"))</f>
        <v>0</v>
      </c>
      <c r="N16" s="74">
        <f>SUMPRODUCT((Tracker!$A$3:$A$100&lt;&gt;"")*(ISNUMBER(Tracker!$Y$3:$Y$100))*(Tracker!$Z$3:$Z$100&lt;&gt;"Completed")*(Tracker!$Z$3:$Z$100&lt;&gt;"Blocked")*(Tracker!$Z$3:$Z$100&lt;&gt;"In Progress"))</f>
        <v>0</v>
      </c>
      <c r="O16" s="74">
        <f>SUMPRODUCT((Tracker!$A$3:$A$100&lt;&gt;"")*(ISNUMBER(Tracker!$Y$3:$Y$100))*(Tracker!$Z$3:$Z$100="Completed"))</f>
        <v>0</v>
      </c>
      <c r="P16" s="75" t="str">
        <f ca="1">IF(N(J16)&lt;=0,"",REPT("|",MIN(N(J16),25)))</f>
        <v>||||||||||</v>
      </c>
      <c r="Q16" s="1"/>
      <c r="R16" s="1"/>
    </row>
    <row r="17" spans="2:16" ht="18" customHeight="1">
      <c r="B17" s="76" t="str">
        <f ca="1">IFERROR(INDEX(Tracker!$A$3:$A$100, MATCH(_xlfn.SINGLE(_xlfn.AGGREGATE(15, 6, Tracker!$CG$3:$CG$100, 8)), Tracker!$CG$3:$CG$100, 0)), "")</f>
        <v>AR80</v>
      </c>
      <c r="C17" s="76" t="str">
        <f ca="1">IF(B17 = "", "", IFERROR(INDEX(Tracker!$C$3:$C$100, MATCH(_xlfn.SINGLE(_xlfn.AGGREGATE(15, 6, Tracker!$CG$3:$CG$100, 8)), Tracker!$CG$3:$CG$100, 0)), ""))</f>
        <v>Sprint 17</v>
      </c>
      <c r="D17" s="76" t="str">
        <f ca="1">IF(B17 = "", "", IFERROR(INDEX(Tracker!$D$3:$D$100, MATCH(_xlfn.SINGLE(_xlfn.AGGREGATE(15, 6, Tracker!$CG$3:$CG$100, 8)), Tracker!$CG$3:$CG$100, 0)), ""))</f>
        <v>Yet to start</v>
      </c>
      <c r="E17" s="76" t="str">
        <f ca="1">IF(B17 = "", "", IFERROR(INDEX(Tracker!$E$3:$E$100, MATCH(_xlfn.SINGLE(_xlfn.AGGREGATE(15, 6, Tracker!$CG$3:$CG$100, 8)), Tracker!$CG$3:$CG$100, 0)), ""))</f>
        <v>Prod OUR</v>
      </c>
      <c r="F17" s="77">
        <f ca="1">IF(B17 = "", "", IFERROR(INDEX(Tracker!$F$3:$F$100, MATCH(_xlfn.SINGLE(_xlfn.AGGREGATE(15, 6, Tracker!$CG$3:$CG$100, 8)), Tracker!$CG$3:$CG$100, 0)), ""))</f>
        <v>46224</v>
      </c>
      <c r="G17" s="78">
        <f ca="1">IF(B17 = "", "", IFERROR(INDEX(Tracker!$G$3:$G$100, MATCH(_xlfn.SINGLE(_xlfn.AGGREGATE(15, 6, Tracker!$CG$3:$CG$100, 8)), Tracker!$CG$3:$CG$100, 0)), ""))</f>
        <v>31</v>
      </c>
      <c r="H17" s="1"/>
      <c r="I17" s="79" t="s">
        <v>41</v>
      </c>
      <c r="J17" s="80">
        <f ca="1">SUMPRODUCT((Tracker!$A$3:$A$100&lt;&gt;"")*(Tracker!$AR$3:$AR$100&lt;&gt;"Completed")*(Tracker!$AR$3:$AR$100&lt;&gt;"N/A")*(ISNUMBER(Tracker!$AP$3:$AP$100))*(N(Tracker!$AP$3:$AP$100)&lt;TODAY()))</f>
        <v>4</v>
      </c>
      <c r="K17" s="80">
        <f ca="1">SUMPRODUCT((Tracker!$A$3:$A$100&lt;&gt;"")*(Tracker!$AR$3:$AR$100&lt;&gt;"Completed")*(Tracker!$AR$3:$AR$100&lt;&gt;"N/A")*(ISNUMBER(Tracker!$AP$3:$AP$100))*(N(Tracker!$AP$3:$AP$100)&gt;=TODAY())*(N(Tracker!$AP$3:$AP$100)&lt;=TODAY()+7))</f>
        <v>0</v>
      </c>
      <c r="L17" s="80">
        <f>SUMPRODUCT((Tracker!$A$3:$A$100&lt;&gt;"")*(ISNUMBER(Tracker!$AP$3:$AP$100))*(Tracker!$AR$3:$AR$100="Blocked"))</f>
        <v>0</v>
      </c>
      <c r="M17" s="80">
        <f>SUMPRODUCT((Tracker!$A$3:$A$100&lt;&gt;"")*(ISNUMBER(Tracker!$AZ$3:$AZ$100))*(Tracker!$BB$3:$BB$100="In Progress"))</f>
        <v>0</v>
      </c>
      <c r="N17" s="80">
        <f>SUMPRODUCT((Tracker!$A$3:$A$100&lt;&gt;"")*(ISNUMBER(Tracker!$AA$3:$AA$100))*(Tracker!$AB$3:$AB$100&lt;&gt;"Completed")*(Tracker!$AB$3:$AB$100&lt;&gt;"Blocked")*(Tracker!$AB$3:$AB$100&lt;&gt;"In Progress"))</f>
        <v>4</v>
      </c>
      <c r="O17" s="80">
        <f>SUMPRODUCT((Tracker!$A$3:$A$100&lt;&gt;"")*(ISNUMBER(Tracker!$AA$3:$AA$100))*(Tracker!$AB$3:$AB$100="Completed"))</f>
        <v>0</v>
      </c>
      <c r="P17" s="81" t="str">
        <f ca="1">IF(N(J17)&lt;=0,"",REPT("|",MIN(N(J17),25)))</f>
        <v>||||</v>
      </c>
    </row>
    <row r="18" spans="2:16" ht="18" customHeight="1">
      <c r="B18" s="70" t="str">
        <f ca="1">IFERROR(INDEX(Tracker!$A$3:$A$100, MATCH(_xlfn.SINGLE(_xlfn.AGGREGATE(15, 6, Tracker!$CG$3:$CG$100, 9)), Tracker!$CG$3:$CG$100, 0)), "")</f>
        <v>BI80</v>
      </c>
      <c r="C18" s="70" t="str">
        <f ca="1">IF(B18 = "", "", IFERROR(INDEX(Tracker!$C$3:$C$100, MATCH(_xlfn.SINGLE(_xlfn.AGGREGATE(15, 6, Tracker!$CG$3:$CG$100, 9)), Tracker!$CG$3:$CG$100, 0)), ""))</f>
        <v>Sprint 17</v>
      </c>
      <c r="D18" s="70" t="str">
        <f ca="1">IF(B18 = "", "", IFERROR(INDEX(Tracker!$D$3:$D$100, MATCH(_xlfn.SINGLE(_xlfn.AGGREGATE(15, 6, Tracker!$CG$3:$CG$100, 9)), Tracker!$CG$3:$CG$100, 0)), ""))</f>
        <v>Yet to start</v>
      </c>
      <c r="E18" s="70" t="str">
        <f ca="1">IF(B18 = "", "", IFERROR(INDEX(Tracker!$E$3:$E$100, MATCH(_xlfn.SINGLE(_xlfn.AGGREGATE(15, 6, Tracker!$CG$3:$CG$100, 9)), Tracker!$CG$3:$CG$100, 0)), ""))</f>
        <v>Prod OUR</v>
      </c>
      <c r="F18" s="71">
        <f ca="1">IF(B18 = "", "", IFERROR(INDEX(Tracker!$F$3:$F$100, MATCH(_xlfn.SINGLE(_xlfn.AGGREGATE(15, 6, Tracker!$CG$3:$CG$100, 9)), Tracker!$CG$3:$CG$100, 0)), ""))</f>
        <v>46224</v>
      </c>
      <c r="G18" s="72">
        <f ca="1">IF(B18 = "", "", IFERROR(INDEX(Tracker!$G$3:$G$100, MATCH(_xlfn.SINGLE(_xlfn.AGGREGATE(15, 6, Tracker!$CG$3:$CG$100, 9)), Tracker!$CG$3:$CG$100, 0)), ""))</f>
        <v>31</v>
      </c>
      <c r="H18" s="1"/>
      <c r="I18" s="73" t="s">
        <v>42</v>
      </c>
      <c r="J18" s="74">
        <f ca="1">SUMPRODUCT((Tracker!$A$3:$A$100&lt;&gt;"")*(Tracker!$AW$3:$AW$100&lt;&gt;"Completed")*(Tracker!$AW$3:$AW$100&lt;&gt;"N/A")*(ISNUMBER(Tracker!$AU$3:$AU$100))*(N(Tracker!$AU$3:$AU$100)&lt;TODAY()))</f>
        <v>10</v>
      </c>
      <c r="K18" s="74">
        <f ca="1">SUMPRODUCT((Tracker!$A$3:$A$100&lt;&gt;"")*(Tracker!$AW$3:$AW$100&lt;&gt;"Completed")*(Tracker!$AW$3:$AW$100&lt;&gt;"N/A")*(ISNUMBER(Tracker!$AU$3:$AU$100))*(N(Tracker!$AU$3:$AU$100)&gt;=TODAY())*(N(Tracker!$AU$3:$AU$100)&lt;=TODAY()+7))</f>
        <v>0</v>
      </c>
      <c r="L18" s="74">
        <f>SUMPRODUCT((Tracker!$A$3:$A$100&lt;&gt;"")*(ISNUMBER(Tracker!$AU$3:$AU$100))*(Tracker!$AW$3:$AW$100="Blocked"))</f>
        <v>0</v>
      </c>
      <c r="M18" s="74">
        <f>SUMPRODUCT((Tracker!$A$3:$A$100&lt;&gt;"")*(ISNUMBER(Tracker!$BC$3:$BC$100))*(Tracker!$BE$3:$BE$100="In Progress"))</f>
        <v>0</v>
      </c>
      <c r="N18" s="74">
        <f>SUMPRODUCT((Tracker!$A$3:$A$100&lt;&gt;"")*(ISNUMBER(Tracker!$AC$3:$AC$100))*(Tracker!$AD$3:$AD$100&lt;&gt;"Completed")*(Tracker!$AD$3:$AD$100&lt;&gt;"Blocked")*(Tracker!$AD$3:$AD$100&lt;&gt;"In Progress"))</f>
        <v>0</v>
      </c>
      <c r="O18" s="74">
        <f>SUMPRODUCT((Tracker!$A$3:$A$100&lt;&gt;"")*(ISNUMBER(Tracker!$AC$3:$AC$100))*(Tracker!$AD$3:$AD$100="Completed"))</f>
        <v>0</v>
      </c>
      <c r="P18" s="75" t="str">
        <f ca="1">IF(N(J18)&lt;=0,"",REPT("|",MIN(N(J18),25)))</f>
        <v>||||||||||</v>
      </c>
    </row>
    <row r="19" spans="2:16" ht="18" customHeight="1">
      <c r="B19" s="76" t="str">
        <f ca="1">IFERROR(INDEX(Tracker!$A$3:$A$100, MATCH(_xlfn.SINGLE(_xlfn.AGGREGATE(15, 6, Tracker!$CG$3:$CG$100, 10)), Tracker!$CG$3:$CG$100, 0)), "")</f>
        <v>CBP</v>
      </c>
      <c r="C19" s="76" t="str">
        <f ca="1">IF(B19 = "", "", IFERROR(INDEX(Tracker!$C$3:$C$100, MATCH(_xlfn.SINGLE(_xlfn.AGGREGATE(15, 6, Tracker!$CG$3:$CG$100, 10)), Tracker!$CG$3:$CG$100, 0)), ""))</f>
        <v>Sprint 17</v>
      </c>
      <c r="D19" s="76" t="str">
        <f ca="1">IF(B19 = "", "", IFERROR(INDEX(Tracker!$D$3:$D$100, MATCH(_xlfn.SINGLE(_xlfn.AGGREGATE(15, 6, Tracker!$CG$3:$CG$100, 10)), Tracker!$CG$3:$CG$100, 0)), ""))</f>
        <v>Yet to start</v>
      </c>
      <c r="E19" s="76" t="str">
        <f ca="1">IF(B19 = "", "", IFERROR(INDEX(Tracker!$E$3:$E$100, MATCH(_xlfn.SINGLE(_xlfn.AGGREGATE(15, 6, Tracker!$CG$3:$CG$100, 10)), Tracker!$CG$3:$CG$100, 0)), ""))</f>
        <v>Prod OUR</v>
      </c>
      <c r="F19" s="77">
        <f ca="1">IF(B19 = "", "", IFERROR(INDEX(Tracker!$F$3:$F$100, MATCH(_xlfn.SINGLE(_xlfn.AGGREGATE(15, 6, Tracker!$CG$3:$CG$100, 10)), Tracker!$CG$3:$CG$100, 0)), ""))</f>
        <v>46224</v>
      </c>
      <c r="G19" s="78">
        <f ca="1">IF(B19 = "", "", IFERROR(INDEX(Tracker!$G$3:$G$100, MATCH(_xlfn.SINGLE(_xlfn.AGGREGATE(15, 6, Tracker!$CG$3:$CG$100, 10)), Tracker!$CG$3:$CG$100, 0)), ""))</f>
        <v>31</v>
      </c>
      <c r="H19" s="1"/>
      <c r="I19" s="79" t="s">
        <v>43</v>
      </c>
      <c r="J19" s="80">
        <f ca="1">SUMPRODUCT((Tracker!$A$3:$A$100&lt;&gt;"")*(Tracker!$AZ$3:$AZ$100&lt;&gt;"Completed")*(Tracker!$AZ$3:$AZ$100&lt;&gt;"N/A")*(ISNUMBER(Tracker!$AX$3:$AX$100))*(N(Tracker!$AX$3:$AX$100)&lt;TODAY()))</f>
        <v>43</v>
      </c>
      <c r="K19" s="80">
        <f ca="1">SUMPRODUCT((Tracker!$A$3:$A$100&lt;&gt;"")*(Tracker!$AZ$3:$AZ$100&lt;&gt;"Completed")*(Tracker!$AZ$3:$AZ$100&lt;&gt;"N/A")*(ISNUMBER(Tracker!$AX$3:$AX$100))*(N(Tracker!$AX$3:$AX$100)&gt;=TODAY())*(N(Tracker!$AX$3:$AX$100)&lt;=TODAY()+7))</f>
        <v>0</v>
      </c>
      <c r="L19" s="80">
        <f>SUMPRODUCT((Tracker!$A$3:$A$100&lt;&gt;"")*(ISNUMBER(Tracker!$AX$3:$AX$100))*(Tracker!$AZ$3:$AZ$100="Blocked"))</f>
        <v>0</v>
      </c>
      <c r="M19" s="80">
        <f>SUMPRODUCT((Tracker!$A$3:$A$100&lt;&gt;"")*(ISNUMBER(Tracker!$AA$3:$AA$100))*(Tracker!$AC$3:$AC$100="In Progress"))</f>
        <v>0</v>
      </c>
      <c r="N19" s="80">
        <f>SUMPRODUCT((Tracker!$A$3:$A$100&lt;&gt;"")*(ISNUMBER(Tracker!$AG$3:$AG$100))*(Tracker!$AH$3:$AH$100&lt;&gt;"Completed")*(Tracker!$AH$3:$AH$100&lt;&gt;"Blocked")*(Tracker!$AH$3:$AH$100&lt;&gt;"In Progress"))</f>
        <v>43</v>
      </c>
      <c r="O19" s="80">
        <f>SUMPRODUCT((Tracker!$A$3:$A$100&lt;&gt;"")*(ISNUMBER(Tracker!$AG$3:$AG$100))*(Tracker!$AH$3:$AH$100="Completed"))</f>
        <v>0</v>
      </c>
      <c r="P19" s="81" t="str">
        <f ca="1">IF(N(J19)&lt;=0,"",REPT("|",MIN(N(J19),25)))</f>
        <v>|||||||||||||||||||||||||</v>
      </c>
    </row>
    <row r="20" spans="2:16" ht="18" customHeight="1">
      <c r="B20" s="70" t="str">
        <f ca="1">IFERROR(INDEX(Tracker!$A$3:$A$100, MATCH(_xlfn.SINGLE(_xlfn.AGGREGATE(15, 6, Tracker!$CG$3:$CG$100, 11)), Tracker!$CG$3:$CG$100, 0)), "")</f>
        <v>CI</v>
      </c>
      <c r="C20" s="70" t="str">
        <f ca="1">IF(B20 = "", "", IFERROR(INDEX(Tracker!$C$3:$C$100, MATCH(_xlfn.SINGLE(_xlfn.AGGREGATE(15, 6, Tracker!$CG$3:$CG$100, 11)), Tracker!$CG$3:$CG$100, 0)), ""))</f>
        <v>Sprint 17</v>
      </c>
      <c r="D20" s="70" t="str">
        <f ca="1">IF(B20 = "", "", IFERROR(INDEX(Tracker!$D$3:$D$100, MATCH(_xlfn.SINGLE(_xlfn.AGGREGATE(15, 6, Tracker!$CG$3:$CG$100, 11)), Tracker!$CG$3:$CG$100, 0)), ""))</f>
        <v>Yet to start</v>
      </c>
      <c r="E20" s="70" t="str">
        <f ca="1">IF(B20 = "", "", IFERROR(INDEX(Tracker!$E$3:$E$100, MATCH(_xlfn.SINGLE(_xlfn.AGGREGATE(15, 6, Tracker!$CG$3:$CG$100, 11)), Tracker!$CG$3:$CG$100, 0)), ""))</f>
        <v>Prod OUR</v>
      </c>
      <c r="F20" s="71">
        <f ca="1">IF(B20 = "", "", IFERROR(INDEX(Tracker!$F$3:$F$100, MATCH(_xlfn.SINGLE(_xlfn.AGGREGATE(15, 6, Tracker!$CG$3:$CG$100, 11)), Tracker!$CG$3:$CG$100, 0)), ""))</f>
        <v>46224</v>
      </c>
      <c r="G20" s="72">
        <f ca="1">IF(B20 = "", "", IFERROR(INDEX(Tracker!$G$3:$G$100, MATCH(_xlfn.SINGLE(_xlfn.AGGREGATE(15, 6, Tracker!$CG$3:$CG$100, 11)), Tracker!$CG$3:$CG$100, 0)), ""))</f>
        <v>31</v>
      </c>
      <c r="H20" s="1"/>
      <c r="I20" s="73" t="s">
        <v>44</v>
      </c>
      <c r="J20" s="74">
        <f ca="1">SUMPRODUCT((Tracker!$A$3:$A$100&lt;&gt;"")*(Tracker!$BC$3:$BC$100&lt;&gt;"Completed")*(Tracker!$BC$3:$BC$100&lt;&gt;"N/A")*(ISNUMBER(Tracker!$BA$3:$BA$100))*(N(Tracker!$BA$3:$BA$100)&lt;TODAY()))</f>
        <v>43</v>
      </c>
      <c r="K20" s="74">
        <f ca="1">SUMPRODUCT((Tracker!$A$3:$A$100&lt;&gt;"")*(Tracker!$BC$3:$BC$100&lt;&gt;"Completed")*(Tracker!$BC$3:$BC$100&lt;&gt;"N/A")*(ISNUMBER(Tracker!$BA$3:$BA$100))*(N(Tracker!$BA$3:$BA$100)&gt;=TODAY())*(N(Tracker!$BA$3:$BA$100)&lt;=TODAY()+7))</f>
        <v>0</v>
      </c>
      <c r="L20" s="74">
        <f>SUMPRODUCT((Tracker!$A$3:$A$100&lt;&gt;"")*(ISNUMBER(Tracker!$BA$3:$BA$100))*(Tracker!$BC$3:$BC$100="Blocked"))</f>
        <v>0</v>
      </c>
      <c r="M20" s="74">
        <f>SUMPRODUCT((Tracker!$A$3:$A$100&lt;&gt;"")*(ISNUMBER(Tracker!$BM$3:$BM$100))*(Tracker!$BN$3:$BN$100="In Progress"))</f>
        <v>0</v>
      </c>
      <c r="N20" s="74">
        <f>SUMPRODUCT((Tracker!$A$3:$A$100&lt;&gt;"")*(ISNUMBER(Tracker!$AE$3:$AE$100))*(Tracker!$AF$3:$AF$100&lt;&gt;"Completed")*(Tracker!$AF$3:$AF$100&lt;&gt;"Blocked")*(Tracker!$AF$3:$AF$100&lt;&gt;"In Progress"))</f>
        <v>0</v>
      </c>
      <c r="O20" s="74">
        <f>SUMPRODUCT((Tracker!$A$3:$A$100&lt;&gt;"")*(ISNUMBER(Tracker!$AE$3:$AE$100))*(Tracker!$AF$3:$AF$100="Completed"))</f>
        <v>0</v>
      </c>
      <c r="P20" s="75" t="str">
        <f ca="1">IF(N(J20)&lt;=0,"",REPT("|",MIN(N(J20),25)))</f>
        <v>|||||||||||||||||||||||||</v>
      </c>
    </row>
    <row r="21" spans="2:16" ht="20.100000000000001" customHeight="1">
      <c r="B21" s="76" t="str">
        <f ca="1">IFERROR(INDEX(Tracker!$A$3:$A$100, MATCH(_xlfn.SINGLE(_xlfn.AGGREGATE(15, 6, Tracker!$CG$3:$CG$100, 12)), Tracker!$CG$3:$CG$100, 0)), "")</f>
        <v>CI_MART</v>
      </c>
      <c r="C21" s="76" t="str">
        <f ca="1">IF(B21 = "", "", IFERROR(INDEX(Tracker!$C$3:$C$100, MATCH(_xlfn.SINGLE(_xlfn.AGGREGATE(15, 6, Tracker!$CG$3:$CG$100, 12)), Tracker!$CG$3:$CG$100, 0)), ""))</f>
        <v>Sprint 17</v>
      </c>
      <c r="D21" s="76" t="str">
        <f ca="1">IF(B21 = "", "", IFERROR(INDEX(Tracker!$D$3:$D$100, MATCH(_xlfn.SINGLE(_xlfn.AGGREGATE(15, 6, Tracker!$CG$3:$CG$100, 12)), Tracker!$CG$3:$CG$100, 0)), ""))</f>
        <v>Yet to start</v>
      </c>
      <c r="E21" s="76" t="str">
        <f ca="1">IF(B21 = "", "", IFERROR(INDEX(Tracker!$E$3:$E$100, MATCH(_xlfn.SINGLE(_xlfn.AGGREGATE(15, 6, Tracker!$CG$3:$CG$100, 12)), Tracker!$CG$3:$CG$100, 0)), ""))</f>
        <v>Prod OUR</v>
      </c>
      <c r="F21" s="77">
        <f ca="1">IF(B21 = "", "", IFERROR(INDEX(Tracker!$F$3:$F$100, MATCH(_xlfn.SINGLE(_xlfn.AGGREGATE(15, 6, Tracker!$CG$3:$CG$100, 12)), Tracker!$CG$3:$CG$100, 0)), ""))</f>
        <v>46224</v>
      </c>
      <c r="G21" s="78">
        <f ca="1">IF(B21 = "", "", IFERROR(INDEX(Tracker!$G$3:$G$100, MATCH(_xlfn.SINGLE(_xlfn.AGGREGATE(15, 6, Tracker!$CG$3:$CG$100, 12)), Tracker!$CG$3:$CG$100, 0)), ""))</f>
        <v>31</v>
      </c>
      <c r="H21" s="1"/>
      <c r="I21" s="82" t="s">
        <v>45</v>
      </c>
      <c r="J21" s="83">
        <f ca="1">SUMPRODUCT((Tracker!$A$3:$A$100&lt;&gt;"")*(Tracker!$BF$3:$BF$100&lt;&gt;"Completed")*(Tracker!$BF$3:$BF$100&lt;&gt;"N/A")*(ISNUMBER(Tracker!$BD$3:$BD$100))*(N(Tracker!$BD$3:$BD$100)&lt;TODAY()))</f>
        <v>4</v>
      </c>
      <c r="K21" s="83">
        <f ca="1">SUMPRODUCT((Tracker!$A$3:$A$100&lt;&gt;"")*(Tracker!$BF$3:$BF$100&lt;&gt;"Completed")*(Tracker!$BF$3:$BF$100&lt;&gt;"N/A")*(ISNUMBER(Tracker!$BD$3:$BD$100))*(N(Tracker!$BD$3:$BD$100)&gt;=TODAY())*(N(Tracker!$BD$3:$BD$100)&lt;=TODAY()+7))</f>
        <v>0</v>
      </c>
      <c r="L21" s="83">
        <f>SUMPRODUCT((Tracker!$A$3:$A$100&lt;&gt;"")*(ISNUMBER(Tracker!$BD$3:$BD$100))*(Tracker!$BF$3:$BF$100="Blocked"))</f>
        <v>0</v>
      </c>
      <c r="M21" s="83">
        <f ca="1">SUMPRODUCT((Tracker!$A$3:$A$100&lt;&gt;"")*(ISNUMBER(Tracker!$BO$3:$BO$100))*(Tracker!$BP$3:$BP$100="In Progress"))</f>
        <v>0</v>
      </c>
      <c r="N21" s="83">
        <f>SUM(N10:N20)</f>
        <v>190</v>
      </c>
      <c r="O21" s="83">
        <f>SUM(O10:O20)</f>
        <v>40</v>
      </c>
      <c r="P21" s="84"/>
    </row>
    <row r="22" spans="2:16">
      <c r="B22" s="85"/>
      <c r="C22" s="85"/>
      <c r="D22" s="85"/>
      <c r="E22" s="85"/>
      <c r="F22" s="85"/>
      <c r="G22" s="85"/>
      <c r="H22" s="85"/>
      <c r="I22" s="85" t="s">
        <v>46</v>
      </c>
      <c r="J22" s="85">
        <f ca="1">SUMPRODUCT((Tracker!$A$3:$A$100&lt;&gt;"")*(Tracker!$P$3:$P$100&lt;&gt;"Completed")*(Tracker!$P$3:$P$100&lt;&gt;"N/A")*(ISNUMBER(Tracker!$O$3:$O$100))*(N(Tracker!$O$3:$O$100)&lt;TODAY()))</f>
        <v>36</v>
      </c>
      <c r="K22" s="85">
        <f ca="1">SUMPRODUCT((Tracker!$A$3:$A$100&lt;&gt;"")*(Tracker!$P$3:$P$100&lt;&gt;"Completed")*(Tracker!$P$3:$P$100&lt;&gt;"N/A")*(ISNUMBER(Tracker!$O$3:$O$100))*(N(Tracker!$O$3:$O$100)&gt;=TODAY())*(N(Tracker!$O$3:$O$100)&lt;=TODAY()+7))</f>
        <v>0</v>
      </c>
      <c r="L22" s="85">
        <f>SUMPRODUCT((Tracker!$A$3:$A$100&lt;&gt;"")*(ISNUMBER(Tracker!$O$3:$O$100))*(Tracker!$P$3:$P$100="Blocked"))</f>
        <v>0</v>
      </c>
      <c r="M22" s="85"/>
      <c r="N22" s="85"/>
      <c r="O22" s="85"/>
      <c r="P22" s="85"/>
    </row>
    <row r="23" spans="2:16" ht="17.100000000000001" customHeight="1">
      <c r="B23" s="67"/>
      <c r="C23" s="52"/>
      <c r="D23" s="52"/>
      <c r="E23" s="52"/>
      <c r="F23" s="52"/>
      <c r="G23" s="52"/>
      <c r="H23" s="1"/>
      <c r="I23" s="1" t="s">
        <v>47</v>
      </c>
      <c r="J23" s="1">
        <f ca="1">SUMPRODUCT((Tracker!$A$3:$A$100&lt;&gt;"")*(Tracker!$BJ$3:$BJ$100&lt;&gt;"Completed")*(Tracker!$BJ$3:$BJ$100&lt;&gt;"N/A")*(ISNUMBER(Tracker!$BI$3:$BI$100))*(N(Tracker!$BI$3:$BI$100)&lt;TODAY()))</f>
        <v>0</v>
      </c>
      <c r="K23" s="1">
        <f ca="1">SUMPRODUCT((Tracker!$A$3:$A$100&lt;&gt;"")*(Tracker!$BJ$3:$BJ$100&lt;&gt;"Completed")*(Tracker!$BJ$3:$BJ$100&lt;&gt;"N/A")*(ISNUMBER(Tracker!$BI$3:$BI$100))*(N(Tracker!$BI$3:$BI$100)&gt;=TODAY())*(N(Tracker!$BI$3:$BI$100)&lt;=TODAY()+7))</f>
        <v>0</v>
      </c>
      <c r="L23" s="1">
        <f>SUMPRODUCT((Tracker!$A$3:$A$100&lt;&gt;"")*(ISNUMBER(Tracker!$BI$3:$BI$100))*(Tracker!$BJ$3:$BJ$100="Blocked"))</f>
        <v>0</v>
      </c>
      <c r="M23" s="1"/>
      <c r="N23" s="1"/>
      <c r="O23" s="1"/>
      <c r="P23" s="1"/>
    </row>
    <row r="24" spans="2:16" ht="18" customHeight="1">
      <c r="B24" s="34"/>
      <c r="C24" s="52"/>
      <c r="D24" s="52"/>
      <c r="E24" s="52"/>
      <c r="F24" s="52"/>
      <c r="G24" s="52"/>
      <c r="H24" s="1"/>
      <c r="I24" s="1" t="s">
        <v>48</v>
      </c>
      <c r="J24" s="1">
        <f ca="1">SUMPRODUCT((Tracker!$A$3:$A$100&lt;&gt;"")*(Tracker!$BL$3:$BL$100&lt;&gt;"Completed")*(Tracker!$BL$3:$BL$100&lt;&gt;"N/A")*(ISNUMBER(Tracker!$BK$3:$BK$100))*(N(Tracker!$BK$3:$BK$100)&lt;TODAY()))</f>
        <v>0</v>
      </c>
      <c r="K24" s="1">
        <f ca="1">SUMPRODUCT((Tracker!$A$3:$A$100&lt;&gt;"")*(Tracker!$BL$3:$BL$100&lt;&gt;"Completed")*(Tracker!$BL$3:$BL$100&lt;&gt;"N/A")*(ISNUMBER(Tracker!$BK$3:$BK$100))*(N(Tracker!$BK$3:$BK$100)&gt;=TODAY())*(N(Tracker!$BK$3:$BK$100)&lt;=TODAY()+7))</f>
        <v>0</v>
      </c>
      <c r="L24" s="1">
        <f>SUMPRODUCT((Tracker!$A$3:$A$100&lt;&gt;"")*(ISNUMBER(Tracker!$BK$3:$BK$100))*(Tracker!$BL$3:$BL$100="Blocked"))</f>
        <v>0</v>
      </c>
      <c r="M24" s="1"/>
      <c r="N24" s="1"/>
      <c r="O24" s="1"/>
      <c r="P24" s="1"/>
    </row>
    <row r="25" spans="2:16" ht="18" customHeight="1">
      <c r="B25" s="52"/>
      <c r="C25" s="52"/>
      <c r="D25" s="52"/>
      <c r="E25" s="52"/>
      <c r="F25" s="52"/>
      <c r="G25" s="52"/>
      <c r="H25" s="1"/>
      <c r="I25" s="1" t="s">
        <v>49</v>
      </c>
      <c r="J25" s="1">
        <f ca="1">SUMPRODUCT((Tracker!$A$3:$A$100&lt;&gt;"")*(Tracker!$BN$3:$BN$100&lt;&gt;"Completed")*(Tracker!$BN$3:$BN$100&lt;&gt;"N/A")*(ISNUMBER(Tracker!$BM$3:$BM$100))*(N(Tracker!$BM$3:$BM$100)&lt;TODAY()))</f>
        <v>0</v>
      </c>
      <c r="K25" s="1">
        <f ca="1">SUMPRODUCT((Tracker!$A$3:$A$100&lt;&gt;"")*(Tracker!$BN$3:$BN$100&lt;&gt;"Completed")*(Tracker!$BN$3:$BN$100&lt;&gt;"N/A")*(ISNUMBER(Tracker!$BM$3:$BM$100))*(N(Tracker!$BM$3:$BM$100)&gt;=TODAY())*(N(Tracker!$BM$3:$BM$100)&lt;=TODAY()+7))</f>
        <v>0</v>
      </c>
      <c r="L25" s="1">
        <f>SUMPRODUCT((Tracker!$A$3:$A$100&lt;&gt;"")*(ISNUMBER(Tracker!$BM$3:$BM$100))*(Tracker!$BN$3:$BN$100="Blocked"))</f>
        <v>0</v>
      </c>
      <c r="M25" s="1"/>
      <c r="N25" s="1"/>
      <c r="O25" s="1"/>
      <c r="P25" s="1"/>
    </row>
    <row r="26" spans="2:16" ht="18" customHeight="1">
      <c r="B26" s="52"/>
      <c r="C26" s="52"/>
      <c r="D26" s="52"/>
      <c r="E26" s="52"/>
      <c r="F26" s="52"/>
      <c r="G26" s="52"/>
      <c r="H26" s="1"/>
      <c r="I26" s="1"/>
      <c r="J26" s="1"/>
      <c r="K26" s="1"/>
      <c r="L26" s="1"/>
      <c r="M26" s="1"/>
      <c r="N26" s="1"/>
      <c r="O26" s="1"/>
      <c r="P26" s="1"/>
    </row>
    <row r="27" spans="2:16" ht="18" customHeight="1">
      <c r="B27" s="52"/>
      <c r="C27" s="52"/>
      <c r="D27" s="52"/>
      <c r="E27" s="52"/>
      <c r="F27" s="52"/>
      <c r="G27" s="52"/>
      <c r="H27" s="1"/>
      <c r="I27" s="1"/>
      <c r="J27" s="1"/>
      <c r="K27" s="1"/>
      <c r="L27" s="1"/>
      <c r="M27" s="1"/>
      <c r="N27" s="1"/>
      <c r="O27" s="1"/>
      <c r="P27" s="1"/>
    </row>
    <row r="28" spans="2:16" ht="18" customHeight="1">
      <c r="B28" s="52"/>
      <c r="C28" s="52"/>
      <c r="D28" s="52"/>
      <c r="E28" s="52"/>
      <c r="F28" s="52"/>
      <c r="G28" s="52"/>
      <c r="H28" s="1"/>
      <c r="I28" s="1"/>
      <c r="J28" s="1"/>
      <c r="K28" s="1"/>
      <c r="L28" s="1"/>
      <c r="M28" s="1"/>
      <c r="N28" s="1"/>
      <c r="O28" s="1"/>
      <c r="P28" s="1"/>
    </row>
    <row r="29" spans="2:16" ht="18" customHeight="1">
      <c r="B29" s="52"/>
      <c r="C29" s="52"/>
      <c r="D29" s="52"/>
      <c r="E29" s="52"/>
      <c r="F29" s="52"/>
      <c r="G29" s="52"/>
      <c r="H29" s="1"/>
      <c r="I29" s="1"/>
      <c r="J29" s="1"/>
      <c r="K29" s="1"/>
      <c r="L29" s="1"/>
      <c r="M29" s="1"/>
      <c r="N29" s="1"/>
      <c r="O29" s="1"/>
      <c r="P29" s="1"/>
    </row>
    <row r="30" spans="2:16" ht="18" customHeight="1">
      <c r="B30" s="52"/>
      <c r="C30" s="52"/>
      <c r="D30" s="52"/>
      <c r="E30" s="52"/>
      <c r="F30" s="52"/>
      <c r="G30" s="52"/>
      <c r="H30" s="1"/>
      <c r="I30" s="1"/>
      <c r="J30" s="1"/>
      <c r="K30" s="1"/>
      <c r="L30" s="1"/>
      <c r="M30" s="1"/>
      <c r="N30" s="1"/>
      <c r="O30" s="1"/>
      <c r="P30" s="1"/>
    </row>
  </sheetData>
  <mergeCells count="31">
    <mergeCell ref="B24:G30"/>
    <mergeCell ref="B6:C6"/>
    <mergeCell ref="I4:J4"/>
    <mergeCell ref="B5:C5"/>
    <mergeCell ref="D5:E5"/>
    <mergeCell ref="B4:C4"/>
    <mergeCell ref="Q5:R5"/>
    <mergeCell ref="F5:G5"/>
    <mergeCell ref="O4:P4"/>
    <mergeCell ref="Q4:R4"/>
    <mergeCell ref="M6:N6"/>
    <mergeCell ref="Q6:R6"/>
    <mergeCell ref="K6:L6"/>
    <mergeCell ref="I5:J5"/>
    <mergeCell ref="K4:L4"/>
    <mergeCell ref="M4:N4"/>
    <mergeCell ref="F4:G4"/>
    <mergeCell ref="I1:O1"/>
    <mergeCell ref="I6:J6"/>
    <mergeCell ref="B23:G23"/>
    <mergeCell ref="O6:P6"/>
    <mergeCell ref="B1:G1"/>
    <mergeCell ref="B8:G8"/>
    <mergeCell ref="K5:L5"/>
    <mergeCell ref="F6:G6"/>
    <mergeCell ref="M5:N5"/>
    <mergeCell ref="D6:E6"/>
    <mergeCell ref="O5:P5"/>
    <mergeCell ref="D4:E4"/>
    <mergeCell ref="E2:O2"/>
    <mergeCell ref="I8:P8"/>
  </mergeCells>
  <conditionalFormatting sqref="D10:D21">
    <cfRule type="expression" dxfId="143" priority="3">
      <formula>D10="Blocked"</formula>
    </cfRule>
  </conditionalFormatting>
  <conditionalFormatting sqref="G10:G21">
    <cfRule type="expression" dxfId="142" priority="1">
      <formula>AND(ISNUMBER(G10),G10&lt;0)</formula>
    </cfRule>
    <cfRule type="expression" dxfId="141" priority="2">
      <formula>AND(ISNUMBER(G10),G10&gt;=0,G10&lt;=7)</formula>
    </cfRule>
  </conditionalFormatting>
  <conditionalFormatting sqref="J10:J20">
    <cfRule type="expression" dxfId="140" priority="4">
      <formula>J10&gt;0</formula>
    </cfRule>
  </conditionalFormatting>
  <conditionalFormatting sqref="K10:K20">
    <cfRule type="expression" dxfId="139" priority="5">
      <formula>K10&gt;0</formula>
    </cfRule>
  </conditionalFormatting>
  <conditionalFormatting sqref="L10:L20">
    <cfRule type="expression" dxfId="138" priority="6">
      <formula>L10&gt;0</formula>
    </cfRule>
  </conditionalFormatting>
  <pageMargins left="0.4" right="0.4" top="0.45" bottom="0.4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100"/>
  <sheetViews>
    <sheetView tabSelected="1" workbookViewId="0">
      <pane xSplit="7" ySplit="2" topLeftCell="H3" activePane="bottomRight" state="frozen"/>
      <selection pane="bottomRight" activeCell="BH2" sqref="BH2"/>
      <selection pane="bottomLeft"/>
      <selection pane="topRight"/>
    </sheetView>
  </sheetViews>
  <sheetFormatPr defaultColWidth="8.85546875" defaultRowHeight="15"/>
  <cols>
    <col min="1" max="1" width="16" customWidth="1"/>
    <col min="2" max="2" width="14" customWidth="1"/>
    <col min="3" max="3" width="12" customWidth="1"/>
    <col min="4" max="4" width="14" customWidth="1"/>
    <col min="5" max="5" width="18" customWidth="1"/>
    <col min="6" max="6" width="13" customWidth="1"/>
    <col min="7" max="7" width="11" style="9" customWidth="1"/>
    <col min="8" max="64" width="12" customWidth="1"/>
    <col min="65" max="65" width="17.42578125" bestFit="1" customWidth="1"/>
    <col min="66" max="68" width="12" customWidth="1"/>
    <col min="69" max="87" width="13" hidden="1" customWidth="1"/>
    <col min="88" max="88" width="3.42578125" hidden="1" customWidth="1"/>
    <col min="89" max="89" width="8.85546875" hidden="1" customWidth="1"/>
  </cols>
  <sheetData>
    <row r="1" spans="1:85" ht="21.95" customHeight="1">
      <c r="A1" s="44" t="s">
        <v>50</v>
      </c>
      <c r="B1" s="52"/>
      <c r="C1" s="52"/>
      <c r="D1" s="52"/>
      <c r="E1" s="52"/>
      <c r="F1" s="52"/>
      <c r="G1" s="86"/>
      <c r="H1" s="42" t="s">
        <v>51</v>
      </c>
      <c r="I1" s="52"/>
      <c r="J1" s="52"/>
      <c r="K1" s="49" t="s">
        <v>52</v>
      </c>
      <c r="L1" s="52"/>
      <c r="M1" s="52"/>
      <c r="N1" s="46" t="s">
        <v>53</v>
      </c>
      <c r="O1" s="52"/>
      <c r="P1" s="52"/>
      <c r="Q1" s="43" t="s">
        <v>54</v>
      </c>
      <c r="R1" s="52"/>
      <c r="S1" s="52"/>
      <c r="T1" s="52"/>
      <c r="U1" s="52"/>
      <c r="V1" s="52"/>
      <c r="W1" s="52"/>
      <c r="X1" s="52"/>
      <c r="Y1" s="52"/>
      <c r="Z1" s="47" t="s">
        <v>55</v>
      </c>
      <c r="AA1" s="52"/>
      <c r="AB1" s="52"/>
      <c r="AC1" s="52"/>
      <c r="AD1" s="52"/>
      <c r="AE1" s="52"/>
      <c r="AF1" s="52"/>
      <c r="AG1" s="45" t="s">
        <v>56</v>
      </c>
      <c r="AH1" s="52"/>
      <c r="AI1" s="52"/>
      <c r="AJ1" s="52"/>
      <c r="AK1" s="52"/>
      <c r="AL1" s="52"/>
      <c r="AM1" s="52"/>
      <c r="AN1" s="52"/>
      <c r="AO1" s="52"/>
      <c r="AP1" s="48" t="s">
        <v>57</v>
      </c>
      <c r="AQ1" s="52"/>
      <c r="AR1" s="52"/>
      <c r="AS1" s="52"/>
      <c r="AT1" s="52"/>
      <c r="AU1" s="43" t="s">
        <v>58</v>
      </c>
      <c r="AV1" s="52"/>
      <c r="AW1" s="52"/>
      <c r="AX1" s="52"/>
      <c r="AY1" s="52"/>
      <c r="AZ1" s="52"/>
      <c r="BA1" s="52"/>
      <c r="BB1" s="52"/>
      <c r="BC1" s="52"/>
      <c r="BD1" s="47" t="s">
        <v>59</v>
      </c>
      <c r="BE1" s="52"/>
      <c r="BF1" s="52"/>
      <c r="BG1" s="52"/>
      <c r="BH1" s="52"/>
      <c r="BI1" s="42" t="s">
        <v>60</v>
      </c>
      <c r="BJ1" s="52"/>
      <c r="BK1" s="52"/>
      <c r="BL1" s="52"/>
      <c r="BM1" s="52"/>
      <c r="BN1" s="52"/>
      <c r="BO1" s="52"/>
      <c r="BP1" s="20" t="s">
        <v>61</v>
      </c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 ht="36" customHeight="1">
      <c r="A2" s="87" t="s">
        <v>22</v>
      </c>
      <c r="B2" s="87" t="s">
        <v>62</v>
      </c>
      <c r="C2" s="87" t="s">
        <v>23</v>
      </c>
      <c r="D2" s="87" t="s">
        <v>24</v>
      </c>
      <c r="E2" s="87" t="s">
        <v>25</v>
      </c>
      <c r="F2" s="87" t="s">
        <v>26</v>
      </c>
      <c r="G2" s="87" t="s">
        <v>63</v>
      </c>
      <c r="H2" s="87" t="s">
        <v>64</v>
      </c>
      <c r="I2" s="87" t="s">
        <v>65</v>
      </c>
      <c r="J2" s="87" t="s">
        <v>66</v>
      </c>
      <c r="K2" s="87" t="s">
        <v>67</v>
      </c>
      <c r="L2" s="87" t="s">
        <v>68</v>
      </c>
      <c r="M2" s="87" t="s">
        <v>69</v>
      </c>
      <c r="N2" s="87" t="s">
        <v>70</v>
      </c>
      <c r="O2" s="87" t="s">
        <v>71</v>
      </c>
      <c r="P2" s="87" t="s">
        <v>72</v>
      </c>
      <c r="Q2" s="87" t="s">
        <v>34</v>
      </c>
      <c r="R2" s="87" t="s">
        <v>73</v>
      </c>
      <c r="S2" s="87" t="s">
        <v>74</v>
      </c>
      <c r="T2" s="87" t="s">
        <v>35</v>
      </c>
      <c r="U2" s="87" t="s">
        <v>73</v>
      </c>
      <c r="V2" s="87" t="s">
        <v>75</v>
      </c>
      <c r="W2" s="87" t="s">
        <v>36</v>
      </c>
      <c r="X2" s="87" t="s">
        <v>73</v>
      </c>
      <c r="Y2" s="87" t="s">
        <v>76</v>
      </c>
      <c r="Z2" s="88" t="s">
        <v>77</v>
      </c>
      <c r="AA2" s="87" t="s">
        <v>37</v>
      </c>
      <c r="AB2" s="87" t="s">
        <v>73</v>
      </c>
      <c r="AC2" s="87" t="s">
        <v>78</v>
      </c>
      <c r="AD2" s="87" t="s">
        <v>79</v>
      </c>
      <c r="AE2" s="87" t="s">
        <v>80</v>
      </c>
      <c r="AF2" s="88" t="s">
        <v>81</v>
      </c>
      <c r="AG2" s="87" t="s">
        <v>38</v>
      </c>
      <c r="AH2" s="87" t="s">
        <v>73</v>
      </c>
      <c r="AI2" s="87" t="s">
        <v>82</v>
      </c>
      <c r="AJ2" s="87" t="s">
        <v>39</v>
      </c>
      <c r="AK2" s="87" t="s">
        <v>73</v>
      </c>
      <c r="AL2" s="87" t="s">
        <v>83</v>
      </c>
      <c r="AM2" s="87" t="s">
        <v>40</v>
      </c>
      <c r="AN2" s="87" t="s">
        <v>73</v>
      </c>
      <c r="AO2" s="87" t="s">
        <v>84</v>
      </c>
      <c r="AP2" s="88" t="s">
        <v>41</v>
      </c>
      <c r="AQ2" s="88" t="s">
        <v>73</v>
      </c>
      <c r="AR2" s="88" t="s">
        <v>85</v>
      </c>
      <c r="AS2" s="88" t="s">
        <v>79</v>
      </c>
      <c r="AT2" s="88" t="s">
        <v>80</v>
      </c>
      <c r="AU2" s="87" t="s">
        <v>42</v>
      </c>
      <c r="AV2" s="87" t="s">
        <v>73</v>
      </c>
      <c r="AW2" s="87" t="s">
        <v>86</v>
      </c>
      <c r="AX2" s="87" t="s">
        <v>43</v>
      </c>
      <c r="AY2" s="87" t="s">
        <v>73</v>
      </c>
      <c r="AZ2" s="87" t="s">
        <v>87</v>
      </c>
      <c r="BA2" s="87" t="s">
        <v>44</v>
      </c>
      <c r="BB2" s="87" t="s">
        <v>73</v>
      </c>
      <c r="BC2" s="87" t="s">
        <v>88</v>
      </c>
      <c r="BD2" s="88" t="s">
        <v>45</v>
      </c>
      <c r="BE2" s="88" t="s">
        <v>73</v>
      </c>
      <c r="BF2" s="88" t="s">
        <v>89</v>
      </c>
      <c r="BG2" s="88" t="s">
        <v>79</v>
      </c>
      <c r="BH2" s="88" t="s">
        <v>80</v>
      </c>
      <c r="BI2" s="87" t="s">
        <v>90</v>
      </c>
      <c r="BJ2" s="87" t="s">
        <v>91</v>
      </c>
      <c r="BK2" s="87" t="s">
        <v>92</v>
      </c>
      <c r="BL2" s="87" t="s">
        <v>93</v>
      </c>
      <c r="BM2" s="87" t="s">
        <v>49</v>
      </c>
      <c r="BN2" s="87" t="s">
        <v>94</v>
      </c>
      <c r="BO2" s="87" t="s">
        <v>95</v>
      </c>
      <c r="BP2" s="88" t="s">
        <v>96</v>
      </c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 ht="20.25" customHeight="1">
      <c r="A3" s="10" t="s">
        <v>97</v>
      </c>
      <c r="B3" s="10" t="s">
        <v>98</v>
      </c>
      <c r="C3" s="10" t="s">
        <v>99</v>
      </c>
      <c r="D3" s="11" t="str">
        <f>IF(A3="","",IF(((S3="Blocked")+(V3="Blocked")+(Y3="Blocked")+(AC3="Blocked")+(AI3="Blocked")+(AL3="Blocked")+(AO3="Blocked")+(AR3="Blocked")+(AW3="Blocked")+(AZ3="Blocked")+(BC3="Blocked")+(BF3="Blocked")+(P3="Blocked")+(BJ3="Blocked")+(BL3="Blocked")+(BN3="Blocked")+(BO3="Blocked"))&gt;0,"Blocked",IF((ISNUMBER(Q3)+ISNUMBER(T3)+ISNUMBER(W3)+ISNUMBER(AA3)+ISNUMBER(AG3)+ISNUMBER(AJ3)+ISNUMBER(AM3)+ISNUMBER(AP3)+ISNUMBER(AU3)+ISNUMBER(AX3)+ISNUMBER(BA3)+ISNUMBER(BD3)+ISNUMBER(O3)+ISNUMBER(BI3)+ISNUMBER(BK3)+ISNUMBER(BM3))=0,"Yet to start",IF(AND(OR(NOT(ISNUMBER(Q3)),S3="Completed",S3="N/A"),OR(NOT(ISNUMBER(T3)),V3="Completed",V3="N/A"),OR(NOT(ISNUMBER(W3)),Y3="Completed",Y3="N/A"),OR(NOT(ISNUMBER(AA3)),AC3="Completed",AC3="N/A"),OR(NOT(ISNUMBER(AG3)),AI3="Completed",AI3="N/A"),OR(NOT(ISNUMBER(AJ3)),AL3="Completed",AL3="N/A"),OR(NOT(ISNUMBER(AM3)),AO3="Completed",AO3="N/A"),OR(NOT(ISNUMBER(AP3)),AR3="Completed",AR3="N/A"),OR(NOT(ISNUMBER(AU3)),AW3="Completed",AW3="N/A"),OR(NOT(ISNUMBER(AX3)),AZ3="Completed",AZ3="N/A"),OR(NOT(ISNUMBER(BA3)),BC3="Completed",BC3="N/A"),OR(NOT(ISNUMBER(BD3)),BF3="Completed",BF3="N/A"),OR(NOT(ISNUMBER(O3)),P3="Completed",P3="N/A"),OR(NOT(ISNUMBER(BI3)),BJ3="Completed",BJ3="N/A"),OR(NOT(ISNUMBER(BK3)),BL3="Completed",BL3="N/A"),OR(NOT(ISNUMBER(BM3)),BN3="Completed",BN3="N/A"),OR(BO3="Completed",BO3="N/A")),"Completed",IF(((S3="In Progress")+(V3="In Progress")+(Y3="In Progress")+(AC3="In Progress")+(AI3="In Progress")+(AL3="In Progress")+(AO3="In Progress")+(AR3="In Progress")+(AW3="In Progress")+(AZ3="In Progress")+(BC3="In Progress")+(BF3="In Progress")+(P3="In Progress")+(BJ3="In Progress")+(BL3="In Progress")+(BN3="In Progress")+(BO3="In Progress"))&gt;0,"In Progress","Yet to start")))))</f>
        <v>Yet to start</v>
      </c>
      <c r="E3" s="11" t="str">
        <f>IF(A3="","",IF(F3="","All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Review","CAB"},MATCH(F3,BQ3:CF3,0))))</f>
        <v>Prod OUR</v>
      </c>
      <c r="F3" s="12">
        <f>IF(A3="","",IF(COUNT(BQ3:CF3)=0,"",MIN(BQ3:CF3)))</f>
        <v>46224</v>
      </c>
      <c r="G3" s="13">
        <f ca="1">IF(A3="","",MAX(0,IF(AND(ISNUMBER(Q3),S3&lt;&gt;"Completed",S3&lt;&gt;"N/A",Q3&lt;TODAY()),TODAY()-Q3,0),IF(AND(ISNUMBER(T3),V3&lt;&gt;"Completed",V3&lt;&gt;"N/A",T3&lt;TODAY()),TODAY()-T3,0),IF(AND(ISNUMBER(W3),Y3&lt;&gt;"Completed",Y3&lt;&gt;"N/A",W3&lt;TODAY()),TODAY()-W3,0),IF(AND(ISNUMBER(AA3),AC3&lt;&gt;"Completed",AC3&lt;&gt;"N/A",AA3&lt;TODAY()),TODAY()-AA3,0),IF(AND(ISNUMBER(AG3),AI3&lt;&gt;"Completed",AI3&lt;&gt;"N/A",AG3&lt;TODAY()),TODAY()-AG3,0),IF(AND(ISNUMBER(AJ3),AL3&lt;&gt;"Completed",AL3&lt;&gt;"N/A",AJ3&lt;TODAY()),TODAY()-AJ3,0),IF(AND(ISNUMBER(AM3),AO3&lt;&gt;"Completed",AO3&lt;&gt;"N/A",AM3&lt;TODAY()),TODAY()-AM3,0),IF(AND(ISNUMBER(AP3),AR3&lt;&gt;"Completed",AR3&lt;&gt;"N/A",AP3&lt;TODAY()),TODAY()-AP3,0),IF(AND(ISNUMBER(AU3),AW3&lt;&gt;"Completed",AW3&lt;&gt;"N/A",AU3&lt;TODAY()),TODAY()-AU3,0),IF(AND(ISNUMBER(AX3),AZ3&lt;&gt;"Completed",AZ3&lt;&gt;"N/A",AX3&lt;TODAY()),TODAY()-AX3,0),IF(AND(ISNUMBER(BA3),BC3&lt;&gt;"Completed",BC3&lt;&gt;"N/A",BA3&lt;TODAY()),TODAY()-BA3,0),IF(AND(ISNUMBER(BD3),BF3&lt;&gt;"Completed",BF3&lt;&gt;"N/A",BD3&lt;TODAY()),TODAY()-BD3,0),IF(AND(ISNUMBER(O3),P3&lt;&gt;"Completed",P3&lt;&gt;"N/A",O3&lt;TODAY()),TODAY()-O3,0),IF(AND(ISNUMBER(BM3),BN3&lt;&gt;"Completed",BN3&lt;&gt;"N/A",BM3&lt;TODAY()),TODAY()-BM3,0),IF(AND(ISNUMBER(BK3),BL3&lt;&gt;"Completed",BL3&lt;&gt;"N/A",BK3&lt;TODAY()),TODAY()-BK3,0),IF(AND(ISNUMBER(BI3),BJ3&lt;&gt;"Completed",BJ3&lt;&gt;"N/A",BI3&lt;TODAY()),TODAY()-BI3,0)))</f>
        <v>31</v>
      </c>
      <c r="H3" s="14">
        <v>46232</v>
      </c>
      <c r="I3" s="14">
        <v>46245</v>
      </c>
      <c r="J3" s="15">
        <v>46300</v>
      </c>
      <c r="K3" s="12">
        <f>IF(ISNUMBER(H3),H3,IF(ISNUMBER(M3),M3-WEEKDAY(M3,2)+1-7,""))</f>
        <v>46232</v>
      </c>
      <c r="L3" s="12">
        <f>IF(ISNUMBER(I3),I3,IF(ISNUMBER(H3),WORKDAY(H3,SprintWorkingDays-1),IF(ISNUMBER(K3),WORKDAY(K3,SprintWorkingDays-1),"")))</f>
        <v>46245</v>
      </c>
      <c r="M3" s="12">
        <f>IF(ISNUMBER(J3),J3,IF(ISNUMBER(I3),I3-IF(OR(WEEKDAY(I3,2)=2,WEEKDAY(I3,2)=4),0,IF(WEEKDAY(I3,2)=3,1,IF(WEEKDAY(I3,2)=1,4,WEEKDAY(I3,2)-4))),IF(ISNUMBER(H3),WORKDAY(H3,SprintWorkingDays-1)-IF(OR(WEEKDAY(WORKDAY(H3,SprintWorkingDays-1),2)=2,WEEKDAY(WORKDAY(H3,SprintWorkingDays-1),2)=4),0,IF(WEEKDAY(WORKDAY(H3,SprintWorkingDays-1),2)=3,1,IF(WEEKDAY(WORKDAY(H3,SprintWorkingDays-1),2)=1,4,WEEKDAY(WORKDAY(H3,SprintWorkingDays-1),2)-4))),"")))</f>
        <v>46300</v>
      </c>
      <c r="N3" s="12">
        <f>IF(NOT(ISNUMBER(K3)),"",WORKDAY(K3,ReadyOffsetWD))</f>
        <v>46231</v>
      </c>
      <c r="O3" s="12">
        <f>IF(NOT(ISNUMBER(K3)),"",WORKDAY(K3,SprintReadinessOffsetWD))</f>
        <v>46230</v>
      </c>
      <c r="P3" s="10" t="s">
        <v>32</v>
      </c>
      <c r="Q3" s="12">
        <f>IF(A3="","",IF(V3="N/A",IF(NOT(ISNUMBER(W3)),"",WORKDAY(W3,RTSKOffsetFromOUR_WD)),IF(NOT(ISNUMBER(T3)),"",WORKDAY(T3,RTSKOffsetFromOUR_WD))))</f>
        <v>46220</v>
      </c>
      <c r="R3" s="15">
        <v>46233</v>
      </c>
      <c r="S3" s="10" t="s">
        <v>32</v>
      </c>
      <c r="T3" s="12">
        <f>IF(OR(A3="",V3="N/A"),"",IF(NOT(ISNUMBER(W3)),"",WORKDAY(W3,OUROffsetFromSR_WD)))</f>
        <v>46224</v>
      </c>
      <c r="U3" s="15">
        <v>46220</v>
      </c>
      <c r="V3" s="10" t="s">
        <v>32</v>
      </c>
      <c r="W3" s="12">
        <f>IF(OR(A3="",NOT(ISNUMBER(K3))),"",WORKDAY(K3,SROffsetFromStartWD))</f>
        <v>46225</v>
      </c>
      <c r="X3" s="15">
        <v>46220</v>
      </c>
      <c r="Y3" s="10" t="s">
        <v>32</v>
      </c>
      <c r="Z3" s="10" t="s">
        <v>100</v>
      </c>
      <c r="AA3" s="12" t="str">
        <f>IF(OR(Z3="",Z3="N/A"),"",IF(ISNUMBER(Q3),Q3,""))</f>
        <v/>
      </c>
      <c r="AB3" s="15"/>
      <c r="AC3" s="10"/>
      <c r="AD3" s="10"/>
      <c r="AE3" s="10"/>
      <c r="AF3" s="10" t="str">
        <f>IF(Z3="N/A","N/A","")</f>
        <v>N/A</v>
      </c>
      <c r="AG3" s="12">
        <f>IF(NOT(ISNUMBER(Q3)),"",Q3)</f>
        <v>46220</v>
      </c>
      <c r="AH3" s="12">
        <v>46225</v>
      </c>
      <c r="AI3" s="10" t="s">
        <v>32</v>
      </c>
      <c r="AJ3" s="12">
        <f>IF(OR(AL3="N/A",NOT(ISNUMBER(T3))),"",T3)</f>
        <v>46224</v>
      </c>
      <c r="AK3" s="15">
        <v>46225</v>
      </c>
      <c r="AL3" s="10" t="s">
        <v>32</v>
      </c>
      <c r="AM3" s="12">
        <f>IF(NOT(ISNUMBER(W3)),"",W3)</f>
        <v>46225</v>
      </c>
      <c r="AN3" s="15">
        <v>46225</v>
      </c>
      <c r="AO3" s="10" t="s">
        <v>32</v>
      </c>
      <c r="AP3" s="12" t="str">
        <f>IF(OR(Z3="",Z3="N/A"),"",IF(ISNUMBER(AG3),AG3,""))</f>
        <v/>
      </c>
      <c r="AQ3" s="15"/>
      <c r="AR3" s="10"/>
      <c r="AS3" s="10"/>
      <c r="AT3" s="10"/>
      <c r="AU3" s="12">
        <f>IF(NOT(ISNUMBER(Q3)),"",Q3)</f>
        <v>46220</v>
      </c>
      <c r="AV3" s="15"/>
      <c r="AW3" s="10" t="s">
        <v>32</v>
      </c>
      <c r="AX3" s="12">
        <f>IF(OR(AZ3="N/A",NOT(ISNUMBER(T3))),"",T3)</f>
        <v>46224</v>
      </c>
      <c r="AY3" s="15"/>
      <c r="AZ3" s="10"/>
      <c r="BA3" s="12">
        <f>IF(NOT(ISNUMBER(W3)),"",W3)</f>
        <v>46225</v>
      </c>
      <c r="BB3" s="15"/>
      <c r="BC3" s="10"/>
      <c r="BD3" s="12" t="str">
        <f>IF(OR(Z3="",Z3="N/A"),"",IF(ISNUMBER(AU3),AU3,""))</f>
        <v/>
      </c>
      <c r="BE3" s="15"/>
      <c r="BF3" s="10"/>
      <c r="BG3" s="10"/>
      <c r="BH3" s="10"/>
      <c r="BI3" s="12">
        <v>46300</v>
      </c>
      <c r="BJ3" s="10"/>
      <c r="BK3" s="12">
        <f>IF(NOT(ISNUMBER(BI3)),"",IF(WEEKDAY(BI3-CodeReviewCalendarDays,2)&gt;5,BI3-CodeReviewCalendarDays-(WEEKDAY(BI3-CodeReviewCalendarDays,2)-5),BI3-CodeReviewCalendarDays))</f>
        <v>46297</v>
      </c>
      <c r="BL3" s="10"/>
      <c r="BM3" s="12">
        <f>IF(NOT(ISNUMBER(BK3)),"",IF(WEEKDAY(BK3-CodeReviewInviteCalendarDays,2)&gt;5,BK3-CodeReviewInviteCalendarDays-(WEEKDAY(BK3-CodeReviewInviteCalendarDays,2)-5),BK3-CodeReviewInviteCalendarDays))</f>
        <v>46293</v>
      </c>
      <c r="BN3" s="10"/>
      <c r="BO3" s="10"/>
      <c r="BP3" s="16" t="str">
        <f ca="1">IF(A3="","",IF(IF(AND(ISNUMBER(J3),WEEKDAY(J3,2)&lt;&gt;2,WEEKDAY(J3,2)&lt;&gt;4)," | Release must be Tuesday or Thursday","")&amp;IF(AND(ISNUMBER(H3),WEEKDAY(H3,2)&lt;&gt;1)," | Sprint Start is not a Monday - dates still calculated from the date entered","")&amp;IF(AND(A3&lt;&gt;"",NOT(ISNUMBER(H3)),NOT(ISNUMBER(J3)))," | Enter Sprint Start or Release Date","")&amp;IF(AND(ISNUMBER(F3),F3&lt;TODAY(),D3&lt;&gt;"Completed")," | One or more raise-by dates are in the past and not completed","")&amp;IF(AND(ISNUMBER(K3),K3-TODAY()&lt;SprintWarningDays,K3&gt;=TODAY(),OR(D3="Yet to start",D3="Blocked"))," | Sprint starts in under 10 days - raise access requests now","")&amp;IF(AND(ISNUMBER(BM3),BN3&lt;&gt;"Completed",BN3&lt;&gt;"N/A",BM3-TODAY()&lt;CodeReviewInviteCalendarDays)," | Code Review invite should be sent at least 4 days before Code Review","")="","",MID(IF(AND(ISNUMBER(J3),WEEKDAY(J3,2)&lt;&gt;2,WEEKDAY(J3,2)&lt;&gt;4)," | Release must be Tuesday or Thursday","")&amp;IF(AND(ISNUMBER(H3),WEEKDAY(H3,2)&lt;&gt;1)," | Sprint Start is not a Monday - dates still calculated from the date entered","")&amp;IF(AND(A3&lt;&gt;"",NOT(ISNUMBER(H3)),NOT(ISNUMBER(J3)))," | Enter Sprint Start or Release Date","")&amp;IF(AND(ISNUMBER(F3),F3&lt;TODAY(),D3&lt;&gt;"Completed")," | One or more raise-by dates are in the past and not completed","")&amp;IF(AND(ISNUMBER(K3),K3-TODAY()&lt;SprintWarningDays,K3&gt;=TODAY(),OR(D3="Yet to start",D3="Blocked"))," | Sprint starts in under 10 days - raise access requests now","")&amp;IF(AND(ISNUMBER(BM3),BN3&lt;&gt;"Completed",BN3&lt;&gt;"N/A",BM3-TODAY()&lt;CodeReviewInviteCalendarDays),"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3" s="1" t="str">
        <f>IF(AND(ISNUMBER(Q3),S3&lt;&gt;"Completed",S3&lt;&gt;"N/A"),Q3,"")</f>
        <v/>
      </c>
      <c r="BR3" s="1" t="str">
        <f>IF(AND(ISNUMBER(T3),V3&lt;&gt;"Completed",V3&lt;&gt;"N/A"),T3,"")</f>
        <v/>
      </c>
      <c r="BS3" s="1" t="str">
        <f>IF(AND(ISNUMBER(W3),Y3&lt;&gt;"Completed",Y3&lt;&gt;"N/A"),W3,"")</f>
        <v/>
      </c>
      <c r="BT3" s="1" t="str">
        <f>IF(AND(ISNUMBER(AA3),AC3&lt;&gt;"Completed",AC3&lt;&gt;"N/A"),AA3,"")</f>
        <v/>
      </c>
      <c r="BU3" s="1" t="str">
        <f>IF(AND(ISNUMBER(AG3),AI3&lt;&gt;"Completed",AI3&lt;&gt;"N/A"),AG3,"")</f>
        <v/>
      </c>
      <c r="BV3" s="1" t="str">
        <f>IF(AND(ISNUMBER(AJ3),AL3&lt;&gt;"Completed",AL3&lt;&gt;"N/A"),AJ3,"")</f>
        <v/>
      </c>
      <c r="BW3" s="1" t="str">
        <f>IF(AND(ISNUMBER(AM3),AO3&lt;&gt;"Completed",AO3&lt;&gt;"N/A"),AM3,"")</f>
        <v/>
      </c>
      <c r="BX3" s="1" t="str">
        <f>IF(AND(ISNUMBER(AP3),AR3&lt;&gt;"Completed",AR3&lt;&gt;"N/A"),AP3,"")</f>
        <v/>
      </c>
      <c r="BY3" s="1" t="str">
        <f>IF(AND(ISNUMBER(AU3),AW3&lt;&gt;"Completed",AW3&lt;&gt;"N/A"),AU3,"")</f>
        <v/>
      </c>
      <c r="BZ3" s="1">
        <f>IF(AND(ISNUMBER(AX3),AZ3&lt;&gt;"Completed",AZ3&lt;&gt;"N/A"),AX3,"")</f>
        <v>46224</v>
      </c>
      <c r="CA3" s="1">
        <f>IF(AND(ISNUMBER(BA3),BC3&lt;&gt;"Completed",BC3&lt;&gt;"N/A"),BA3,"")</f>
        <v>46225</v>
      </c>
      <c r="CB3" s="1" t="str">
        <f>IF(AND(ISNUMBER(BD3),BF3&lt;&gt;"Completed",BF3&lt;&gt;"N/A"),BD3,"")</f>
        <v/>
      </c>
      <c r="CC3" s="1" t="str">
        <f>IF(AND(ISNUMBER(O3),P3&lt;&gt;"Completed",P3&lt;&gt;"N/A"),O3,"")</f>
        <v/>
      </c>
      <c r="CD3" s="1">
        <f>IF(AND(ISNUMBER(BM3),BN3&lt;&gt;"Completed",BN3&lt;&gt;"N/A"),BM3,"")</f>
        <v>46293</v>
      </c>
      <c r="CE3" s="1">
        <f>IF(AND(ISNUMBER(BK3),BL3&lt;&gt;"Completed",BL3&lt;&gt;"N/A"),BK3,"")</f>
        <v>46297</v>
      </c>
      <c r="CF3" s="1">
        <f>IF(AND(ISNUMBER(BI3),BJ3&lt;&gt;"Completed",BJ3&lt;&gt;"N/A"),BI3,"")</f>
        <v>46300</v>
      </c>
      <c r="CG3" s="1">
        <f ca="1">IF(OR(A3="",D3="Completed"),"",IF(N(G3)&gt;0,1/(N(G3)+ROW()/100000),IF(ISNUMBER(F3),1000+F3+ROW()/100000,TODAY()+400+ROW()/100000)))</f>
        <v>3.2258033298677456E-2</v>
      </c>
    </row>
    <row r="4" spans="1:85" ht="15.95" customHeight="1">
      <c r="A4" s="10" t="s">
        <v>101</v>
      </c>
      <c r="B4" s="10" t="s">
        <v>98</v>
      </c>
      <c r="C4" s="10" t="s">
        <v>99</v>
      </c>
      <c r="D4" s="11" t="str">
        <f>IF(A4="","",IF(((S4="Blocked")+(V4="Blocked")+(Y4="Blocked")+(AC4="Blocked")+(AI4="Blocked")+(AL4="Blocked")+(AO4="Blocked")+(AR4="Blocked")+(AW4="Blocked")+(AZ4="Blocked")+(BC4="Blocked")+(BF4="Blocked")+(P4="Blocked")+(BJ4="Blocked")+(BL4="Blocked")+(BN4="Blocked")+(BO4="Blocked"))&gt;0,"Blocked",IF((ISNUMBER(Q4)+ISNUMBER(T4)+ISNUMBER(W4)+ISNUMBER(AA4)+ISNUMBER(AG4)+ISNUMBER(AJ4)+ISNUMBER(AM4)+ISNUMBER(AP4)+ISNUMBER(AU4)+ISNUMBER(AX4)+ISNUMBER(BA4)+ISNUMBER(BD4)+ISNUMBER(O4)+ISNUMBER(BI4)+ISNUMBER(BK4)+ISNUMBER(BM4))=0,"Yet to start",IF(AND(OR(NOT(ISNUMBER(Q4)),S4="Completed",S4="N/A"),OR(NOT(ISNUMBER(T4)),V4="Completed",V4="N/A"),OR(NOT(ISNUMBER(W4)),Y4="Completed",Y4="N/A"),OR(NOT(ISNUMBER(AA4)),AC4="Completed",AC4="N/A"),OR(NOT(ISNUMBER(AG4)),AI4="Completed",AI4="N/A"),OR(NOT(ISNUMBER(AJ4)),AL4="Completed",AL4="N/A"),OR(NOT(ISNUMBER(AM4)),AO4="Completed",AO4="N/A"),OR(NOT(ISNUMBER(AP4)),AR4="Completed",AR4="N/A"),OR(NOT(ISNUMBER(AU4)),AW4="Completed",AW4="N/A"),OR(NOT(ISNUMBER(AX4)),AZ4="Completed",AZ4="N/A"),OR(NOT(ISNUMBER(BA4)),BC4="Completed",BC4="N/A"),OR(NOT(ISNUMBER(BD4)),BF4="Completed",BF4="N/A"),OR(NOT(ISNUMBER(O4)),P4="Completed",P4="N/A"),OR(NOT(ISNUMBER(BI4)),BJ4="Completed",BJ4="N/A"),OR(NOT(ISNUMBER(BK4)),BL4="Completed",BL4="N/A"),OR(NOT(ISNUMBER(BM4)),BN4="Completed",BN4="N/A"),OR(BO4="Completed",BO4="N/A")),"Completed",IF(((S4="In Progress")+(V4="In Progress")+(Y4="In Progress")+(AC4="In Progress")+(AI4="In Progress")+(AL4="In Progress")+(AO4="In Progress")+(AR4="In Progress")+(AW4="In Progress")+(AZ4="In Progress")+(BC4="In Progress")+(BF4="In Progress")+(P4="In Progress")+(BJ4="In Progress")+(BL4="In Progress")+(BN4="In Progress")+(BO4="In Progress"))&gt;0,"In Progress","Yet to start")))))</f>
        <v>Yet to start</v>
      </c>
      <c r="E4" s="11" t="str">
        <f>IF(A4="","",IF(F4="","All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Review","CAB"},MATCH(F4,BQ4:CF4,0))))</f>
        <v>Prod OUR</v>
      </c>
      <c r="F4" s="12">
        <f>IF(A4="","",IF(COUNT(BQ4:CF4)=0,"",MIN(BQ4:CF4)))</f>
        <v>46224</v>
      </c>
      <c r="G4" s="13">
        <f ca="1">IF(A4="","",MAX(0,IF(AND(ISNUMBER(Q4),S4&lt;&gt;"Completed",S4&lt;&gt;"N/A",Q4&lt;TODAY()),TODAY()-Q4,0),IF(AND(ISNUMBER(T4),V4&lt;&gt;"Completed",V4&lt;&gt;"N/A",T4&lt;TODAY()),TODAY()-T4,0),IF(AND(ISNUMBER(W4),Y4&lt;&gt;"Completed",Y4&lt;&gt;"N/A",W4&lt;TODAY()),TODAY()-W4,0),IF(AND(ISNUMBER(AA4),AC4&lt;&gt;"Completed",AC4&lt;&gt;"N/A",AA4&lt;TODAY()),TODAY()-AA4,0),IF(AND(ISNUMBER(AG4),AI4&lt;&gt;"Completed",AI4&lt;&gt;"N/A",AG4&lt;TODAY()),TODAY()-AG4,0),IF(AND(ISNUMBER(AJ4),AL4&lt;&gt;"Completed",AL4&lt;&gt;"N/A",AJ4&lt;TODAY()),TODAY()-AJ4,0),IF(AND(ISNUMBER(AM4),AO4&lt;&gt;"Completed",AO4&lt;&gt;"N/A",AM4&lt;TODAY()),TODAY()-AM4,0),IF(AND(ISNUMBER(AP4),AR4&lt;&gt;"Completed",AR4&lt;&gt;"N/A",AP4&lt;TODAY()),TODAY()-AP4,0),IF(AND(ISNUMBER(AU4),AW4&lt;&gt;"Completed",AW4&lt;&gt;"N/A",AU4&lt;TODAY()),TODAY()-AU4,0),IF(AND(ISNUMBER(AX4),AZ4&lt;&gt;"Completed",AZ4&lt;&gt;"N/A",AX4&lt;TODAY()),TODAY()-AX4,0),IF(AND(ISNUMBER(BA4),BC4&lt;&gt;"Completed",BC4&lt;&gt;"N/A",BA4&lt;TODAY()),TODAY()-BA4,0),IF(AND(ISNUMBER(BD4),BF4&lt;&gt;"Completed",BF4&lt;&gt;"N/A",BD4&lt;TODAY()),TODAY()-BD4,0),IF(AND(ISNUMBER(O4),P4&lt;&gt;"Completed",P4&lt;&gt;"N/A",O4&lt;TODAY()),TODAY()-O4,0),IF(AND(ISNUMBER(BM4),BN4&lt;&gt;"Completed",BN4&lt;&gt;"N/A",BM4&lt;TODAY()),TODAY()-BM4,0),IF(AND(ISNUMBER(BK4),BL4&lt;&gt;"Completed",BL4&lt;&gt;"N/A",BK4&lt;TODAY()),TODAY()-BK4,0),IF(AND(ISNUMBER(BI4),BJ4&lt;&gt;"Completed",BJ4&lt;&gt;"N/A",BI4&lt;TODAY()),TODAY()-BI4,0)))</f>
        <v>31</v>
      </c>
      <c r="H4" s="14">
        <v>46232</v>
      </c>
      <c r="I4" s="14">
        <v>46245</v>
      </c>
      <c r="J4" s="15">
        <v>46300</v>
      </c>
      <c r="K4" s="12">
        <f>IF(ISNUMBER(H4),H4,IF(ISNUMBER(M4),M4-WEEKDAY(M4,2)+1-7,""))</f>
        <v>46232</v>
      </c>
      <c r="L4" s="12">
        <f>IF(ISNUMBER(I4),I4,IF(ISNUMBER(H4),WORKDAY(H4,SprintWorkingDays-1),IF(ISNUMBER(K4),WORKDAY(K4,SprintWorkingDays-1),"")))</f>
        <v>46245</v>
      </c>
      <c r="M4" s="12">
        <f>IF(ISNUMBER(J4),J4,IF(ISNUMBER(I4),I4-IF(OR(WEEKDAY(I4,2)=2,WEEKDAY(I4,2)=4),0,IF(WEEKDAY(I4,2)=3,1,IF(WEEKDAY(I4,2)=1,4,WEEKDAY(I4,2)-4))),IF(ISNUMBER(H4),WORKDAY(H4,SprintWorkingDays-1)-IF(OR(WEEKDAY(WORKDAY(H4,SprintWorkingDays-1),2)=2,WEEKDAY(WORKDAY(H4,SprintWorkingDays-1),2)=4),0,IF(WEEKDAY(WORKDAY(H4,SprintWorkingDays-1),2)=3,1,IF(WEEKDAY(WORKDAY(H4,SprintWorkingDays-1),2)=1,4,WEEKDAY(WORKDAY(H4,SprintWorkingDays-1),2)-4))),"")))</f>
        <v>46300</v>
      </c>
      <c r="N4" s="12">
        <f>IF(NOT(ISNUMBER(K4)),"",WORKDAY(K4,ReadyOffsetWD))</f>
        <v>46231</v>
      </c>
      <c r="O4" s="12">
        <f>IF(NOT(ISNUMBER(K4)),"",WORKDAY(K4,SprintReadinessOffsetWD))</f>
        <v>46230</v>
      </c>
      <c r="P4" s="10" t="s">
        <v>32</v>
      </c>
      <c r="Q4" s="12">
        <f>IF(A4="","",IF(V4="N/A",IF(NOT(ISNUMBER(W4)),"",WORKDAY(W4,RTSKOffsetFromOUR_WD)),IF(NOT(ISNUMBER(T4)),"",WORKDAY(T4,RTSKOffsetFromOUR_WD))))</f>
        <v>46220</v>
      </c>
      <c r="R4" s="15">
        <v>46233</v>
      </c>
      <c r="S4" s="10" t="s">
        <v>32</v>
      </c>
      <c r="T4" s="12">
        <f>IF(OR(A4="",V4="N/A"),"",IF(NOT(ISNUMBER(W4)),"",WORKDAY(W4,OUROffsetFromSR_WD)))</f>
        <v>46224</v>
      </c>
      <c r="U4" s="15">
        <v>46220</v>
      </c>
      <c r="V4" s="10" t="s">
        <v>32</v>
      </c>
      <c r="W4" s="12">
        <f>IF(OR(A4="",NOT(ISNUMBER(K4))),"",WORKDAY(K4,SROffsetFromStartWD))</f>
        <v>46225</v>
      </c>
      <c r="X4" s="15">
        <v>46220</v>
      </c>
      <c r="Y4" s="10" t="s">
        <v>32</v>
      </c>
      <c r="Z4" s="10" t="s">
        <v>100</v>
      </c>
      <c r="AA4" s="12" t="str">
        <f>IF(OR(Z4="",Z4="N/A"),"",IF(ISNUMBER(Q4),Q4,""))</f>
        <v/>
      </c>
      <c r="AB4" s="15"/>
      <c r="AC4" s="10"/>
      <c r="AD4" s="10"/>
      <c r="AE4" s="10"/>
      <c r="AF4" s="10" t="str">
        <f>IF(Z4="N/A","N/A","")</f>
        <v>N/A</v>
      </c>
      <c r="AG4" s="12">
        <f>IF(NOT(ISNUMBER(Q4)),"",Q4)</f>
        <v>46220</v>
      </c>
      <c r="AH4" s="12">
        <v>46225</v>
      </c>
      <c r="AI4" s="10" t="s">
        <v>32</v>
      </c>
      <c r="AJ4" s="12">
        <f>IF(OR(AL4="N/A",NOT(ISNUMBER(T4))),"",T4)</f>
        <v>46224</v>
      </c>
      <c r="AK4" s="15">
        <v>46225</v>
      </c>
      <c r="AL4" s="10" t="s">
        <v>32</v>
      </c>
      <c r="AM4" s="12">
        <f>IF(NOT(ISNUMBER(W4)),"",W4)</f>
        <v>46225</v>
      </c>
      <c r="AN4" s="15">
        <v>46225</v>
      </c>
      <c r="AO4" s="10" t="s">
        <v>32</v>
      </c>
      <c r="AP4" s="12" t="str">
        <f>IF(OR(Z4="",Z4="N/A"),"",IF(ISNUMBER(AG4),AG4,""))</f>
        <v/>
      </c>
      <c r="AQ4" s="15"/>
      <c r="AR4" s="10"/>
      <c r="AS4" s="10"/>
      <c r="AT4" s="10"/>
      <c r="AU4" s="12">
        <f>IF(NOT(ISNUMBER(Q4)),"",Q4)</f>
        <v>46220</v>
      </c>
      <c r="AV4" s="15"/>
      <c r="AW4" s="10" t="s">
        <v>32</v>
      </c>
      <c r="AX4" s="12">
        <f>IF(OR(AZ4="N/A",NOT(ISNUMBER(T4))),"",T4)</f>
        <v>46224</v>
      </c>
      <c r="AY4" s="15"/>
      <c r="AZ4" s="10"/>
      <c r="BA4" s="12">
        <f>IF(NOT(ISNUMBER(W4)),"",W4)</f>
        <v>46225</v>
      </c>
      <c r="BB4" s="15"/>
      <c r="BC4" s="10"/>
      <c r="BD4" s="12" t="str">
        <f>IF(OR(Z4="",Z4="N/A"),"",IF(ISNUMBER(AU4),AU4,""))</f>
        <v/>
      </c>
      <c r="BE4" s="15"/>
      <c r="BF4" s="10"/>
      <c r="BG4" s="10"/>
      <c r="BH4" s="10"/>
      <c r="BI4" s="12">
        <v>46300</v>
      </c>
      <c r="BJ4" s="10"/>
      <c r="BK4" s="12">
        <f>IF(NOT(ISNUMBER(BI4)),"",IF(WEEKDAY(BI4-CodeReviewCalendarDays,2)&gt;5,BI4-CodeReviewCalendarDays-(WEEKDAY(BI4-CodeReviewCalendarDays,2)-5),BI4-CodeReviewCalendarDays))</f>
        <v>46297</v>
      </c>
      <c r="BL4" s="10"/>
      <c r="BM4" s="12">
        <f>IF(NOT(ISNUMBER(BK4)),"",IF(WEEKDAY(BK4-CodeReviewInviteCalendarDays,2)&gt;5,BK4-CodeReviewInviteCalendarDays-(WEEKDAY(BK4-CodeReviewInviteCalendarDays,2)-5),BK4-CodeReviewInviteCalendarDays))</f>
        <v>46293</v>
      </c>
      <c r="BN4" s="10"/>
      <c r="BO4" s="10"/>
      <c r="BP4" s="16" t="str">
        <f ca="1">IF(A4="","",IF(IF(AND(ISNUMBER(J4),WEEKDAY(J4,2)&lt;&gt;2,WEEKDAY(J4,2)&lt;&gt;4)," | Release must be Tuesday or Thursday","")&amp;IF(AND(ISNUMBER(H4),WEEKDAY(H4,2)&lt;&gt;1)," | Sprint Start is not a Monday - dates still calculated from the date entered","")&amp;IF(AND(A4&lt;&gt;"",NOT(ISNUMBER(H4)),NOT(ISNUMBER(J4)))," | Enter Sprint Start or Release Date","")&amp;IF(AND(ISNUMBER(F4),F4&lt;TODAY(),D4&lt;&gt;"Completed")," | One or more raise-by dates are in the past and not completed","")&amp;IF(AND(ISNUMBER(K4),K4-TODAY()&lt;SprintWarningDays,K4&gt;=TODAY(),OR(D4="Yet to start",D4="Blocked"))," | Sprint starts in under 10 days - raise access requests now","")&amp;IF(AND(ISNUMBER(BM4),BN4&lt;&gt;"Completed",BN4&lt;&gt;"N/A",BM4-TODAY()&lt;CodeReviewInviteCalendarDays)," | Code Review invite should be sent at least 4 days before Code Review","")="","",MID(IF(AND(ISNUMBER(J4),WEEKDAY(J4,2)&lt;&gt;2,WEEKDAY(J4,2)&lt;&gt;4)," | Release must be Tuesday or Thursday","")&amp;IF(AND(ISNUMBER(H4),WEEKDAY(H4,2)&lt;&gt;1)," | Sprint Start is not a Monday - dates still calculated from the date entered","")&amp;IF(AND(A4&lt;&gt;"",NOT(ISNUMBER(H4)),NOT(ISNUMBER(J4)))," | Enter Sprint Start or Release Date","")&amp;IF(AND(ISNUMBER(F4),F4&lt;TODAY(),D4&lt;&gt;"Completed")," | One or more raise-by dates are in the past and not completed","")&amp;IF(AND(ISNUMBER(K4),K4-TODAY()&lt;SprintWarningDays,K4&gt;=TODAY(),OR(D4="Yet to start",D4="Blocked"))," | Sprint starts in under 10 days - raise access requests now","")&amp;IF(AND(ISNUMBER(BM4),BN4&lt;&gt;"Completed",BN4&lt;&gt;"N/A",BM4-TODAY()&lt;CodeReviewInviteCalendarDays),"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4" s="1" t="str">
        <f>IF(AND(ISNUMBER(Q4),S4&lt;&gt;"Completed",S4&lt;&gt;"N/A"),Q4,"")</f>
        <v/>
      </c>
      <c r="BR4" s="1" t="str">
        <f>IF(AND(ISNUMBER(T4),V4&lt;&gt;"Completed",V4&lt;&gt;"N/A"),T4,"")</f>
        <v/>
      </c>
      <c r="BS4" s="1" t="str">
        <f>IF(AND(ISNUMBER(W4),Y4&lt;&gt;"Completed",Y4&lt;&gt;"N/A"),W4,"")</f>
        <v/>
      </c>
      <c r="BT4" s="1" t="str">
        <f>IF(AND(ISNUMBER(AA4),AC4&lt;&gt;"Completed",AC4&lt;&gt;"N/A"),AA4,"")</f>
        <v/>
      </c>
      <c r="BU4" s="1" t="str">
        <f>IF(AND(ISNUMBER(AG4),AI4&lt;&gt;"Completed",AI4&lt;&gt;"N/A"),AG4,"")</f>
        <v/>
      </c>
      <c r="BV4" s="1" t="str">
        <f>IF(AND(ISNUMBER(AJ4),AL4&lt;&gt;"Completed",AL4&lt;&gt;"N/A"),AJ4,"")</f>
        <v/>
      </c>
      <c r="BW4" s="1" t="str">
        <f>IF(AND(ISNUMBER(AM4),AO4&lt;&gt;"Completed",AO4&lt;&gt;"N/A"),AM4,"")</f>
        <v/>
      </c>
      <c r="BX4" s="1" t="str">
        <f>IF(AND(ISNUMBER(AP4),AR4&lt;&gt;"Completed",AR4&lt;&gt;"N/A"),AP4,"")</f>
        <v/>
      </c>
      <c r="BY4" s="1" t="str">
        <f>IF(AND(ISNUMBER(AU4),AW4&lt;&gt;"Completed",AW4&lt;&gt;"N/A"),AU4,"")</f>
        <v/>
      </c>
      <c r="BZ4" s="1">
        <f>IF(AND(ISNUMBER(AX4),AZ4&lt;&gt;"Completed",AZ4&lt;&gt;"N/A"),AX4,"")</f>
        <v>46224</v>
      </c>
      <c r="CA4" s="1">
        <f>IF(AND(ISNUMBER(BA4),BC4&lt;&gt;"Completed",BC4&lt;&gt;"N/A"),BA4,"")</f>
        <v>46225</v>
      </c>
      <c r="CB4" s="1" t="str">
        <f>IF(AND(ISNUMBER(BD4),BF4&lt;&gt;"Completed",BF4&lt;&gt;"N/A"),BD4,"")</f>
        <v/>
      </c>
      <c r="CC4" s="1" t="str">
        <f>IF(AND(ISNUMBER(O4),P4&lt;&gt;"Completed",P4&lt;&gt;"N/A"),O4,"")</f>
        <v/>
      </c>
      <c r="CD4" s="1">
        <f>IF(AND(ISNUMBER(BM4),BN4&lt;&gt;"Completed",BN4&lt;&gt;"N/A"),BM4,"")</f>
        <v>46293</v>
      </c>
      <c r="CE4" s="1">
        <f>IF(AND(ISNUMBER(BK4),BL4&lt;&gt;"Completed",BL4&lt;&gt;"N/A"),BK4,"")</f>
        <v>46297</v>
      </c>
      <c r="CF4" s="1">
        <f>IF(AND(ISNUMBER(BI4),BJ4&lt;&gt;"Completed",BJ4&lt;&gt;"N/A"),BI4,"")</f>
        <v>46300</v>
      </c>
      <c r="CG4" s="1">
        <f ca="1">IF(OR(A4="",D4="Completed"),"",IF(N(G4)&gt;0,1/(N(G4)+ROW()/100000),IF(ISNUMBER(F4),1000+F4+ROW()/100000,TODAY()+400+ROW()/100000)))</f>
        <v>3.2258022892873689E-2</v>
      </c>
    </row>
    <row r="5" spans="1:85" ht="15.95" customHeight="1">
      <c r="A5" s="10" t="s">
        <v>102</v>
      </c>
      <c r="B5" s="10" t="s">
        <v>98</v>
      </c>
      <c r="C5" s="10" t="s">
        <v>99</v>
      </c>
      <c r="D5" s="11" t="str">
        <f>IF(A5="","",IF(((S5="Blocked")+(V5="Blocked")+(Y5="Blocked")+(AC5="Blocked")+(AI5="Blocked")+(AL5="Blocked")+(AO5="Blocked")+(AR5="Blocked")+(AW5="Blocked")+(AZ5="Blocked")+(BC5="Blocked")+(BF5="Blocked")+(P5="Blocked")+(BJ5="Blocked")+(BL5="Blocked")+(BN5="Blocked")+(BO5="Blocked"))&gt;0,"Blocked",IF((ISNUMBER(Q5)+ISNUMBER(T5)+ISNUMBER(W5)+ISNUMBER(AA5)+ISNUMBER(AG5)+ISNUMBER(AJ5)+ISNUMBER(AM5)+ISNUMBER(AP5)+ISNUMBER(AU5)+ISNUMBER(AX5)+ISNUMBER(BA5)+ISNUMBER(BD5)+ISNUMBER(O5)+ISNUMBER(BI5)+ISNUMBER(BK5)+ISNUMBER(BM5))=0,"Yet to start",IF(AND(OR(NOT(ISNUMBER(Q5)),S5="Completed",S5="N/A"),OR(NOT(ISNUMBER(T5)),V5="Completed",V5="N/A"),OR(NOT(ISNUMBER(W5)),Y5="Completed",Y5="N/A"),OR(NOT(ISNUMBER(AA5)),AC5="Completed",AC5="N/A"),OR(NOT(ISNUMBER(AG5)),AI5="Completed",AI5="N/A"),OR(NOT(ISNUMBER(AJ5)),AL5="Completed",AL5="N/A"),OR(NOT(ISNUMBER(AM5)),AO5="Completed",AO5="N/A"),OR(NOT(ISNUMBER(AP5)),AR5="Completed",AR5="N/A"),OR(NOT(ISNUMBER(AU5)),AW5="Completed",AW5="N/A"),OR(NOT(ISNUMBER(AX5)),AZ5="Completed",AZ5="N/A"),OR(NOT(ISNUMBER(BA5)),BC5="Completed",BC5="N/A"),OR(NOT(ISNUMBER(BD5)),BF5="Completed",BF5="N/A"),OR(NOT(ISNUMBER(O5)),P5="Completed",P5="N/A"),OR(NOT(ISNUMBER(BI5)),BJ5="Completed",BJ5="N/A"),OR(NOT(ISNUMBER(BK5)),BL5="Completed",BL5="N/A"),OR(NOT(ISNUMBER(BM5)),BN5="Completed",BN5="N/A"),OR(BO5="Completed",BO5="N/A")),"Completed",IF(((S5="In Progress")+(V5="In Progress")+(Y5="In Progress")+(AC5="In Progress")+(AI5="In Progress")+(AL5="In Progress")+(AO5="In Progress")+(AR5="In Progress")+(AW5="In Progress")+(AZ5="In Progress")+(BC5="In Progress")+(BF5="In Progress")+(P5="In Progress")+(BJ5="In Progress")+(BL5="In Progress")+(BN5="In Progress")+(BO5="In Progress"))&gt;0,"In Progress","Yet to start")))))</f>
        <v>Yet to start</v>
      </c>
      <c r="E5" s="11" t="str">
        <f>IF(A5="","",IF(F5="","All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Review","CAB"},MATCH(F5,BQ5:CF5,0))))</f>
        <v>Prod OUR</v>
      </c>
      <c r="F5" s="12">
        <f>IF(A5="","",IF(COUNT(BQ5:CF5)=0,"",MIN(BQ5:CF5)))</f>
        <v>46224</v>
      </c>
      <c r="G5" s="13">
        <f ca="1">IF(A5="","",MAX(0,IF(AND(ISNUMBER(Q5),S5&lt;&gt;"Completed",S5&lt;&gt;"N/A",Q5&lt;TODAY()),TODAY()-Q5,0),IF(AND(ISNUMBER(T5),V5&lt;&gt;"Completed",V5&lt;&gt;"N/A",T5&lt;TODAY()),TODAY()-T5,0),IF(AND(ISNUMBER(W5),Y5&lt;&gt;"Completed",Y5&lt;&gt;"N/A",W5&lt;TODAY()),TODAY()-W5,0),IF(AND(ISNUMBER(AA5),AC5&lt;&gt;"Completed",AC5&lt;&gt;"N/A",AA5&lt;TODAY()),TODAY()-AA5,0),IF(AND(ISNUMBER(AG5),AI5&lt;&gt;"Completed",AI5&lt;&gt;"N/A",AG5&lt;TODAY()),TODAY()-AG5,0),IF(AND(ISNUMBER(AJ5),AL5&lt;&gt;"Completed",AL5&lt;&gt;"N/A",AJ5&lt;TODAY()),TODAY()-AJ5,0),IF(AND(ISNUMBER(AM5),AO5&lt;&gt;"Completed",AO5&lt;&gt;"N/A",AM5&lt;TODAY()),TODAY()-AM5,0),IF(AND(ISNUMBER(AP5),AR5&lt;&gt;"Completed",AR5&lt;&gt;"N/A",AP5&lt;TODAY()),TODAY()-AP5,0),IF(AND(ISNUMBER(AU5),AW5&lt;&gt;"Completed",AW5&lt;&gt;"N/A",AU5&lt;TODAY()),TODAY()-AU5,0),IF(AND(ISNUMBER(AX5),AZ5&lt;&gt;"Completed",AZ5&lt;&gt;"N/A",AX5&lt;TODAY()),TODAY()-AX5,0),IF(AND(ISNUMBER(BA5),BC5&lt;&gt;"Completed",BC5&lt;&gt;"N/A",BA5&lt;TODAY()),TODAY()-BA5,0),IF(AND(ISNUMBER(BD5),BF5&lt;&gt;"Completed",BF5&lt;&gt;"N/A",BD5&lt;TODAY()),TODAY()-BD5,0),IF(AND(ISNUMBER(O5),P5&lt;&gt;"Completed",P5&lt;&gt;"N/A",O5&lt;TODAY()),TODAY()-O5,0),IF(AND(ISNUMBER(BM5),BN5&lt;&gt;"Completed",BN5&lt;&gt;"N/A",BM5&lt;TODAY()),TODAY()-BM5,0),IF(AND(ISNUMBER(BK5),BL5&lt;&gt;"Completed",BL5&lt;&gt;"N/A",BK5&lt;TODAY()),TODAY()-BK5,0),IF(AND(ISNUMBER(BI5),BJ5&lt;&gt;"Completed",BJ5&lt;&gt;"N/A",BI5&lt;TODAY()),TODAY()-BI5,0)))</f>
        <v>31</v>
      </c>
      <c r="H5" s="14">
        <v>46232</v>
      </c>
      <c r="I5" s="14">
        <v>46245</v>
      </c>
      <c r="J5" s="15">
        <v>46300</v>
      </c>
      <c r="K5" s="12">
        <f>IF(ISNUMBER(H5),H5,IF(ISNUMBER(M5),M5-WEEKDAY(M5,2)+1-7,""))</f>
        <v>46232</v>
      </c>
      <c r="L5" s="12">
        <f>IF(ISNUMBER(I5),I5,IF(ISNUMBER(H5),WORKDAY(H5,SprintWorkingDays-1),IF(ISNUMBER(K5),WORKDAY(K5,SprintWorkingDays-1),"")))</f>
        <v>46245</v>
      </c>
      <c r="M5" s="12">
        <f>IF(ISNUMBER(J5),J5,IF(ISNUMBER(I5),I5-IF(OR(WEEKDAY(I5,2)=2,WEEKDAY(I5,2)=4),0,IF(WEEKDAY(I5,2)=3,1,IF(WEEKDAY(I5,2)=1,4,WEEKDAY(I5,2)-4))),IF(ISNUMBER(H5),WORKDAY(H5,SprintWorkingDays-1)-IF(OR(WEEKDAY(WORKDAY(H5,SprintWorkingDays-1),2)=2,WEEKDAY(WORKDAY(H5,SprintWorkingDays-1),2)=4),0,IF(WEEKDAY(WORKDAY(H5,SprintWorkingDays-1),2)=3,1,IF(WEEKDAY(WORKDAY(H5,SprintWorkingDays-1),2)=1,4,WEEKDAY(WORKDAY(H5,SprintWorkingDays-1),2)-4))),"")))</f>
        <v>46300</v>
      </c>
      <c r="N5" s="12">
        <f>IF(NOT(ISNUMBER(K5)),"",WORKDAY(K5,ReadyOffsetWD))</f>
        <v>46231</v>
      </c>
      <c r="O5" s="12">
        <f>IF(NOT(ISNUMBER(K5)),"",WORKDAY(K5,SprintReadinessOffsetWD))</f>
        <v>46230</v>
      </c>
      <c r="P5" s="10" t="s">
        <v>32</v>
      </c>
      <c r="Q5" s="12">
        <f>IF(A5="","",IF(V5="N/A",IF(NOT(ISNUMBER(W5)),"",WORKDAY(W5,RTSKOffsetFromOUR_WD)),IF(NOT(ISNUMBER(T5)),"",WORKDAY(T5,RTSKOffsetFromOUR_WD))))</f>
        <v>46220</v>
      </c>
      <c r="R5" s="15">
        <v>46233</v>
      </c>
      <c r="S5" s="10" t="s">
        <v>32</v>
      </c>
      <c r="T5" s="12">
        <f>IF(OR(A5="",V5="N/A"),"",IF(NOT(ISNUMBER(W5)),"",WORKDAY(W5,OUROffsetFromSR_WD)))</f>
        <v>46224</v>
      </c>
      <c r="U5" s="15">
        <v>46220</v>
      </c>
      <c r="V5" s="10" t="s">
        <v>32</v>
      </c>
      <c r="W5" s="12">
        <f>IF(OR(A5="",NOT(ISNUMBER(K5))),"",WORKDAY(K5,SROffsetFromStartWD))</f>
        <v>46225</v>
      </c>
      <c r="X5" s="15">
        <v>46220</v>
      </c>
      <c r="Y5" s="10" t="s">
        <v>32</v>
      </c>
      <c r="Z5" s="10" t="s">
        <v>100</v>
      </c>
      <c r="AA5" s="12" t="str">
        <f>IF(OR(Z5="",Z5="N/A"),"",IF(ISNUMBER(Q5),Q5,""))</f>
        <v/>
      </c>
      <c r="AB5" s="15"/>
      <c r="AC5" s="10"/>
      <c r="AD5" s="10"/>
      <c r="AE5" s="10"/>
      <c r="AF5" s="10" t="str">
        <f>IF(Z5="N/A","N/A","")</f>
        <v>N/A</v>
      </c>
      <c r="AG5" s="12">
        <f>IF(NOT(ISNUMBER(Q5)),"",Q5)</f>
        <v>46220</v>
      </c>
      <c r="AH5" s="12">
        <v>46225</v>
      </c>
      <c r="AI5" s="10" t="s">
        <v>32</v>
      </c>
      <c r="AJ5" s="12">
        <f>IF(OR(AL5="N/A",NOT(ISNUMBER(T5))),"",T5)</f>
        <v>46224</v>
      </c>
      <c r="AK5" s="15">
        <v>46225</v>
      </c>
      <c r="AL5" s="10" t="s">
        <v>32</v>
      </c>
      <c r="AM5" s="12">
        <f>IF(NOT(ISNUMBER(W5)),"",W5)</f>
        <v>46225</v>
      </c>
      <c r="AN5" s="15">
        <v>46225</v>
      </c>
      <c r="AO5" s="10" t="s">
        <v>32</v>
      </c>
      <c r="AP5" s="12" t="str">
        <f>IF(OR(Z5="",Z5="N/A"),"",IF(ISNUMBER(AG5),AG5,""))</f>
        <v/>
      </c>
      <c r="AQ5" s="15"/>
      <c r="AR5" s="10"/>
      <c r="AS5" s="10"/>
      <c r="AT5" s="10"/>
      <c r="AU5" s="12">
        <f>IF(NOT(ISNUMBER(Q5)),"",Q5)</f>
        <v>46220</v>
      </c>
      <c r="AV5" s="15"/>
      <c r="AW5" s="10" t="s">
        <v>32</v>
      </c>
      <c r="AX5" s="12">
        <f>IF(OR(AZ5="N/A",NOT(ISNUMBER(T5))),"",T5)</f>
        <v>46224</v>
      </c>
      <c r="AY5" s="15"/>
      <c r="AZ5" s="10"/>
      <c r="BA5" s="12">
        <f>IF(NOT(ISNUMBER(W5)),"",W5)</f>
        <v>46225</v>
      </c>
      <c r="BB5" s="15"/>
      <c r="BC5" s="10"/>
      <c r="BD5" s="12" t="str">
        <f>IF(OR(Z5="",Z5="N/A"),"",IF(ISNUMBER(AU5),AU5,""))</f>
        <v/>
      </c>
      <c r="BE5" s="15"/>
      <c r="BF5" s="10"/>
      <c r="BG5" s="10"/>
      <c r="BH5" s="10"/>
      <c r="BI5" s="12">
        <v>46300</v>
      </c>
      <c r="BJ5" s="10"/>
      <c r="BK5" s="12">
        <f>IF(NOT(ISNUMBER(BI5)),"",IF(WEEKDAY(BI5-CodeReviewCalendarDays,2)&gt;5,BI5-CodeReviewCalendarDays-(WEEKDAY(BI5-CodeReviewCalendarDays,2)-5),BI5-CodeReviewCalendarDays))</f>
        <v>46297</v>
      </c>
      <c r="BL5" s="10"/>
      <c r="BM5" s="12">
        <f>IF(NOT(ISNUMBER(BK5)),"",IF(WEEKDAY(BK5-CodeReviewInviteCalendarDays,2)&gt;5,BK5-CodeReviewInviteCalendarDays-(WEEKDAY(BK5-CodeReviewInviteCalendarDays,2)-5),BK5-CodeReviewInviteCalendarDays))</f>
        <v>46293</v>
      </c>
      <c r="BN5" s="10"/>
      <c r="BO5" s="10"/>
      <c r="BP5" s="16" t="str">
        <f ca="1">IF(A5="","",IF(IF(AND(ISNUMBER(J5),WEEKDAY(J5,2)&lt;&gt;2,WEEKDAY(J5,2)&lt;&gt;4)," | Release must be Tuesday or Thursday","")&amp;IF(AND(ISNUMBER(H5),WEEKDAY(H5,2)&lt;&gt;1)," | Sprint Start is not a Monday - dates still calculated from the date entered","")&amp;IF(AND(A5&lt;&gt;"",NOT(ISNUMBER(H5)),NOT(ISNUMBER(J5)))," | Enter Sprint Start or Release Date","")&amp;IF(AND(ISNUMBER(F5),F5&lt;TODAY(),D5&lt;&gt;"Completed")," | One or more raise-by dates are in the past and not completed","")&amp;IF(AND(ISNUMBER(K5),K5-TODAY()&lt;SprintWarningDays,K5&gt;=TODAY(),OR(D5="Yet to start",D5="Blocked"))," | Sprint starts in under 10 days - raise access requests now","")&amp;IF(AND(ISNUMBER(BM5),BN5&lt;&gt;"Completed",BN5&lt;&gt;"N/A",BM5-TODAY()&lt;CodeReviewInviteCalendarDays)," | Code Review invite should be sent at least 4 days before Code Review","")="","",MID(IF(AND(ISNUMBER(J5),WEEKDAY(J5,2)&lt;&gt;2,WEEKDAY(J5,2)&lt;&gt;4)," | Release must be Tuesday or Thursday","")&amp;IF(AND(ISNUMBER(H5),WEEKDAY(H5,2)&lt;&gt;1)," | Sprint Start is not a Monday - dates still calculated from the date entered","")&amp;IF(AND(A5&lt;&gt;"",NOT(ISNUMBER(H5)),NOT(ISNUMBER(J5)))," | Enter Sprint Start or Release Date","")&amp;IF(AND(ISNUMBER(F5),F5&lt;TODAY(),D5&lt;&gt;"Completed")," | One or more raise-by dates are in the past and not completed","")&amp;IF(AND(ISNUMBER(K5),K5-TODAY()&lt;SprintWarningDays,K5&gt;=TODAY(),OR(D5="Yet to start",D5="Blocked"))," | Sprint starts in under 10 days - raise access requests now","")&amp;IF(AND(ISNUMBER(BM5),BN5&lt;&gt;"Completed",BN5&lt;&gt;"N/A",BM5-TODAY()&lt;CodeReviewInviteCalendarDays),"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5" s="1" t="str">
        <f>IF(AND(ISNUMBER(Q5),S5&lt;&gt;"Completed",S5&lt;&gt;"N/A"),Q5,"")</f>
        <v/>
      </c>
      <c r="BR5" s="1" t="str">
        <f>IF(AND(ISNUMBER(T5),V5&lt;&gt;"Completed",V5&lt;&gt;"N/A"),T5,"")</f>
        <v/>
      </c>
      <c r="BS5" s="1" t="str">
        <f>IF(AND(ISNUMBER(W5),Y5&lt;&gt;"Completed",Y5&lt;&gt;"N/A"),W5,"")</f>
        <v/>
      </c>
      <c r="BT5" s="1" t="str">
        <f>IF(AND(ISNUMBER(AA5),AC5&lt;&gt;"Completed",AC5&lt;&gt;"N/A"),AA5,"")</f>
        <v/>
      </c>
      <c r="BU5" s="1" t="str">
        <f>IF(AND(ISNUMBER(AG5),AI5&lt;&gt;"Completed",AI5&lt;&gt;"N/A"),AG5,"")</f>
        <v/>
      </c>
      <c r="BV5" s="1" t="str">
        <f>IF(AND(ISNUMBER(AJ5),AL5&lt;&gt;"Completed",AL5&lt;&gt;"N/A"),AJ5,"")</f>
        <v/>
      </c>
      <c r="BW5" s="1" t="str">
        <f>IF(AND(ISNUMBER(AM5),AO5&lt;&gt;"Completed",AO5&lt;&gt;"N/A"),AM5,"")</f>
        <v/>
      </c>
      <c r="BX5" s="1" t="str">
        <f>IF(AND(ISNUMBER(AP5),AR5&lt;&gt;"Completed",AR5&lt;&gt;"N/A"),AP5,"")</f>
        <v/>
      </c>
      <c r="BY5" s="1" t="str">
        <f>IF(AND(ISNUMBER(AU5),AW5&lt;&gt;"Completed",AW5&lt;&gt;"N/A"),AU5,"")</f>
        <v/>
      </c>
      <c r="BZ5" s="1">
        <f>IF(AND(ISNUMBER(AX5),AZ5&lt;&gt;"Completed",AZ5&lt;&gt;"N/A"),AX5,"")</f>
        <v>46224</v>
      </c>
      <c r="CA5" s="1">
        <f>IF(AND(ISNUMBER(BA5),BC5&lt;&gt;"Completed",BC5&lt;&gt;"N/A"),BA5,"")</f>
        <v>46225</v>
      </c>
      <c r="CB5" s="1" t="str">
        <f>IF(AND(ISNUMBER(BD5),BF5&lt;&gt;"Completed",BF5&lt;&gt;"N/A"),BD5,"")</f>
        <v/>
      </c>
      <c r="CC5" s="1" t="str">
        <f>IF(AND(ISNUMBER(O5),P5&lt;&gt;"Completed",P5&lt;&gt;"N/A"),O5,"")</f>
        <v/>
      </c>
      <c r="CD5" s="1">
        <f>IF(AND(ISNUMBER(BM5),BN5&lt;&gt;"Completed",BN5&lt;&gt;"N/A"),BM5,"")</f>
        <v>46293</v>
      </c>
      <c r="CE5" s="1">
        <f>IF(AND(ISNUMBER(BK5),BL5&lt;&gt;"Completed",BL5&lt;&gt;"N/A"),BK5,"")</f>
        <v>46297</v>
      </c>
      <c r="CF5" s="1">
        <f>IF(AND(ISNUMBER(BI5),BJ5&lt;&gt;"Completed",BJ5&lt;&gt;"N/A"),BI5,"")</f>
        <v>46300</v>
      </c>
      <c r="CG5" s="1">
        <f ca="1">IF(OR(A5="",D5="Completed"),"",IF(N(G5)&gt;0,1/(N(G5)+ROW()/100000),IF(ISNUMBER(F5),1000+F5+ROW()/100000,TODAY()+400+ROW()/100000)))</f>
        <v>3.2258012487076632E-2</v>
      </c>
    </row>
    <row r="6" spans="1:85" ht="15.95" customHeight="1">
      <c r="A6" s="10" t="s">
        <v>103</v>
      </c>
      <c r="B6" s="10" t="s">
        <v>98</v>
      </c>
      <c r="C6" s="10" t="s">
        <v>99</v>
      </c>
      <c r="D6" s="11" t="str">
        <f>IF(A6="","",IF(((S6="Blocked")+(V6="Blocked")+(Y6="Blocked")+(AC6="Blocked")+(AI6="Blocked")+(AL6="Blocked")+(AO6="Blocked")+(AR6="Blocked")+(AW6="Blocked")+(AZ6="Blocked")+(BC6="Blocked")+(BF6="Blocked")+(P6="Blocked")+(BJ6="Blocked")+(BL6="Blocked")+(BN6="Blocked")+(BO6="Blocked"))&gt;0,"Blocked",IF((ISNUMBER(Q6)+ISNUMBER(T6)+ISNUMBER(W6)+ISNUMBER(AA6)+ISNUMBER(AG6)+ISNUMBER(AJ6)+ISNUMBER(AM6)+ISNUMBER(AP6)+ISNUMBER(AU6)+ISNUMBER(AX6)+ISNUMBER(BA6)+ISNUMBER(BD6)+ISNUMBER(O6)+ISNUMBER(BI6)+ISNUMBER(BK6)+ISNUMBER(BM6))=0,"Yet to start",IF(AND(OR(NOT(ISNUMBER(Q6)),S6="Completed",S6="N/A"),OR(NOT(ISNUMBER(T6)),V6="Completed",V6="N/A"),OR(NOT(ISNUMBER(W6)),Y6="Completed",Y6="N/A"),OR(NOT(ISNUMBER(AA6)),AC6="Completed",AC6="N/A"),OR(NOT(ISNUMBER(AG6)),AI6="Completed",AI6="N/A"),OR(NOT(ISNUMBER(AJ6)),AL6="Completed",AL6="N/A"),OR(NOT(ISNUMBER(AM6)),AO6="Completed",AO6="N/A"),OR(NOT(ISNUMBER(AP6)),AR6="Completed",AR6="N/A"),OR(NOT(ISNUMBER(AU6)),AW6="Completed",AW6="N/A"),OR(NOT(ISNUMBER(AX6)),AZ6="Completed",AZ6="N/A"),OR(NOT(ISNUMBER(BA6)),BC6="Completed",BC6="N/A"),OR(NOT(ISNUMBER(BD6)),BF6="Completed",BF6="N/A"),OR(NOT(ISNUMBER(O6)),P6="Completed",P6="N/A"),OR(NOT(ISNUMBER(BI6)),BJ6="Completed",BJ6="N/A"),OR(NOT(ISNUMBER(BK6)),BL6="Completed",BL6="N/A"),OR(NOT(ISNUMBER(BM6)),BN6="Completed",BN6="N/A"),OR(BO6="Completed",BO6="N/A")),"Completed",IF(((S6="In Progress")+(V6="In Progress")+(Y6="In Progress")+(AC6="In Progress")+(AI6="In Progress")+(AL6="In Progress")+(AO6="In Progress")+(AR6="In Progress")+(AW6="In Progress")+(AZ6="In Progress")+(BC6="In Progress")+(BF6="In Progress")+(P6="In Progress")+(BJ6="In Progress")+(BL6="In Progress")+(BN6="In Progress")+(BO6="In Progress"))&gt;0,"In Progress","Yet to start")))))</f>
        <v>Yet to start</v>
      </c>
      <c r="E6" s="11" t="str">
        <f>IF(A6="","",IF(F6="","All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Review","CAB"},MATCH(F6,BQ6:CF6,0))))</f>
        <v>Prod OUR</v>
      </c>
      <c r="F6" s="12">
        <f>IF(A6="","",IF(COUNT(BQ6:CF6)=0,"",MIN(BQ6:CF6)))</f>
        <v>46224</v>
      </c>
      <c r="G6" s="13">
        <f ca="1">IF(A6="","",MAX(0,IF(AND(ISNUMBER(Q6),S6&lt;&gt;"Completed",S6&lt;&gt;"N/A",Q6&lt;TODAY()),TODAY()-Q6,0),IF(AND(ISNUMBER(T6),V6&lt;&gt;"Completed",V6&lt;&gt;"N/A",T6&lt;TODAY()),TODAY()-T6,0),IF(AND(ISNUMBER(W6),Y6&lt;&gt;"Completed",Y6&lt;&gt;"N/A",W6&lt;TODAY()),TODAY()-W6,0),IF(AND(ISNUMBER(AA6),AC6&lt;&gt;"Completed",AC6&lt;&gt;"N/A",AA6&lt;TODAY()),TODAY()-AA6,0),IF(AND(ISNUMBER(AG6),AI6&lt;&gt;"Completed",AI6&lt;&gt;"N/A",AG6&lt;TODAY()),TODAY()-AG6,0),IF(AND(ISNUMBER(AJ6),AL6&lt;&gt;"Completed",AL6&lt;&gt;"N/A",AJ6&lt;TODAY()),TODAY()-AJ6,0),IF(AND(ISNUMBER(AM6),AO6&lt;&gt;"Completed",AO6&lt;&gt;"N/A",AM6&lt;TODAY()),TODAY()-AM6,0),IF(AND(ISNUMBER(AP6),AR6&lt;&gt;"Completed",AR6&lt;&gt;"N/A",AP6&lt;TODAY()),TODAY()-AP6,0),IF(AND(ISNUMBER(AU6),AW6&lt;&gt;"Completed",AW6&lt;&gt;"N/A",AU6&lt;TODAY()),TODAY()-AU6,0),IF(AND(ISNUMBER(AX6),AZ6&lt;&gt;"Completed",AZ6&lt;&gt;"N/A",AX6&lt;TODAY()),TODAY()-AX6,0),IF(AND(ISNUMBER(BA6),BC6&lt;&gt;"Completed",BC6&lt;&gt;"N/A",BA6&lt;TODAY()),TODAY()-BA6,0),IF(AND(ISNUMBER(BD6),BF6&lt;&gt;"Completed",BF6&lt;&gt;"N/A",BD6&lt;TODAY()),TODAY()-BD6,0),IF(AND(ISNUMBER(O6),P6&lt;&gt;"Completed",P6&lt;&gt;"N/A",O6&lt;TODAY()),TODAY()-O6,0),IF(AND(ISNUMBER(BM6),BN6&lt;&gt;"Completed",BN6&lt;&gt;"N/A",BM6&lt;TODAY()),TODAY()-BM6,0),IF(AND(ISNUMBER(BK6),BL6&lt;&gt;"Completed",BL6&lt;&gt;"N/A",BK6&lt;TODAY()),TODAY()-BK6,0),IF(AND(ISNUMBER(BI6),BJ6&lt;&gt;"Completed",BJ6&lt;&gt;"N/A",BI6&lt;TODAY()),TODAY()-BI6,0)))</f>
        <v>31</v>
      </c>
      <c r="H6" s="14">
        <v>46232</v>
      </c>
      <c r="I6" s="14">
        <v>46245</v>
      </c>
      <c r="J6" s="15">
        <v>46300</v>
      </c>
      <c r="K6" s="12">
        <f>IF(ISNUMBER(H6),H6,IF(ISNUMBER(M6),M6-WEEKDAY(M6,2)+1-7,""))</f>
        <v>46232</v>
      </c>
      <c r="L6" s="12">
        <f>IF(ISNUMBER(I6),I6,IF(ISNUMBER(H6),WORKDAY(H6,SprintWorkingDays-1),IF(ISNUMBER(K6),WORKDAY(K6,SprintWorkingDays-1),"")))</f>
        <v>46245</v>
      </c>
      <c r="M6" s="12">
        <f>IF(ISNUMBER(J6),J6,IF(ISNUMBER(I6),I6-IF(OR(WEEKDAY(I6,2)=2,WEEKDAY(I6,2)=4),0,IF(WEEKDAY(I6,2)=3,1,IF(WEEKDAY(I6,2)=1,4,WEEKDAY(I6,2)-4))),IF(ISNUMBER(H6),WORKDAY(H6,SprintWorkingDays-1)-IF(OR(WEEKDAY(WORKDAY(H6,SprintWorkingDays-1),2)=2,WEEKDAY(WORKDAY(H6,SprintWorkingDays-1),2)=4),0,IF(WEEKDAY(WORKDAY(H6,SprintWorkingDays-1),2)=3,1,IF(WEEKDAY(WORKDAY(H6,SprintWorkingDays-1),2)=1,4,WEEKDAY(WORKDAY(H6,SprintWorkingDays-1),2)-4))),"")))</f>
        <v>46300</v>
      </c>
      <c r="N6" s="12">
        <f>IF(NOT(ISNUMBER(K6)),"",WORKDAY(K6,ReadyOffsetWD))</f>
        <v>46231</v>
      </c>
      <c r="O6" s="12">
        <f>IF(NOT(ISNUMBER(K6)),"",WORKDAY(K6,SprintReadinessOffsetWD))</f>
        <v>46230</v>
      </c>
      <c r="P6" s="10" t="s">
        <v>32</v>
      </c>
      <c r="Q6" s="12">
        <f>IF(A6="","",IF(V6="N/A",IF(NOT(ISNUMBER(W6)),"",WORKDAY(W6,RTSKOffsetFromOUR_WD)),IF(NOT(ISNUMBER(T6)),"",WORKDAY(T6,RTSKOffsetFromOUR_WD))))</f>
        <v>46220</v>
      </c>
      <c r="R6" s="15">
        <v>46233</v>
      </c>
      <c r="S6" s="10" t="s">
        <v>32</v>
      </c>
      <c r="T6" s="12">
        <f>IF(OR(A6="",V6="N/A"),"",IF(NOT(ISNUMBER(W6)),"",WORKDAY(W6,OUROffsetFromSR_WD)))</f>
        <v>46224</v>
      </c>
      <c r="U6" s="15">
        <v>46220</v>
      </c>
      <c r="V6" s="10" t="s">
        <v>32</v>
      </c>
      <c r="W6" s="12">
        <f>IF(OR(A6="",NOT(ISNUMBER(K6))),"",WORKDAY(K6,SROffsetFromStartWD))</f>
        <v>46225</v>
      </c>
      <c r="X6" s="15">
        <v>46220</v>
      </c>
      <c r="Y6" s="10" t="s">
        <v>32</v>
      </c>
      <c r="Z6" s="10" t="s">
        <v>100</v>
      </c>
      <c r="AA6" s="12" t="str">
        <f>IF(OR(Z6="",Z6="N/A"),"",IF(ISNUMBER(Q6),Q6,""))</f>
        <v/>
      </c>
      <c r="AB6" s="15"/>
      <c r="AC6" s="10"/>
      <c r="AD6" s="10"/>
      <c r="AE6" s="10"/>
      <c r="AF6" s="10" t="str">
        <f>IF(Z6="N/A","N/A","")</f>
        <v>N/A</v>
      </c>
      <c r="AG6" s="12">
        <f>IF(NOT(ISNUMBER(Q6)),"",Q6)</f>
        <v>46220</v>
      </c>
      <c r="AH6" s="12">
        <v>46225</v>
      </c>
      <c r="AI6" s="10" t="s">
        <v>32</v>
      </c>
      <c r="AJ6" s="12">
        <f>IF(OR(AL6="N/A",NOT(ISNUMBER(T6))),"",T6)</f>
        <v>46224</v>
      </c>
      <c r="AK6" s="15">
        <v>46225</v>
      </c>
      <c r="AL6" s="10" t="s">
        <v>32</v>
      </c>
      <c r="AM6" s="12">
        <f>IF(NOT(ISNUMBER(W6)),"",W6)</f>
        <v>46225</v>
      </c>
      <c r="AN6" s="15">
        <v>46225</v>
      </c>
      <c r="AO6" s="10" t="s">
        <v>32</v>
      </c>
      <c r="AP6" s="12" t="str">
        <f>IF(OR(Z6="",Z6="N/A"),"",IF(ISNUMBER(AG6),AG6,""))</f>
        <v/>
      </c>
      <c r="AQ6" s="15"/>
      <c r="AR6" s="10"/>
      <c r="AS6" s="10"/>
      <c r="AT6" s="10"/>
      <c r="AU6" s="12">
        <f>IF(NOT(ISNUMBER(Q6)),"",Q6)</f>
        <v>46220</v>
      </c>
      <c r="AV6" s="15"/>
      <c r="AW6" s="10" t="s">
        <v>32</v>
      </c>
      <c r="AX6" s="12">
        <f>IF(OR(AZ6="N/A",NOT(ISNUMBER(T6))),"",T6)</f>
        <v>46224</v>
      </c>
      <c r="AY6" s="15"/>
      <c r="AZ6" s="10"/>
      <c r="BA6" s="12">
        <f>IF(NOT(ISNUMBER(W6)),"",W6)</f>
        <v>46225</v>
      </c>
      <c r="BB6" s="15"/>
      <c r="BC6" s="10"/>
      <c r="BD6" s="12" t="str">
        <f>IF(OR(Z6="",Z6="N/A"),"",IF(ISNUMBER(AU6),AU6,""))</f>
        <v/>
      </c>
      <c r="BE6" s="15"/>
      <c r="BF6" s="10"/>
      <c r="BG6" s="10"/>
      <c r="BH6" s="10"/>
      <c r="BI6" s="12">
        <v>46300</v>
      </c>
      <c r="BJ6" s="10"/>
      <c r="BK6" s="12">
        <f>IF(NOT(ISNUMBER(BI6)),"",IF(WEEKDAY(BI6-CodeReviewCalendarDays,2)&gt;5,BI6-CodeReviewCalendarDays-(WEEKDAY(BI6-CodeReviewCalendarDays,2)-5),BI6-CodeReviewCalendarDays))</f>
        <v>46297</v>
      </c>
      <c r="BL6" s="10"/>
      <c r="BM6" s="12">
        <f>IF(NOT(ISNUMBER(BK6)),"",IF(WEEKDAY(BK6-CodeReviewInviteCalendarDays,2)&gt;5,BK6-CodeReviewInviteCalendarDays-(WEEKDAY(BK6-CodeReviewInviteCalendarDays,2)-5),BK6-CodeReviewInviteCalendarDays))</f>
        <v>46293</v>
      </c>
      <c r="BN6" s="10"/>
      <c r="BO6" s="10"/>
      <c r="BP6" s="16" t="str">
        <f ca="1">IF(A6="","",IF(IF(AND(ISNUMBER(J6),WEEKDAY(J6,2)&lt;&gt;2,WEEKDAY(J6,2)&lt;&gt;4)," | Release must be Tuesday or Thursday","")&amp;IF(AND(ISNUMBER(H6),WEEKDAY(H6,2)&lt;&gt;1)," | Sprint Start is not a Monday - dates still calculated from the date entered","")&amp;IF(AND(A6&lt;&gt;"",NOT(ISNUMBER(H6)),NOT(ISNUMBER(J6)))," | Enter Sprint Start or Release Date","")&amp;IF(AND(ISNUMBER(F6),F6&lt;TODAY(),D6&lt;&gt;"Completed")," | One or more raise-by dates are in the past and not completed","")&amp;IF(AND(ISNUMBER(K6),K6-TODAY()&lt;SprintWarningDays,K6&gt;=TODAY(),OR(D6="Yet to start",D6="Blocked"))," | Sprint starts in under 10 days - raise access requests now","")&amp;IF(AND(ISNUMBER(BM6),BN6&lt;&gt;"Completed",BN6&lt;&gt;"N/A",BM6-TODAY()&lt;CodeReviewInviteCalendarDays)," | Code Review invite should be sent at least 4 days before Code Review","")="","",MID(IF(AND(ISNUMBER(J6),WEEKDAY(J6,2)&lt;&gt;2,WEEKDAY(J6,2)&lt;&gt;4)," | Release must be Tuesday or Thursday","")&amp;IF(AND(ISNUMBER(H6),WEEKDAY(H6,2)&lt;&gt;1)," | Sprint Start is not a Monday - dates still calculated from the date entered","")&amp;IF(AND(A6&lt;&gt;"",NOT(ISNUMBER(H6)),NOT(ISNUMBER(J6)))," | Enter Sprint Start or Release Date","")&amp;IF(AND(ISNUMBER(F6),F6&lt;TODAY(),D6&lt;&gt;"Completed")," | One or more raise-by dates are in the past and not completed","")&amp;IF(AND(ISNUMBER(K6),K6-TODAY()&lt;SprintWarningDays,K6&gt;=TODAY(),OR(D6="Yet to start",D6="Blocked"))," | Sprint starts in under 10 days - raise access requests now","")&amp;IF(AND(ISNUMBER(BM6),BN6&lt;&gt;"Completed",BN6&lt;&gt;"N/A",BM6-TODAY()&lt;CodeReviewInviteCalendarDays),"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6" s="1" t="str">
        <f>IF(AND(ISNUMBER(Q6),S6&lt;&gt;"Completed",S6&lt;&gt;"N/A"),Q6,"")</f>
        <v/>
      </c>
      <c r="BR6" s="1" t="str">
        <f>IF(AND(ISNUMBER(T6),V6&lt;&gt;"Completed",V6&lt;&gt;"N/A"),T6,"")</f>
        <v/>
      </c>
      <c r="BS6" s="1" t="str">
        <f>IF(AND(ISNUMBER(W6),Y6&lt;&gt;"Completed",Y6&lt;&gt;"N/A"),W6,"")</f>
        <v/>
      </c>
      <c r="BT6" s="1" t="str">
        <f>IF(AND(ISNUMBER(AA6),AC6&lt;&gt;"Completed",AC6&lt;&gt;"N/A"),AA6,"")</f>
        <v/>
      </c>
      <c r="BU6" s="1" t="str">
        <f>IF(AND(ISNUMBER(AG6),AI6&lt;&gt;"Completed",AI6&lt;&gt;"N/A"),AG6,"")</f>
        <v/>
      </c>
      <c r="BV6" s="1" t="str">
        <f>IF(AND(ISNUMBER(AJ6),AL6&lt;&gt;"Completed",AL6&lt;&gt;"N/A"),AJ6,"")</f>
        <v/>
      </c>
      <c r="BW6" s="1" t="str">
        <f>IF(AND(ISNUMBER(AM6),AO6&lt;&gt;"Completed",AO6&lt;&gt;"N/A"),AM6,"")</f>
        <v/>
      </c>
      <c r="BX6" s="1" t="str">
        <f>IF(AND(ISNUMBER(AP6),AR6&lt;&gt;"Completed",AR6&lt;&gt;"N/A"),AP6,"")</f>
        <v/>
      </c>
      <c r="BY6" s="1" t="str">
        <f>IF(AND(ISNUMBER(AU6),AW6&lt;&gt;"Completed",AW6&lt;&gt;"N/A"),AU6,"")</f>
        <v/>
      </c>
      <c r="BZ6" s="1">
        <f>IF(AND(ISNUMBER(AX6),AZ6&lt;&gt;"Completed",AZ6&lt;&gt;"N/A"),AX6,"")</f>
        <v>46224</v>
      </c>
      <c r="CA6" s="1">
        <f>IF(AND(ISNUMBER(BA6),BC6&lt;&gt;"Completed",BC6&lt;&gt;"N/A"),BA6,"")</f>
        <v>46225</v>
      </c>
      <c r="CB6" s="1" t="str">
        <f>IF(AND(ISNUMBER(BD6),BF6&lt;&gt;"Completed",BF6&lt;&gt;"N/A"),BD6,"")</f>
        <v/>
      </c>
      <c r="CC6" s="1" t="str">
        <f>IF(AND(ISNUMBER(O6),P6&lt;&gt;"Completed",P6&lt;&gt;"N/A"),O6,"")</f>
        <v/>
      </c>
      <c r="CD6" s="1">
        <f>IF(AND(ISNUMBER(BM6),BN6&lt;&gt;"Completed",BN6&lt;&gt;"N/A"),BM6,"")</f>
        <v>46293</v>
      </c>
      <c r="CE6" s="1">
        <f>IF(AND(ISNUMBER(BK6),BL6&lt;&gt;"Completed",BL6&lt;&gt;"N/A"),BK6,"")</f>
        <v>46297</v>
      </c>
      <c r="CF6" s="1">
        <f>IF(AND(ISNUMBER(BI6),BJ6&lt;&gt;"Completed",BJ6&lt;&gt;"N/A"),BI6,"")</f>
        <v>46300</v>
      </c>
      <c r="CG6" s="1">
        <f ca="1">IF(OR(A6="",D6="Completed"),"",IF(N(G6)&gt;0,1/(N(G6)+ROW()/100000),IF(ISNUMBER(F6),1000+F6+ROW()/100000,TODAY()+400+ROW()/100000)))</f>
        <v>3.2258002081286291E-2</v>
      </c>
    </row>
    <row r="7" spans="1:85" ht="15.95" customHeight="1">
      <c r="A7" s="10" t="s">
        <v>104</v>
      </c>
      <c r="B7" s="10" t="s">
        <v>98</v>
      </c>
      <c r="C7" s="10" t="s">
        <v>99</v>
      </c>
      <c r="D7" s="11" t="str">
        <f>IF(A7="","",IF(((S7="Blocked")+(V7="Blocked")+(Y7="Blocked")+(AC7="Blocked")+(AI7="Blocked")+(AL7="Blocked")+(AO7="Blocked")+(AR7="Blocked")+(AW7="Blocked")+(AZ7="Blocked")+(BC7="Blocked")+(BF7="Blocked")+(P7="Blocked")+(BJ7="Blocked")+(BL7="Blocked")+(BN7="Blocked")+(BO7="Blocked"))&gt;0,"Blocked",IF((ISNUMBER(Q7)+ISNUMBER(T7)+ISNUMBER(W7)+ISNUMBER(AA7)+ISNUMBER(AG7)+ISNUMBER(AJ7)+ISNUMBER(AM7)+ISNUMBER(AP7)+ISNUMBER(AU7)+ISNUMBER(AX7)+ISNUMBER(BA7)+ISNUMBER(BD7)+ISNUMBER(O7)+ISNUMBER(BI7)+ISNUMBER(BK7)+ISNUMBER(BM7))=0,"Yet to start",IF(AND(OR(NOT(ISNUMBER(Q7)),S7="Completed",S7="N/A"),OR(NOT(ISNUMBER(T7)),V7="Completed",V7="N/A"),OR(NOT(ISNUMBER(W7)),Y7="Completed",Y7="N/A"),OR(NOT(ISNUMBER(AA7)),AC7="Completed",AC7="N/A"),OR(NOT(ISNUMBER(AG7)),AI7="Completed",AI7="N/A"),OR(NOT(ISNUMBER(AJ7)),AL7="Completed",AL7="N/A"),OR(NOT(ISNUMBER(AM7)),AO7="Completed",AO7="N/A"),OR(NOT(ISNUMBER(AP7)),AR7="Completed",AR7="N/A"),OR(NOT(ISNUMBER(AU7)),AW7="Completed",AW7="N/A"),OR(NOT(ISNUMBER(AX7)),AZ7="Completed",AZ7="N/A"),OR(NOT(ISNUMBER(BA7)),BC7="Completed",BC7="N/A"),OR(NOT(ISNUMBER(BD7)),BF7="Completed",BF7="N/A"),OR(NOT(ISNUMBER(O7)),P7="Completed",P7="N/A"),OR(NOT(ISNUMBER(BI7)),BJ7="Completed",BJ7="N/A"),OR(NOT(ISNUMBER(BK7)),BL7="Completed",BL7="N/A"),OR(NOT(ISNUMBER(BM7)),BN7="Completed",BN7="N/A"),OR(BO7="Completed",BO7="N/A")),"Completed",IF(((S7="In Progress")+(V7="In Progress")+(Y7="In Progress")+(AC7="In Progress")+(AI7="In Progress")+(AL7="In Progress")+(AO7="In Progress")+(AR7="In Progress")+(AW7="In Progress")+(AZ7="In Progress")+(BC7="In Progress")+(BF7="In Progress")+(P7="In Progress")+(BJ7="In Progress")+(BL7="In Progress")+(BN7="In Progress")+(BO7="In Progress"))&gt;0,"In Progress","Yet to start")))))</f>
        <v>Yet to start</v>
      </c>
      <c r="E7" s="11" t="str">
        <f>IF(A7="","",IF(F7="","All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Review","CAB"},MATCH(F7,BQ7:CF7,0))))</f>
        <v>Prod OUR</v>
      </c>
      <c r="F7" s="12">
        <f>IF(A7="","",IF(COUNT(BQ7:CF7)=0,"",MIN(BQ7:CF7)))</f>
        <v>46224</v>
      </c>
      <c r="G7" s="13">
        <f ca="1">IF(A7="","",MAX(0,IF(AND(ISNUMBER(Q7),S7&lt;&gt;"Completed",S7&lt;&gt;"N/A",Q7&lt;TODAY()),TODAY()-Q7,0),IF(AND(ISNUMBER(T7),V7&lt;&gt;"Completed",V7&lt;&gt;"N/A",T7&lt;TODAY()),TODAY()-T7,0),IF(AND(ISNUMBER(W7),Y7&lt;&gt;"Completed",Y7&lt;&gt;"N/A",W7&lt;TODAY()),TODAY()-W7,0),IF(AND(ISNUMBER(AA7),AC7&lt;&gt;"Completed",AC7&lt;&gt;"N/A",AA7&lt;TODAY()),TODAY()-AA7,0),IF(AND(ISNUMBER(AG7),AI7&lt;&gt;"Completed",AI7&lt;&gt;"N/A",AG7&lt;TODAY()),TODAY()-AG7,0),IF(AND(ISNUMBER(AJ7),AL7&lt;&gt;"Completed",AL7&lt;&gt;"N/A",AJ7&lt;TODAY()),TODAY()-AJ7,0),IF(AND(ISNUMBER(AM7),AO7&lt;&gt;"Completed",AO7&lt;&gt;"N/A",AM7&lt;TODAY()),TODAY()-AM7,0),IF(AND(ISNUMBER(AP7),AR7&lt;&gt;"Completed",AR7&lt;&gt;"N/A",AP7&lt;TODAY()),TODAY()-AP7,0),IF(AND(ISNUMBER(AU7),AW7&lt;&gt;"Completed",AW7&lt;&gt;"N/A",AU7&lt;TODAY()),TODAY()-AU7,0),IF(AND(ISNUMBER(AX7),AZ7&lt;&gt;"Completed",AZ7&lt;&gt;"N/A",AX7&lt;TODAY()),TODAY()-AX7,0),IF(AND(ISNUMBER(BA7),BC7&lt;&gt;"Completed",BC7&lt;&gt;"N/A",BA7&lt;TODAY()),TODAY()-BA7,0),IF(AND(ISNUMBER(BD7),BF7&lt;&gt;"Completed",BF7&lt;&gt;"N/A",BD7&lt;TODAY()),TODAY()-BD7,0),IF(AND(ISNUMBER(O7),P7&lt;&gt;"Completed",P7&lt;&gt;"N/A",O7&lt;TODAY()),TODAY()-O7,0),IF(AND(ISNUMBER(BM7),BN7&lt;&gt;"Completed",BN7&lt;&gt;"N/A",BM7&lt;TODAY()),TODAY()-BM7,0),IF(AND(ISNUMBER(BK7),BL7&lt;&gt;"Completed",BL7&lt;&gt;"N/A",BK7&lt;TODAY()),TODAY()-BK7,0),IF(AND(ISNUMBER(BI7),BJ7&lt;&gt;"Completed",BJ7&lt;&gt;"N/A",BI7&lt;TODAY()),TODAY()-BI7,0)))</f>
        <v>31</v>
      </c>
      <c r="H7" s="14">
        <v>46232</v>
      </c>
      <c r="I7" s="14">
        <v>46245</v>
      </c>
      <c r="J7" s="15">
        <v>46300</v>
      </c>
      <c r="K7" s="12">
        <f>IF(ISNUMBER(H7),H7,IF(ISNUMBER(M7),M7-WEEKDAY(M7,2)+1-7,""))</f>
        <v>46232</v>
      </c>
      <c r="L7" s="12">
        <f>IF(ISNUMBER(I7),I7,IF(ISNUMBER(H7),WORKDAY(H7,SprintWorkingDays-1),IF(ISNUMBER(K7),WORKDAY(K7,SprintWorkingDays-1),"")))</f>
        <v>46245</v>
      </c>
      <c r="M7" s="12">
        <f>IF(ISNUMBER(J7),J7,IF(ISNUMBER(I7),I7-IF(OR(WEEKDAY(I7,2)=2,WEEKDAY(I7,2)=4),0,IF(WEEKDAY(I7,2)=3,1,IF(WEEKDAY(I7,2)=1,4,WEEKDAY(I7,2)-4))),IF(ISNUMBER(H7),WORKDAY(H7,SprintWorkingDays-1)-IF(OR(WEEKDAY(WORKDAY(H7,SprintWorkingDays-1),2)=2,WEEKDAY(WORKDAY(H7,SprintWorkingDays-1),2)=4),0,IF(WEEKDAY(WORKDAY(H7,SprintWorkingDays-1),2)=3,1,IF(WEEKDAY(WORKDAY(H7,SprintWorkingDays-1),2)=1,4,WEEKDAY(WORKDAY(H7,SprintWorkingDays-1),2)-4))),"")))</f>
        <v>46300</v>
      </c>
      <c r="N7" s="12">
        <f>IF(NOT(ISNUMBER(K7)),"",WORKDAY(K7,ReadyOffsetWD))</f>
        <v>46231</v>
      </c>
      <c r="O7" s="12">
        <f>IF(NOT(ISNUMBER(K7)),"",WORKDAY(K7,SprintReadinessOffsetWD))</f>
        <v>46230</v>
      </c>
      <c r="P7" s="10" t="s">
        <v>32</v>
      </c>
      <c r="Q7" s="12">
        <f>IF(A7="","",IF(V7="N/A",IF(NOT(ISNUMBER(W7)),"",WORKDAY(W7,RTSKOffsetFromOUR_WD)),IF(NOT(ISNUMBER(T7)),"",WORKDAY(T7,RTSKOffsetFromOUR_WD))))</f>
        <v>46220</v>
      </c>
      <c r="R7" s="15">
        <v>46245</v>
      </c>
      <c r="S7" s="10" t="s">
        <v>32</v>
      </c>
      <c r="T7" s="12">
        <f>IF(OR(A7="",V7="N/A"),"",IF(NOT(ISNUMBER(W7)),"",WORKDAY(W7,OUROffsetFromSR_WD)))</f>
        <v>46224</v>
      </c>
      <c r="U7" s="15">
        <v>46245</v>
      </c>
      <c r="V7" s="10" t="s">
        <v>32</v>
      </c>
      <c r="W7" s="12">
        <f>IF(OR(A7="",NOT(ISNUMBER(K7))),"",WORKDAY(K7,SROffsetFromStartWD))</f>
        <v>46225</v>
      </c>
      <c r="X7" s="15">
        <v>46245</v>
      </c>
      <c r="Y7" s="10" t="s">
        <v>32</v>
      </c>
      <c r="Z7" s="10" t="s">
        <v>100</v>
      </c>
      <c r="AA7" s="12" t="str">
        <f>IF(OR(Z7="",Z7="N/A"),"",IF(ISNUMBER(Q7),Q7,""))</f>
        <v/>
      </c>
      <c r="AB7" s="15">
        <v>46245</v>
      </c>
      <c r="AC7" s="10" t="s">
        <v>32</v>
      </c>
      <c r="AD7" s="10" t="s">
        <v>100</v>
      </c>
      <c r="AE7" s="10" t="s">
        <v>105</v>
      </c>
      <c r="AF7" s="10" t="s">
        <v>100</v>
      </c>
      <c r="AG7" s="12">
        <f>IF(NOT(ISNUMBER(Q7)),"",Q7)</f>
        <v>46220</v>
      </c>
      <c r="AH7" s="12">
        <v>46225</v>
      </c>
      <c r="AI7" s="10" t="s">
        <v>32</v>
      </c>
      <c r="AJ7" s="12">
        <f>IF(OR(AL7="N/A",NOT(ISNUMBER(T7))),"",T7)</f>
        <v>46224</v>
      </c>
      <c r="AK7" s="15">
        <v>46225</v>
      </c>
      <c r="AL7" s="10" t="s">
        <v>32</v>
      </c>
      <c r="AM7" s="12">
        <f>IF(NOT(ISNUMBER(W7)),"",W7)</f>
        <v>46225</v>
      </c>
      <c r="AN7" s="15">
        <v>46225</v>
      </c>
      <c r="AO7" s="10" t="s">
        <v>32</v>
      </c>
      <c r="AP7" s="12" t="str">
        <f>IF(OR(Z7="",Z7="N/A"),"",IF(ISNUMBER(AG7),AG7,""))</f>
        <v/>
      </c>
      <c r="AQ7" s="15"/>
      <c r="AR7" s="10"/>
      <c r="AS7" s="10"/>
      <c r="AT7" s="10"/>
      <c r="AU7" s="12">
        <f>IF(NOT(ISNUMBER(Q7)),"",Q7)</f>
        <v>46220</v>
      </c>
      <c r="AV7" s="15"/>
      <c r="AW7" s="10" t="s">
        <v>32</v>
      </c>
      <c r="AX7" s="12">
        <f>IF(OR(AZ7="N/A",NOT(ISNUMBER(T7))),"",T7)</f>
        <v>46224</v>
      </c>
      <c r="AY7" s="15"/>
      <c r="AZ7" s="10"/>
      <c r="BA7" s="12">
        <f>IF(NOT(ISNUMBER(W7)),"",W7)</f>
        <v>46225</v>
      </c>
      <c r="BB7" s="15"/>
      <c r="BC7" s="10"/>
      <c r="BD7" s="12" t="str">
        <f>IF(OR(Z7="",Z7="N/A"),"",IF(ISNUMBER(AU7),AU7,""))</f>
        <v/>
      </c>
      <c r="BE7" s="15"/>
      <c r="BF7" s="10"/>
      <c r="BG7" s="10"/>
      <c r="BH7" s="10"/>
      <c r="BI7" s="12">
        <v>46300</v>
      </c>
      <c r="BJ7" s="10"/>
      <c r="BK7" s="12">
        <f>IF(NOT(ISNUMBER(BI7)),"",IF(WEEKDAY(BI7-CodeReviewCalendarDays,2)&gt;5,BI7-CodeReviewCalendarDays-(WEEKDAY(BI7-CodeReviewCalendarDays,2)-5),BI7-CodeReviewCalendarDays))</f>
        <v>46297</v>
      </c>
      <c r="BL7" s="10"/>
      <c r="BM7" s="12">
        <f>IF(NOT(ISNUMBER(BK7)),"",IF(WEEKDAY(BK7-CodeReviewInviteCalendarDays,2)&gt;5,BK7-CodeReviewInviteCalendarDays-(WEEKDAY(BK7-CodeReviewInviteCalendarDays,2)-5),BK7-CodeReviewInviteCalendarDays))</f>
        <v>46293</v>
      </c>
      <c r="BN7" s="10"/>
      <c r="BO7" s="10"/>
      <c r="BP7" s="16" t="str">
        <f ca="1">IF(A7="","",IF(IF(AND(ISNUMBER(J7),WEEKDAY(J7,2)&lt;&gt;2,WEEKDAY(J7,2)&lt;&gt;4)," | Release must be Tuesday or Thursday","")&amp;IF(AND(ISNUMBER(H7),WEEKDAY(H7,2)&lt;&gt;1)," | Sprint Start is not a Monday - dates still calculated from the date entered","")&amp;IF(AND(A7&lt;&gt;"",NOT(ISNUMBER(H7)),NOT(ISNUMBER(J7)))," | Enter Sprint Start or Release Date","")&amp;IF(AND(ISNUMBER(F7),F7&lt;TODAY(),D7&lt;&gt;"Completed")," | One or more raise-by dates are in the past and not completed","")&amp;IF(AND(ISNUMBER(K7),K7-TODAY()&lt;SprintWarningDays,K7&gt;=TODAY(),OR(D7="Yet to start",D7="Blocked"))," | Sprint starts in under 10 days - raise access requests now","")&amp;IF(AND(ISNUMBER(BM7),BN7&lt;&gt;"Completed",BN7&lt;&gt;"N/A",BM7-TODAY()&lt;CodeReviewInviteCalendarDays)," | Code Review invite should be sent at least 4 days before Code Review","")="","",MID(IF(AND(ISNUMBER(J7),WEEKDAY(J7,2)&lt;&gt;2,WEEKDAY(J7,2)&lt;&gt;4)," | Release must be Tuesday or Thursday","")&amp;IF(AND(ISNUMBER(H7),WEEKDAY(H7,2)&lt;&gt;1)," | Sprint Start is not a Monday - dates still calculated from the date entered","")&amp;IF(AND(A7&lt;&gt;"",NOT(ISNUMBER(H7)),NOT(ISNUMBER(J7)))," | Enter Sprint Start or Release Date","")&amp;IF(AND(ISNUMBER(F7),F7&lt;TODAY(),D7&lt;&gt;"Completed")," | One or more raise-by dates are in the past and not completed","")&amp;IF(AND(ISNUMBER(K7),K7-TODAY()&lt;SprintWarningDays,K7&gt;=TODAY(),OR(D7="Yet to start",D7="Blocked"))," | Sprint starts in under 10 days - raise access requests now","")&amp;IF(AND(ISNUMBER(BM7),BN7&lt;&gt;"Completed",BN7&lt;&gt;"N/A",BM7-TODAY()&lt;CodeReviewInviteCalendarDays),"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7" s="1" t="str">
        <f>IF(AND(ISNUMBER(Q7),S7&lt;&gt;"Completed",S7&lt;&gt;"N/A"),Q7,"")</f>
        <v/>
      </c>
      <c r="BR7" s="1" t="str">
        <f>IF(AND(ISNUMBER(T7),V7&lt;&gt;"Completed",V7&lt;&gt;"N/A"),T7,"")</f>
        <v/>
      </c>
      <c r="BS7" s="1" t="str">
        <f>IF(AND(ISNUMBER(W7),Y7&lt;&gt;"Completed",Y7&lt;&gt;"N/A"),W7,"")</f>
        <v/>
      </c>
      <c r="BT7" s="1" t="str">
        <f>IF(AND(ISNUMBER(AA7),AC7&lt;&gt;"Completed",AC7&lt;&gt;"N/A"),AA7,"")</f>
        <v/>
      </c>
      <c r="BU7" s="1" t="str">
        <f>IF(AND(ISNUMBER(AG7),AI7&lt;&gt;"Completed",AI7&lt;&gt;"N/A"),AG7,"")</f>
        <v/>
      </c>
      <c r="BV7" s="1" t="str">
        <f>IF(AND(ISNUMBER(AJ7),AL7&lt;&gt;"Completed",AL7&lt;&gt;"N/A"),AJ7,"")</f>
        <v/>
      </c>
      <c r="BW7" s="1" t="str">
        <f>IF(AND(ISNUMBER(AM7),AO7&lt;&gt;"Completed",AO7&lt;&gt;"N/A"),AM7,"")</f>
        <v/>
      </c>
      <c r="BX7" s="1" t="str">
        <f>IF(AND(ISNUMBER(AP7),AR7&lt;&gt;"Completed",AR7&lt;&gt;"N/A"),AP7,"")</f>
        <v/>
      </c>
      <c r="BY7" s="1" t="str">
        <f>IF(AND(ISNUMBER(AU7),AW7&lt;&gt;"Completed",AW7&lt;&gt;"N/A"),AU7,"")</f>
        <v/>
      </c>
      <c r="BZ7" s="1">
        <f>IF(AND(ISNUMBER(AX7),AZ7&lt;&gt;"Completed",AZ7&lt;&gt;"N/A"),AX7,"")</f>
        <v>46224</v>
      </c>
      <c r="CA7" s="1">
        <f>IF(AND(ISNUMBER(BA7),BC7&lt;&gt;"Completed",BC7&lt;&gt;"N/A"),BA7,"")</f>
        <v>46225</v>
      </c>
      <c r="CB7" s="1" t="str">
        <f>IF(AND(ISNUMBER(BD7),BF7&lt;&gt;"Completed",BF7&lt;&gt;"N/A"),BD7,"")</f>
        <v/>
      </c>
      <c r="CC7" s="1" t="str">
        <f>IF(AND(ISNUMBER(O7),P7&lt;&gt;"Completed",P7&lt;&gt;"N/A"),O7,"")</f>
        <v/>
      </c>
      <c r="CD7" s="1">
        <f>IF(AND(ISNUMBER(BM7),BN7&lt;&gt;"Completed",BN7&lt;&gt;"N/A"),BM7,"")</f>
        <v>46293</v>
      </c>
      <c r="CE7" s="1">
        <f>IF(AND(ISNUMBER(BK7),BL7&lt;&gt;"Completed",BL7&lt;&gt;"N/A"),BK7,"")</f>
        <v>46297</v>
      </c>
      <c r="CF7" s="1">
        <f>IF(AND(ISNUMBER(BI7),BJ7&lt;&gt;"Completed",BJ7&lt;&gt;"N/A"),BI7,"")</f>
        <v>46300</v>
      </c>
      <c r="CG7" s="1">
        <f ca="1">IF(OR(A7="",D7="Completed"),"",IF(N(G7)&gt;0,1/(N(G7)+ROW()/100000),IF(ISNUMBER(F7),1000+F7+ROW()/100000,TODAY()+400+ROW()/100000)))</f>
        <v>3.2257991675502667E-2</v>
      </c>
    </row>
    <row r="8" spans="1:85" ht="15.95" customHeight="1">
      <c r="A8" s="10" t="s">
        <v>106</v>
      </c>
      <c r="B8" s="10" t="s">
        <v>98</v>
      </c>
      <c r="C8" s="10" t="s">
        <v>99</v>
      </c>
      <c r="D8" s="11" t="str">
        <f>IF(A8="","",IF(((S8="Blocked")+(V8="Blocked")+(Y8="Blocked")+(AC8="Blocked")+(AI8="Blocked")+(AL8="Blocked")+(AO8="Blocked")+(AR8="Blocked")+(AW8="Blocked")+(AZ8="Blocked")+(BC8="Blocked")+(BF8="Blocked")+(P8="Blocked")+(BJ8="Blocked")+(BL8="Blocked")+(BN8="Blocked")+(BO8="Blocked"))&gt;0,"Blocked",IF((ISNUMBER(Q8)+ISNUMBER(T8)+ISNUMBER(W8)+ISNUMBER(AA8)+ISNUMBER(AG8)+ISNUMBER(AJ8)+ISNUMBER(AM8)+ISNUMBER(AP8)+ISNUMBER(AU8)+ISNUMBER(AX8)+ISNUMBER(BA8)+ISNUMBER(BD8)+ISNUMBER(O8)+ISNUMBER(BI8)+ISNUMBER(BK8)+ISNUMBER(BM8))=0,"Yet to start",IF(AND(OR(NOT(ISNUMBER(Q8)),S8="Completed",S8="N/A"),OR(NOT(ISNUMBER(T8)),V8="Completed",V8="N/A"),OR(NOT(ISNUMBER(W8)),Y8="Completed",Y8="N/A"),OR(NOT(ISNUMBER(AA8)),AC8="Completed",AC8="N/A"),OR(NOT(ISNUMBER(AG8)),AI8="Completed",AI8="N/A"),OR(NOT(ISNUMBER(AJ8)),AL8="Completed",AL8="N/A"),OR(NOT(ISNUMBER(AM8)),AO8="Completed",AO8="N/A"),OR(NOT(ISNUMBER(AP8)),AR8="Completed",AR8="N/A"),OR(NOT(ISNUMBER(AU8)),AW8="Completed",AW8="N/A"),OR(NOT(ISNUMBER(AX8)),AZ8="Completed",AZ8="N/A"),OR(NOT(ISNUMBER(BA8)),BC8="Completed",BC8="N/A"),OR(NOT(ISNUMBER(BD8)),BF8="Completed",BF8="N/A"),OR(NOT(ISNUMBER(O8)),P8="Completed",P8="N/A"),OR(NOT(ISNUMBER(BI8)),BJ8="Completed",BJ8="N/A"),OR(NOT(ISNUMBER(BK8)),BL8="Completed",BL8="N/A"),OR(NOT(ISNUMBER(BM8)),BN8="Completed",BN8="N/A"),OR(BO8="Completed",BO8="N/A")),"Completed",IF(((S8="In Progress")+(V8="In Progress")+(Y8="In Progress")+(AC8="In Progress")+(AI8="In Progress")+(AL8="In Progress")+(AO8="In Progress")+(AR8="In Progress")+(AW8="In Progress")+(AZ8="In Progress")+(BC8="In Progress")+(BF8="In Progress")+(P8="In Progress")+(BJ8="In Progress")+(BL8="In Progress")+(BN8="In Progress")+(BO8="In Progress"))&gt;0,"In Progress","Yet to start")))))</f>
        <v>In Progress</v>
      </c>
      <c r="E8" s="11" t="str">
        <f>IF(A8="","",IF(F8="","All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Review","CAB"},MATCH(F8,BQ8:CF8,0))))</f>
        <v>Dev R-Task</v>
      </c>
      <c r="F8" s="12">
        <f>IF(A8="","",IF(COUNT(BQ8:CF8)=0,"",MIN(BQ8:CF8)))</f>
        <v>46220</v>
      </c>
      <c r="G8" s="13">
        <f ca="1">IF(A8="","",MAX(0,IF(AND(ISNUMBER(Q8),S8&lt;&gt;"Completed",S8&lt;&gt;"N/A",Q8&lt;TODAY()),TODAY()-Q8,0),IF(AND(ISNUMBER(T8),V8&lt;&gt;"Completed",V8&lt;&gt;"N/A",T8&lt;TODAY()),TODAY()-T8,0),IF(AND(ISNUMBER(W8),Y8&lt;&gt;"Completed",Y8&lt;&gt;"N/A",W8&lt;TODAY()),TODAY()-W8,0),IF(AND(ISNUMBER(AA8),AC8&lt;&gt;"Completed",AC8&lt;&gt;"N/A",AA8&lt;TODAY()),TODAY()-AA8,0),IF(AND(ISNUMBER(AG8),AI8&lt;&gt;"Completed",AI8&lt;&gt;"N/A",AG8&lt;TODAY()),TODAY()-AG8,0),IF(AND(ISNUMBER(AJ8),AL8&lt;&gt;"Completed",AL8&lt;&gt;"N/A",AJ8&lt;TODAY()),TODAY()-AJ8,0),IF(AND(ISNUMBER(AM8),AO8&lt;&gt;"Completed",AO8&lt;&gt;"N/A",AM8&lt;TODAY()),TODAY()-AM8,0),IF(AND(ISNUMBER(AP8),AR8&lt;&gt;"Completed",AR8&lt;&gt;"N/A",AP8&lt;TODAY()),TODAY()-AP8,0),IF(AND(ISNUMBER(AU8),AW8&lt;&gt;"Completed",AW8&lt;&gt;"N/A",AU8&lt;TODAY()),TODAY()-AU8,0),IF(AND(ISNUMBER(AX8),AZ8&lt;&gt;"Completed",AZ8&lt;&gt;"N/A",AX8&lt;TODAY()),TODAY()-AX8,0),IF(AND(ISNUMBER(BA8),BC8&lt;&gt;"Completed",BC8&lt;&gt;"N/A",BA8&lt;TODAY()),TODAY()-BA8,0),IF(AND(ISNUMBER(BD8),BF8&lt;&gt;"Completed",BF8&lt;&gt;"N/A",BD8&lt;TODAY()),TODAY()-BD8,0),IF(AND(ISNUMBER(O8),P8&lt;&gt;"Completed",P8&lt;&gt;"N/A",O8&lt;TODAY()),TODAY()-O8,0),IF(AND(ISNUMBER(BM8),BN8&lt;&gt;"Completed",BN8&lt;&gt;"N/A",BM8&lt;TODAY()),TODAY()-BM8,0),IF(AND(ISNUMBER(BK8),BL8&lt;&gt;"Completed",BL8&lt;&gt;"N/A",BK8&lt;TODAY()),TODAY()-BK8,0),IF(AND(ISNUMBER(BI8),BJ8&lt;&gt;"Completed",BJ8&lt;&gt;"N/A",BI8&lt;TODAY()),TODAY()-BI8,0)))</f>
        <v>35</v>
      </c>
      <c r="H8" s="14">
        <v>46232</v>
      </c>
      <c r="I8" s="14">
        <v>46245</v>
      </c>
      <c r="J8" s="15">
        <v>46300</v>
      </c>
      <c r="K8" s="12">
        <f>IF(ISNUMBER(H8),H8,IF(ISNUMBER(M8),M8-WEEKDAY(M8,2)+1-7,""))</f>
        <v>46232</v>
      </c>
      <c r="L8" s="12">
        <f>IF(ISNUMBER(I8),I8,IF(ISNUMBER(H8),WORKDAY(H8,SprintWorkingDays-1),IF(ISNUMBER(K8),WORKDAY(K8,SprintWorkingDays-1),"")))</f>
        <v>46245</v>
      </c>
      <c r="M8" s="12">
        <f>IF(ISNUMBER(J8),J8,IF(ISNUMBER(I8),I8-IF(OR(WEEKDAY(I8,2)=2,WEEKDAY(I8,2)=4),0,IF(WEEKDAY(I8,2)=3,1,IF(WEEKDAY(I8,2)=1,4,WEEKDAY(I8,2)-4))),IF(ISNUMBER(H8),WORKDAY(H8,SprintWorkingDays-1)-IF(OR(WEEKDAY(WORKDAY(H8,SprintWorkingDays-1),2)=2,WEEKDAY(WORKDAY(H8,SprintWorkingDays-1),2)=4),0,IF(WEEKDAY(WORKDAY(H8,SprintWorkingDays-1),2)=3,1,IF(WEEKDAY(WORKDAY(H8,SprintWorkingDays-1),2)=1,4,WEEKDAY(WORKDAY(H8,SprintWorkingDays-1),2)-4))),"")))</f>
        <v>46300</v>
      </c>
      <c r="N8" s="12">
        <f>IF(NOT(ISNUMBER(K8)),"",WORKDAY(K8,ReadyOffsetWD))</f>
        <v>46231</v>
      </c>
      <c r="O8" s="12">
        <f>IF(NOT(ISNUMBER(K8)),"",WORKDAY(K8,SprintReadinessOffsetWD))</f>
        <v>46230</v>
      </c>
      <c r="P8" s="10" t="s">
        <v>32</v>
      </c>
      <c r="Q8" s="12">
        <f>IF(A8="","",IF(V8="N/A",IF(NOT(ISNUMBER(W8)),"",WORKDAY(W8,RTSKOffsetFromOUR_WD)),IF(NOT(ISNUMBER(T8)),"",WORKDAY(T8,RTSKOffsetFromOUR_WD))))</f>
        <v>46220</v>
      </c>
      <c r="R8" s="15"/>
      <c r="S8" s="10" t="s">
        <v>107</v>
      </c>
      <c r="T8" s="12">
        <f>IF(OR(A8="",V8="N/A"),"",IF(NOT(ISNUMBER(W8)),"",WORKDAY(W8,OUROffsetFromSR_WD)))</f>
        <v>46224</v>
      </c>
      <c r="U8" s="15"/>
      <c r="V8" s="10" t="s">
        <v>107</v>
      </c>
      <c r="W8" s="12">
        <f>IF(OR(A8="",NOT(ISNUMBER(K8))),"",WORKDAY(K8,SROffsetFromStartWD))</f>
        <v>46225</v>
      </c>
      <c r="X8" s="15"/>
      <c r="Y8" s="10" t="s">
        <v>107</v>
      </c>
      <c r="Z8" s="10"/>
      <c r="AA8" s="12" t="str">
        <f>IF(OR(Z8="",Z8="N/A"),"",IF(ISNUMBER(Q8),Q8,""))</f>
        <v/>
      </c>
      <c r="AB8" s="15"/>
      <c r="AC8" s="10" t="s">
        <v>107</v>
      </c>
      <c r="AD8" s="10"/>
      <c r="AE8" s="10"/>
      <c r="AF8" s="10" t="str">
        <f>IF(Z8="N/A","N/A","")</f>
        <v/>
      </c>
      <c r="AG8" s="12">
        <f>IF(NOT(ISNUMBER(Q8)),"",Q8)</f>
        <v>46220</v>
      </c>
      <c r="AH8" s="12">
        <v>46225</v>
      </c>
      <c r="AI8" s="10" t="s">
        <v>30</v>
      </c>
      <c r="AJ8" s="12">
        <f>IF(OR(AL8="N/A",NOT(ISNUMBER(T8))),"",T8)</f>
        <v>46224</v>
      </c>
      <c r="AK8" s="15">
        <v>46225</v>
      </c>
      <c r="AL8" s="10" t="s">
        <v>107</v>
      </c>
      <c r="AM8" s="12">
        <f>IF(NOT(ISNUMBER(W8)),"",W8)</f>
        <v>46225</v>
      </c>
      <c r="AN8" s="15">
        <v>46225</v>
      </c>
      <c r="AO8" s="10" t="s">
        <v>107</v>
      </c>
      <c r="AP8" s="12" t="str">
        <f>IF(OR(Z8="",Z8="N/A"),"",IF(ISNUMBER(AG8),AG8,""))</f>
        <v/>
      </c>
      <c r="AQ8" s="15"/>
      <c r="AR8" s="10"/>
      <c r="AS8" s="10"/>
      <c r="AT8" s="10"/>
      <c r="AU8" s="12">
        <f>IF(NOT(ISNUMBER(Q8)),"",Q8)</f>
        <v>46220</v>
      </c>
      <c r="AV8" s="15"/>
      <c r="AW8" s="10" t="s">
        <v>107</v>
      </c>
      <c r="AX8" s="12">
        <f>IF(OR(AZ8="N/A",NOT(ISNUMBER(T8))),"",T8)</f>
        <v>46224</v>
      </c>
      <c r="AY8" s="15"/>
      <c r="AZ8" s="10"/>
      <c r="BA8" s="12">
        <f>IF(NOT(ISNUMBER(W8)),"",W8)</f>
        <v>46225</v>
      </c>
      <c r="BB8" s="15"/>
      <c r="BC8" s="10"/>
      <c r="BD8" s="12" t="str">
        <f>IF(OR(Z8="",Z8="N/A"),"",IF(ISNUMBER(AU8),AU8,""))</f>
        <v/>
      </c>
      <c r="BE8" s="15"/>
      <c r="BF8" s="10"/>
      <c r="BG8" s="10" t="s">
        <v>108</v>
      </c>
      <c r="BH8" s="10" t="s">
        <v>108</v>
      </c>
      <c r="BI8" s="12">
        <v>46300</v>
      </c>
      <c r="BJ8" s="10"/>
      <c r="BK8" s="12">
        <f>IF(NOT(ISNUMBER(BI8)),"",IF(WEEKDAY(BI8-CodeReviewCalendarDays,2)&gt;5,BI8-CodeReviewCalendarDays-(WEEKDAY(BI8-CodeReviewCalendarDays,2)-5),BI8-CodeReviewCalendarDays))</f>
        <v>46297</v>
      </c>
      <c r="BL8" s="10"/>
      <c r="BM8" s="12">
        <f>IF(NOT(ISNUMBER(BK8)),"",IF(WEEKDAY(BK8-CodeReviewInviteCalendarDays,2)&gt;5,BK8-CodeReviewInviteCalendarDays-(WEEKDAY(BK8-CodeReviewInviteCalendarDays,2)-5),BK8-CodeReviewInviteCalendarDays))</f>
        <v>46293</v>
      </c>
      <c r="BN8" s="10"/>
      <c r="BO8" s="10"/>
      <c r="BP8" s="16" t="str">
        <f ca="1">IF(A8="","",IF(IF(AND(ISNUMBER(J8),WEEKDAY(J8,2)&lt;&gt;2,WEEKDAY(J8,2)&lt;&gt;4)," | Release must be Tuesday or Thursday","")&amp;IF(AND(ISNUMBER(H8),WEEKDAY(H8,2)&lt;&gt;1)," | Sprint Start is not a Monday - dates still calculated from the date entered","")&amp;IF(AND(A8&lt;&gt;"",NOT(ISNUMBER(H8)),NOT(ISNUMBER(J8)))," | Enter Sprint Start or Release Date","")&amp;IF(AND(ISNUMBER(F8),F8&lt;TODAY(),D8&lt;&gt;"Completed")," | One or more raise-by dates are in the past and not completed","")&amp;IF(AND(ISNUMBER(K8),K8-TODAY()&lt;SprintWarningDays,K8&gt;=TODAY(),OR(D8="Yet to start",D8="Blocked"))," | Sprint starts in under 10 days - raise access requests now","")&amp;IF(AND(ISNUMBER(BM8),BN8&lt;&gt;"Completed",BN8&lt;&gt;"N/A",BM8-TODAY()&lt;CodeReviewInviteCalendarDays)," | Code Review invite should be sent at least 4 days before Code Review","")="","",MID(IF(AND(ISNUMBER(J8),WEEKDAY(J8,2)&lt;&gt;2,WEEKDAY(J8,2)&lt;&gt;4)," | Release must be Tuesday or Thursday","")&amp;IF(AND(ISNUMBER(H8),WEEKDAY(H8,2)&lt;&gt;1)," | Sprint Start is not a Monday - dates still calculated from the date entered","")&amp;IF(AND(A8&lt;&gt;"",NOT(ISNUMBER(H8)),NOT(ISNUMBER(J8)))," | Enter Sprint Start or Release Date","")&amp;IF(AND(ISNUMBER(F8),F8&lt;TODAY(),D8&lt;&gt;"Completed")," | One or more raise-by dates are in the past and not completed","")&amp;IF(AND(ISNUMBER(K8),K8-TODAY()&lt;SprintWarningDays,K8&gt;=TODAY(),OR(D8="Yet to start",D8="Blocked"))," | Sprint starts in under 10 days - raise access requests now","")&amp;IF(AND(ISNUMBER(BM8),BN8&lt;&gt;"Completed",BN8&lt;&gt;"N/A",BM8-TODAY()&lt;CodeReviewInviteCalendarDays),"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8" s="1">
        <f>IF(AND(ISNUMBER(Q8),S8&lt;&gt;"Completed",S8&lt;&gt;"N/A"),Q8,"")</f>
        <v>46220</v>
      </c>
      <c r="BR8" s="1">
        <f>IF(AND(ISNUMBER(T8),V8&lt;&gt;"Completed",V8&lt;&gt;"N/A"),T8,"")</f>
        <v>46224</v>
      </c>
      <c r="BS8" s="1">
        <f>IF(AND(ISNUMBER(W8),Y8&lt;&gt;"Completed",Y8&lt;&gt;"N/A"),W8,"")</f>
        <v>46225</v>
      </c>
      <c r="BT8" s="1" t="str">
        <f>IF(AND(ISNUMBER(AA8),AC8&lt;&gt;"Completed",AC8&lt;&gt;"N/A"),AA8,"")</f>
        <v/>
      </c>
      <c r="BU8" s="1">
        <f>IF(AND(ISNUMBER(AG8),AI8&lt;&gt;"Completed",AI8&lt;&gt;"N/A"),AG8,"")</f>
        <v>46220</v>
      </c>
      <c r="BV8" s="1">
        <f>IF(AND(ISNUMBER(AJ8),AL8&lt;&gt;"Completed",AL8&lt;&gt;"N/A"),AJ8,"")</f>
        <v>46224</v>
      </c>
      <c r="BW8" s="1">
        <f>IF(AND(ISNUMBER(AM8),AO8&lt;&gt;"Completed",AO8&lt;&gt;"N/A"),AM8,"")</f>
        <v>46225</v>
      </c>
      <c r="BX8" s="1" t="str">
        <f>IF(AND(ISNUMBER(AP8),AR8&lt;&gt;"Completed",AR8&lt;&gt;"N/A"),AP8,"")</f>
        <v/>
      </c>
      <c r="BY8" s="1">
        <f>IF(AND(ISNUMBER(AU8),AW8&lt;&gt;"Completed",AW8&lt;&gt;"N/A"),AU8,"")</f>
        <v>46220</v>
      </c>
      <c r="BZ8" s="1">
        <f>IF(AND(ISNUMBER(AX8),AZ8&lt;&gt;"Completed",AZ8&lt;&gt;"N/A"),AX8,"")</f>
        <v>46224</v>
      </c>
      <c r="CA8" s="1">
        <f>IF(AND(ISNUMBER(BA8),BC8&lt;&gt;"Completed",BC8&lt;&gt;"N/A"),BA8,"")</f>
        <v>46225</v>
      </c>
      <c r="CB8" s="1" t="str">
        <f>IF(AND(ISNUMBER(BD8),BF8&lt;&gt;"Completed",BF8&lt;&gt;"N/A"),BD8,"")</f>
        <v/>
      </c>
      <c r="CC8" s="1" t="str">
        <f>IF(AND(ISNUMBER(O8),P8&lt;&gt;"Completed",P8&lt;&gt;"N/A"),O8,"")</f>
        <v/>
      </c>
      <c r="CD8" s="1">
        <f>IF(AND(ISNUMBER(BM8),BN8&lt;&gt;"Completed",BN8&lt;&gt;"N/A"),BM8,"")</f>
        <v>46293</v>
      </c>
      <c r="CE8" s="1">
        <f>IF(AND(ISNUMBER(BK8),BL8&lt;&gt;"Completed",BL8&lt;&gt;"N/A"),BK8,"")</f>
        <v>46297</v>
      </c>
      <c r="CF8" s="1">
        <f>IF(AND(ISNUMBER(BI8),BJ8&lt;&gt;"Completed",BJ8&lt;&gt;"N/A"),BI8,"")</f>
        <v>46300</v>
      </c>
      <c r="CG8" s="1">
        <f ca="1">IF(OR(A8="",D8="Completed"),"",IF(N(G8)&gt;0,1/(N(G8)+ROW()/100000),IF(ISNUMBER(F8),1000+F8+ROW()/100000,TODAY()+400+ROW()/100000)))</f>
        <v>2.8571363265455396E-2</v>
      </c>
    </row>
    <row r="9" spans="1:85" ht="15.95" customHeight="1">
      <c r="A9" s="10" t="s">
        <v>109</v>
      </c>
      <c r="B9" s="10" t="s">
        <v>98</v>
      </c>
      <c r="C9" s="10" t="s">
        <v>99</v>
      </c>
      <c r="D9" s="11" t="str">
        <f>IF(A9="","",IF(((S9="Blocked")+(V9="Blocked")+(Y9="Blocked")+(AC9="Blocked")+(AI9="Blocked")+(AL9="Blocked")+(AO9="Blocked")+(AR9="Blocked")+(AW9="Blocked")+(AZ9="Blocked")+(BC9="Blocked")+(BF9="Blocked")+(P9="Blocked")+(BJ9="Blocked")+(BL9="Blocked")+(BN9="Blocked")+(BO9="Blocked"))&gt;0,"Blocked",IF((ISNUMBER(Q9)+ISNUMBER(T9)+ISNUMBER(W9)+ISNUMBER(AA9)+ISNUMBER(AG9)+ISNUMBER(AJ9)+ISNUMBER(AM9)+ISNUMBER(AP9)+ISNUMBER(AU9)+ISNUMBER(AX9)+ISNUMBER(BA9)+ISNUMBER(BD9)+ISNUMBER(O9)+ISNUMBER(BI9)+ISNUMBER(BK9)+ISNUMBER(BM9))=0,"Yet to start",IF(AND(OR(NOT(ISNUMBER(Q9)),S9="Completed",S9="N/A"),OR(NOT(ISNUMBER(T9)),V9="Completed",V9="N/A"),OR(NOT(ISNUMBER(W9)),Y9="Completed",Y9="N/A"),OR(NOT(ISNUMBER(AA9)),AC9="Completed",AC9="N/A"),OR(NOT(ISNUMBER(AG9)),AI9="Completed",AI9="N/A"),OR(NOT(ISNUMBER(AJ9)),AL9="Completed",AL9="N/A"),OR(NOT(ISNUMBER(AM9)),AO9="Completed",AO9="N/A"),OR(NOT(ISNUMBER(AP9)),AR9="Completed",AR9="N/A"),OR(NOT(ISNUMBER(AU9)),AW9="Completed",AW9="N/A"),OR(NOT(ISNUMBER(AX9)),AZ9="Completed",AZ9="N/A"),OR(NOT(ISNUMBER(BA9)),BC9="Completed",BC9="N/A"),OR(NOT(ISNUMBER(BD9)),BF9="Completed",BF9="N/A"),OR(NOT(ISNUMBER(O9)),P9="Completed",P9="N/A"),OR(NOT(ISNUMBER(BI9)),BJ9="Completed",BJ9="N/A"),OR(NOT(ISNUMBER(BK9)),BL9="Completed",BL9="N/A"),OR(NOT(ISNUMBER(BM9)),BN9="Completed",BN9="N/A"),OR(BO9="Completed",BO9="N/A")),"Completed",IF(((S9="In Progress")+(V9="In Progress")+(Y9="In Progress")+(AC9="In Progress")+(AI9="In Progress")+(AL9="In Progress")+(AO9="In Progress")+(AR9="In Progress")+(AW9="In Progress")+(AZ9="In Progress")+(BC9="In Progress")+(BF9="In Progress")+(P9="In Progress")+(BJ9="In Progress")+(BL9="In Progress")+(BN9="In Progress")+(BO9="In Progress"))&gt;0,"In Progress","Yet to start")))))</f>
        <v>Yet to start</v>
      </c>
      <c r="E9" s="11" t="str">
        <f>IF(A9="","",IF(F9="","All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Review","CAB"},MATCH(F9,BQ9:CF9,0))))</f>
        <v>Prod OUR</v>
      </c>
      <c r="F9" s="12">
        <f>IF(A9="","",IF(COUNT(BQ9:CF9)=0,"",MIN(BQ9:CF9)))</f>
        <v>46224</v>
      </c>
      <c r="G9" s="13">
        <f ca="1">IF(A9="","",MAX(0,IF(AND(ISNUMBER(Q9),S9&lt;&gt;"Completed",S9&lt;&gt;"N/A",Q9&lt;TODAY()),TODAY()-Q9,0),IF(AND(ISNUMBER(T9),V9&lt;&gt;"Completed",V9&lt;&gt;"N/A",T9&lt;TODAY()),TODAY()-T9,0),IF(AND(ISNUMBER(W9),Y9&lt;&gt;"Completed",Y9&lt;&gt;"N/A",W9&lt;TODAY()),TODAY()-W9,0),IF(AND(ISNUMBER(AA9),AC9&lt;&gt;"Completed",AC9&lt;&gt;"N/A",AA9&lt;TODAY()),TODAY()-AA9,0),IF(AND(ISNUMBER(AG9),AI9&lt;&gt;"Completed",AI9&lt;&gt;"N/A",AG9&lt;TODAY()),TODAY()-AG9,0),IF(AND(ISNUMBER(AJ9),AL9&lt;&gt;"Completed",AL9&lt;&gt;"N/A",AJ9&lt;TODAY()),TODAY()-AJ9,0),IF(AND(ISNUMBER(AM9),AO9&lt;&gt;"Completed",AO9&lt;&gt;"N/A",AM9&lt;TODAY()),TODAY()-AM9,0),IF(AND(ISNUMBER(AP9),AR9&lt;&gt;"Completed",AR9&lt;&gt;"N/A",AP9&lt;TODAY()),TODAY()-AP9,0),IF(AND(ISNUMBER(AU9),AW9&lt;&gt;"Completed",AW9&lt;&gt;"N/A",AU9&lt;TODAY()),TODAY()-AU9,0),IF(AND(ISNUMBER(AX9),AZ9&lt;&gt;"Completed",AZ9&lt;&gt;"N/A",AX9&lt;TODAY()),TODAY()-AX9,0),IF(AND(ISNUMBER(BA9),BC9&lt;&gt;"Completed",BC9&lt;&gt;"N/A",BA9&lt;TODAY()),TODAY()-BA9,0),IF(AND(ISNUMBER(BD9),BF9&lt;&gt;"Completed",BF9&lt;&gt;"N/A",BD9&lt;TODAY()),TODAY()-BD9,0),IF(AND(ISNUMBER(O9),P9&lt;&gt;"Completed",P9&lt;&gt;"N/A",O9&lt;TODAY()),TODAY()-O9,0),IF(AND(ISNUMBER(BM9),BN9&lt;&gt;"Completed",BN9&lt;&gt;"N/A",BM9&lt;TODAY()),TODAY()-BM9,0),IF(AND(ISNUMBER(BK9),BL9&lt;&gt;"Completed",BL9&lt;&gt;"N/A",BK9&lt;TODAY()),TODAY()-BK9,0),IF(AND(ISNUMBER(BI9),BJ9&lt;&gt;"Completed",BJ9&lt;&gt;"N/A",BI9&lt;TODAY()),TODAY()-BI9,0)))</f>
        <v>31</v>
      </c>
      <c r="H9" s="14">
        <v>46232</v>
      </c>
      <c r="I9" s="14">
        <v>46245</v>
      </c>
      <c r="J9" s="15">
        <v>46300</v>
      </c>
      <c r="K9" s="12">
        <f>IF(ISNUMBER(H9),H9,IF(ISNUMBER(M9),M9-WEEKDAY(M9,2)+1-7,""))</f>
        <v>46232</v>
      </c>
      <c r="L9" s="12">
        <f>IF(ISNUMBER(I9),I9,IF(ISNUMBER(H9),WORKDAY(H9,SprintWorkingDays-1),IF(ISNUMBER(K9),WORKDAY(K9,SprintWorkingDays-1),"")))</f>
        <v>46245</v>
      </c>
      <c r="M9" s="12">
        <f>IF(ISNUMBER(J9),J9,IF(ISNUMBER(I9),I9-IF(OR(WEEKDAY(I9,2)=2,WEEKDAY(I9,2)=4),0,IF(WEEKDAY(I9,2)=3,1,IF(WEEKDAY(I9,2)=1,4,WEEKDAY(I9,2)-4))),IF(ISNUMBER(H9),WORKDAY(H9,SprintWorkingDays-1)-IF(OR(WEEKDAY(WORKDAY(H9,SprintWorkingDays-1),2)=2,WEEKDAY(WORKDAY(H9,SprintWorkingDays-1),2)=4),0,IF(WEEKDAY(WORKDAY(H9,SprintWorkingDays-1),2)=3,1,IF(WEEKDAY(WORKDAY(H9,SprintWorkingDays-1),2)=1,4,WEEKDAY(WORKDAY(H9,SprintWorkingDays-1),2)-4))),"")))</f>
        <v>46300</v>
      </c>
      <c r="N9" s="12">
        <f>IF(NOT(ISNUMBER(K9)),"",WORKDAY(K9,ReadyOffsetWD))</f>
        <v>46231</v>
      </c>
      <c r="O9" s="12">
        <f>IF(NOT(ISNUMBER(K9)),"",WORKDAY(K9,SprintReadinessOffsetWD))</f>
        <v>46230</v>
      </c>
      <c r="P9" s="10" t="s">
        <v>32</v>
      </c>
      <c r="Q9" s="12">
        <f>IF(A9="","",IF(V9="N/A",IF(NOT(ISNUMBER(W9)),"",WORKDAY(W9,RTSKOffsetFromOUR_WD)),IF(NOT(ISNUMBER(T9)),"",WORKDAY(T9,RTSKOffsetFromOUR_WD))))</f>
        <v>46220</v>
      </c>
      <c r="R9" s="15">
        <v>46233</v>
      </c>
      <c r="S9" s="10" t="s">
        <v>32</v>
      </c>
      <c r="T9" s="12">
        <f>IF(OR(A9="",V9="N/A"),"",IF(NOT(ISNUMBER(W9)),"",WORKDAY(W9,OUROffsetFromSR_WD)))</f>
        <v>46224</v>
      </c>
      <c r="U9" s="15">
        <v>46220</v>
      </c>
      <c r="V9" s="10" t="s">
        <v>32</v>
      </c>
      <c r="W9" s="12">
        <f>IF(OR(A9="",NOT(ISNUMBER(K9))),"",WORKDAY(K9,SROffsetFromStartWD))</f>
        <v>46225</v>
      </c>
      <c r="X9" s="15">
        <v>46220</v>
      </c>
      <c r="Y9" s="10" t="s">
        <v>32</v>
      </c>
      <c r="Z9" s="10" t="s">
        <v>100</v>
      </c>
      <c r="AA9" s="12" t="str">
        <f>IF(OR(Z9="",Z9="N/A"),"",IF(ISNUMBER(Q9),Q9,""))</f>
        <v/>
      </c>
      <c r="AB9" s="15"/>
      <c r="AC9" s="10"/>
      <c r="AD9" s="10"/>
      <c r="AE9" s="10"/>
      <c r="AF9" s="10" t="str">
        <f>IF(Z9="N/A","N/A","")</f>
        <v>N/A</v>
      </c>
      <c r="AG9" s="12">
        <f>IF(NOT(ISNUMBER(Q9)),"",Q9)</f>
        <v>46220</v>
      </c>
      <c r="AH9" s="12">
        <v>46225</v>
      </c>
      <c r="AI9" s="10" t="s">
        <v>32</v>
      </c>
      <c r="AJ9" s="12">
        <f>IF(OR(AL9="N/A",NOT(ISNUMBER(T9))),"",T9)</f>
        <v>46224</v>
      </c>
      <c r="AK9" s="15">
        <v>46225</v>
      </c>
      <c r="AL9" s="10" t="s">
        <v>32</v>
      </c>
      <c r="AM9" s="12">
        <f>IF(NOT(ISNUMBER(W9)),"",W9)</f>
        <v>46225</v>
      </c>
      <c r="AN9" s="15">
        <v>46225</v>
      </c>
      <c r="AO9" s="10" t="s">
        <v>32</v>
      </c>
      <c r="AP9" s="12" t="str">
        <f>IF(OR(Z9="",Z9="N/A"),"",IF(ISNUMBER(AG9),AG9,""))</f>
        <v/>
      </c>
      <c r="AQ9" s="15"/>
      <c r="AR9" s="10"/>
      <c r="AS9" s="10"/>
      <c r="AT9" s="10"/>
      <c r="AU9" s="12">
        <f>IF(NOT(ISNUMBER(Q9)),"",Q9)</f>
        <v>46220</v>
      </c>
      <c r="AV9" s="15"/>
      <c r="AW9" s="10" t="s">
        <v>32</v>
      </c>
      <c r="AX9" s="12">
        <f>IF(OR(AZ9="N/A",NOT(ISNUMBER(T9))),"",T9)</f>
        <v>46224</v>
      </c>
      <c r="AY9" s="15"/>
      <c r="AZ9" s="10"/>
      <c r="BA9" s="12">
        <f>IF(NOT(ISNUMBER(W9)),"",W9)</f>
        <v>46225</v>
      </c>
      <c r="BB9" s="15"/>
      <c r="BC9" s="10"/>
      <c r="BD9" s="12" t="str">
        <f>IF(OR(Z9="",Z9="N/A"),"",IF(ISNUMBER(AU9),AU9,""))</f>
        <v/>
      </c>
      <c r="BE9" s="15"/>
      <c r="BF9" s="10"/>
      <c r="BG9" s="10"/>
      <c r="BH9" s="10"/>
      <c r="BI9" s="12">
        <v>46300</v>
      </c>
      <c r="BJ9" s="10"/>
      <c r="BK9" s="12">
        <f>IF(NOT(ISNUMBER(BI9)),"",IF(WEEKDAY(BI9-CodeReviewCalendarDays,2)&gt;5,BI9-CodeReviewCalendarDays-(WEEKDAY(BI9-CodeReviewCalendarDays,2)-5),BI9-CodeReviewCalendarDays))</f>
        <v>46297</v>
      </c>
      <c r="BL9" s="10"/>
      <c r="BM9" s="12">
        <f>IF(NOT(ISNUMBER(BK9)),"",IF(WEEKDAY(BK9-CodeReviewInviteCalendarDays,2)&gt;5,BK9-CodeReviewInviteCalendarDays-(WEEKDAY(BK9-CodeReviewInviteCalendarDays,2)-5),BK9-CodeReviewInviteCalendarDays))</f>
        <v>46293</v>
      </c>
      <c r="BN9" s="10"/>
      <c r="BO9" s="10"/>
      <c r="BP9" s="16" t="str">
        <f ca="1">IF(A9="","",IF(IF(AND(ISNUMBER(J9),WEEKDAY(J9,2)&lt;&gt;2,WEEKDAY(J9,2)&lt;&gt;4)," | Release must be Tuesday or Thursday","")&amp;IF(AND(ISNUMBER(H9),WEEKDAY(H9,2)&lt;&gt;1)," | Sprint Start is not a Monday - dates still calculated from the date entered","")&amp;IF(AND(A9&lt;&gt;"",NOT(ISNUMBER(H9)),NOT(ISNUMBER(J9)))," | Enter Sprint Start or Release Date","")&amp;IF(AND(ISNUMBER(F9),F9&lt;TODAY(),D9&lt;&gt;"Completed")," | One or more raise-by dates are in the past and not completed","")&amp;IF(AND(ISNUMBER(K9),K9-TODAY()&lt;SprintWarningDays,K9&gt;=TODAY(),OR(D9="Yet to start",D9="Blocked"))," | Sprint starts in under 10 days - raise access requests now","")&amp;IF(AND(ISNUMBER(BM9),BN9&lt;&gt;"Completed",BN9&lt;&gt;"N/A",BM9-TODAY()&lt;CodeReviewInviteCalendarDays)," | Code Review invite should be sent at least 4 days before Code Review","")="","",MID(IF(AND(ISNUMBER(J9),WEEKDAY(J9,2)&lt;&gt;2,WEEKDAY(J9,2)&lt;&gt;4)," | Release must be Tuesday or Thursday","")&amp;IF(AND(ISNUMBER(H9),WEEKDAY(H9,2)&lt;&gt;1)," | Sprint Start is not a Monday - dates still calculated from the date entered","")&amp;IF(AND(A9&lt;&gt;"",NOT(ISNUMBER(H9)),NOT(ISNUMBER(J9)))," | Enter Sprint Start or Release Date","")&amp;IF(AND(ISNUMBER(F9),F9&lt;TODAY(),D9&lt;&gt;"Completed")," | One or more raise-by dates are in the past and not completed","")&amp;IF(AND(ISNUMBER(K9),K9-TODAY()&lt;SprintWarningDays,K9&gt;=TODAY(),OR(D9="Yet to start",D9="Blocked"))," | Sprint starts in under 10 days - raise access requests now","")&amp;IF(AND(ISNUMBER(BM9),BN9&lt;&gt;"Completed",BN9&lt;&gt;"N/A",BM9-TODAY()&lt;CodeReviewInviteCalendarDays),"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9" s="1" t="str">
        <f>IF(AND(ISNUMBER(Q9),S9&lt;&gt;"Completed",S9&lt;&gt;"N/A"),Q9,"")</f>
        <v/>
      </c>
      <c r="BR9" s="1" t="str">
        <f>IF(AND(ISNUMBER(T9),V9&lt;&gt;"Completed",V9&lt;&gt;"N/A"),T9,"")</f>
        <v/>
      </c>
      <c r="BS9" s="1" t="str">
        <f>IF(AND(ISNUMBER(W9),Y9&lt;&gt;"Completed",Y9&lt;&gt;"N/A"),W9,"")</f>
        <v/>
      </c>
      <c r="BT9" s="1" t="str">
        <f>IF(AND(ISNUMBER(AA9),AC9&lt;&gt;"Completed",AC9&lt;&gt;"N/A"),AA9,"")</f>
        <v/>
      </c>
      <c r="BU9" s="1" t="str">
        <f>IF(AND(ISNUMBER(AG9),AI9&lt;&gt;"Completed",AI9&lt;&gt;"N/A"),AG9,"")</f>
        <v/>
      </c>
      <c r="BV9" s="1" t="str">
        <f>IF(AND(ISNUMBER(AJ9),AL9&lt;&gt;"Completed",AL9&lt;&gt;"N/A"),AJ9,"")</f>
        <v/>
      </c>
      <c r="BW9" s="1" t="str">
        <f>IF(AND(ISNUMBER(AM9),AO9&lt;&gt;"Completed",AO9&lt;&gt;"N/A"),AM9,"")</f>
        <v/>
      </c>
      <c r="BX9" s="1" t="str">
        <f>IF(AND(ISNUMBER(AP9),AR9&lt;&gt;"Completed",AR9&lt;&gt;"N/A"),AP9,"")</f>
        <v/>
      </c>
      <c r="BY9" s="1" t="str">
        <f>IF(AND(ISNUMBER(AU9),AW9&lt;&gt;"Completed",AW9&lt;&gt;"N/A"),AU9,"")</f>
        <v/>
      </c>
      <c r="BZ9" s="1">
        <f>IF(AND(ISNUMBER(AX9),AZ9&lt;&gt;"Completed",AZ9&lt;&gt;"N/A"),AX9,"")</f>
        <v>46224</v>
      </c>
      <c r="CA9" s="1">
        <f>IF(AND(ISNUMBER(BA9),BC9&lt;&gt;"Completed",BC9&lt;&gt;"N/A"),BA9,"")</f>
        <v>46225</v>
      </c>
      <c r="CB9" s="1" t="str">
        <f>IF(AND(ISNUMBER(BD9),BF9&lt;&gt;"Completed",BF9&lt;&gt;"N/A"),BD9,"")</f>
        <v/>
      </c>
      <c r="CC9" s="1" t="str">
        <f>IF(AND(ISNUMBER(O9),P9&lt;&gt;"Completed",P9&lt;&gt;"N/A"),O9,"")</f>
        <v/>
      </c>
      <c r="CD9" s="1">
        <f>IF(AND(ISNUMBER(BM9),BN9&lt;&gt;"Completed",BN9&lt;&gt;"N/A"),BM9,"")</f>
        <v>46293</v>
      </c>
      <c r="CE9" s="1">
        <f>IF(AND(ISNUMBER(BK9),BL9&lt;&gt;"Completed",BL9&lt;&gt;"N/A"),BK9,"")</f>
        <v>46297</v>
      </c>
      <c r="CF9" s="1">
        <f>IF(AND(ISNUMBER(BI9),BJ9&lt;&gt;"Completed",BJ9&lt;&gt;"N/A"),BI9,"")</f>
        <v>46300</v>
      </c>
      <c r="CG9" s="1">
        <f ca="1">IF(OR(A9="",D9="Completed"),"",IF(N(G9)&gt;0,1/(N(G9)+ROW()/100000),IF(ISNUMBER(F9),1000+F9+ROW()/100000,TODAY()+400+ROW()/100000)))</f>
        <v>3.2257970863955557E-2</v>
      </c>
    </row>
    <row r="10" spans="1:85" ht="15.95" customHeight="1">
      <c r="A10" s="10" t="s">
        <v>110</v>
      </c>
      <c r="B10" s="10" t="s">
        <v>98</v>
      </c>
      <c r="C10" s="10" t="s">
        <v>99</v>
      </c>
      <c r="D10" s="11" t="str">
        <f>IF(A10="","",IF(((S10="Blocked")+(V10="Blocked")+(Y10="Blocked")+(AC10="Blocked")+(AI10="Blocked")+(AL10="Blocked")+(AO10="Blocked")+(AR10="Blocked")+(AW10="Blocked")+(AZ10="Blocked")+(BC10="Blocked")+(BF10="Blocked")+(P10="Blocked")+(BJ10="Blocked")+(BL10="Blocked")+(BN10="Blocked")+(BO10="Blocked"))&gt;0,"Blocked",IF((ISNUMBER(Q10)+ISNUMBER(T10)+ISNUMBER(W10)+ISNUMBER(AA10)+ISNUMBER(AG10)+ISNUMBER(AJ10)+ISNUMBER(AM10)+ISNUMBER(AP10)+ISNUMBER(AU10)+ISNUMBER(AX10)+ISNUMBER(BA10)+ISNUMBER(BD10)+ISNUMBER(O10)+ISNUMBER(BI10)+ISNUMBER(BK10)+ISNUMBER(BM10))=0,"Yet to start",IF(AND(OR(NOT(ISNUMBER(Q10)),S10="Completed",S10="N/A"),OR(NOT(ISNUMBER(T10)),V10="Completed",V10="N/A"),OR(NOT(ISNUMBER(W10)),Y10="Completed",Y10="N/A"),OR(NOT(ISNUMBER(AA10)),AC10="Completed",AC10="N/A"),OR(NOT(ISNUMBER(AG10)),AI10="Completed",AI10="N/A"),OR(NOT(ISNUMBER(AJ10)),AL10="Completed",AL10="N/A"),OR(NOT(ISNUMBER(AM10)),AO10="Completed",AO10="N/A"),OR(NOT(ISNUMBER(AP10)),AR10="Completed",AR10="N/A"),OR(NOT(ISNUMBER(AU10)),AW10="Completed",AW10="N/A"),OR(NOT(ISNUMBER(AX10)),AZ10="Completed",AZ10="N/A"),OR(NOT(ISNUMBER(BA10)),BC10="Completed",BC10="N/A"),OR(NOT(ISNUMBER(BD10)),BF10="Completed",BF10="N/A"),OR(NOT(ISNUMBER(O10)),P10="Completed",P10="N/A"),OR(NOT(ISNUMBER(BI10)),BJ10="Completed",BJ10="N/A"),OR(NOT(ISNUMBER(BK10)),BL10="Completed",BL10="N/A"),OR(NOT(ISNUMBER(BM10)),BN10="Completed",BN10="N/A"),OR(BO10="Completed",BO10="N/A")),"Completed",IF(((S10="In Progress")+(V10="In Progress")+(Y10="In Progress")+(AC10="In Progress")+(AI10="In Progress")+(AL10="In Progress")+(AO10="In Progress")+(AR10="In Progress")+(AW10="In Progress")+(AZ10="In Progress")+(BC10="In Progress")+(BF10="In Progress")+(P10="In Progress")+(BJ10="In Progress")+(BL10="In Progress")+(BN10="In Progress")+(BO10="In Progress"))&gt;0,"In Progress","Yet to start")))))</f>
        <v>In Progress</v>
      </c>
      <c r="E10" s="11" t="str">
        <f>IF(A10="","",IF(F10="","All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Review","CAB"},MATCH(F10,BQ10:CF10,0))))</f>
        <v>Prod OUR</v>
      </c>
      <c r="F10" s="12">
        <f>IF(A10="","",IF(COUNT(BQ10:CF10)=0,"",MIN(BQ10:CF10)))</f>
        <v>46224</v>
      </c>
      <c r="G10" s="13">
        <f ca="1">IF(A10="","",MAX(0,IF(AND(ISNUMBER(Q10),S10&lt;&gt;"Completed",S10&lt;&gt;"N/A",Q10&lt;TODAY()),TODAY()-Q10,0),IF(AND(ISNUMBER(T10),V10&lt;&gt;"Completed",V10&lt;&gt;"N/A",T10&lt;TODAY()),TODAY()-T10,0),IF(AND(ISNUMBER(W10),Y10&lt;&gt;"Completed",Y10&lt;&gt;"N/A",W10&lt;TODAY()),TODAY()-W10,0),IF(AND(ISNUMBER(AA10),AC10&lt;&gt;"Completed",AC10&lt;&gt;"N/A",AA10&lt;TODAY()),TODAY()-AA10,0),IF(AND(ISNUMBER(AG10),AI10&lt;&gt;"Completed",AI10&lt;&gt;"N/A",AG10&lt;TODAY()),TODAY()-AG10,0),IF(AND(ISNUMBER(AJ10),AL10&lt;&gt;"Completed",AL10&lt;&gt;"N/A",AJ10&lt;TODAY()),TODAY()-AJ10,0),IF(AND(ISNUMBER(AM10),AO10&lt;&gt;"Completed",AO10&lt;&gt;"N/A",AM10&lt;TODAY()),TODAY()-AM10,0),IF(AND(ISNUMBER(AP10),AR10&lt;&gt;"Completed",AR10&lt;&gt;"N/A",AP10&lt;TODAY()),TODAY()-AP10,0),IF(AND(ISNUMBER(AU10),AW10&lt;&gt;"Completed",AW10&lt;&gt;"N/A",AU10&lt;TODAY()),TODAY()-AU10,0),IF(AND(ISNUMBER(AX10),AZ10&lt;&gt;"Completed",AZ10&lt;&gt;"N/A",AX10&lt;TODAY()),TODAY()-AX10,0),IF(AND(ISNUMBER(BA10),BC10&lt;&gt;"Completed",BC10&lt;&gt;"N/A",BA10&lt;TODAY()),TODAY()-BA10,0),IF(AND(ISNUMBER(BD10),BF10&lt;&gt;"Completed",BF10&lt;&gt;"N/A",BD10&lt;TODAY()),TODAY()-BD10,0),IF(AND(ISNUMBER(O10),P10&lt;&gt;"Completed",P10&lt;&gt;"N/A",O10&lt;TODAY()),TODAY()-O10,0),IF(AND(ISNUMBER(BM10),BN10&lt;&gt;"Completed",BN10&lt;&gt;"N/A",BM10&lt;TODAY()),TODAY()-BM10,0),IF(AND(ISNUMBER(BK10),BL10&lt;&gt;"Completed",BL10&lt;&gt;"N/A",BK10&lt;TODAY()),TODAY()-BK10,0),IF(AND(ISNUMBER(BI10),BJ10&lt;&gt;"Completed",BJ10&lt;&gt;"N/A",BI10&lt;TODAY()),TODAY()-BI10,0)))</f>
        <v>31</v>
      </c>
      <c r="H10" s="14">
        <v>46232</v>
      </c>
      <c r="I10" s="14">
        <v>46245</v>
      </c>
      <c r="J10" s="15">
        <v>46300</v>
      </c>
      <c r="K10" s="12">
        <f>IF(ISNUMBER(H10),H10,IF(ISNUMBER(M10),M10-WEEKDAY(M10,2)+1-7,""))</f>
        <v>46232</v>
      </c>
      <c r="L10" s="12">
        <f>IF(ISNUMBER(I10),I10,IF(ISNUMBER(H10),WORKDAY(H10,SprintWorkingDays-1),IF(ISNUMBER(K10),WORKDAY(K10,SprintWorkingDays-1),"")))</f>
        <v>46245</v>
      </c>
      <c r="M10" s="12">
        <f>IF(ISNUMBER(J10),J10,IF(ISNUMBER(I10),I10-IF(OR(WEEKDAY(I10,2)=2,WEEKDAY(I10,2)=4),0,IF(WEEKDAY(I10,2)=3,1,IF(WEEKDAY(I10,2)=1,4,WEEKDAY(I10,2)-4))),IF(ISNUMBER(H10),WORKDAY(H10,SprintWorkingDays-1)-IF(OR(WEEKDAY(WORKDAY(H10,SprintWorkingDays-1),2)=2,WEEKDAY(WORKDAY(H10,SprintWorkingDays-1),2)=4),0,IF(WEEKDAY(WORKDAY(H10,SprintWorkingDays-1),2)=3,1,IF(WEEKDAY(WORKDAY(H10,SprintWorkingDays-1),2)=1,4,WEEKDAY(WORKDAY(H10,SprintWorkingDays-1),2)-4))),"")))</f>
        <v>46300</v>
      </c>
      <c r="N10" s="12">
        <f>IF(NOT(ISNUMBER(K10)),"",WORKDAY(K10,ReadyOffsetWD))</f>
        <v>46231</v>
      </c>
      <c r="O10" s="12">
        <f>IF(NOT(ISNUMBER(K10)),"",WORKDAY(K10,SprintReadinessOffsetWD))</f>
        <v>46230</v>
      </c>
      <c r="P10" s="10" t="s">
        <v>30</v>
      </c>
      <c r="Q10" s="12">
        <f>IF(A10="","",IF(V10="N/A",IF(NOT(ISNUMBER(W10)),"",WORKDAY(W10,RTSKOffsetFromOUR_WD)),IF(NOT(ISNUMBER(T10)),"",WORKDAY(T10,RTSKOffsetFromOUR_WD))))</f>
        <v>46220</v>
      </c>
      <c r="R10" s="15">
        <v>46246</v>
      </c>
      <c r="S10" s="10" t="s">
        <v>32</v>
      </c>
      <c r="T10" s="12">
        <f>IF(OR(A10="",V10="N/A"),"",IF(NOT(ISNUMBER(W10)),"",WORKDAY(W10,OUROffsetFromSR_WD)))</f>
        <v>46224</v>
      </c>
      <c r="U10" s="15">
        <v>46234</v>
      </c>
      <c r="V10" s="10" t="s">
        <v>32</v>
      </c>
      <c r="W10" s="12">
        <f>IF(OR(A10="",NOT(ISNUMBER(K10))),"",WORKDAY(K10,SROffsetFromStartWD))</f>
        <v>46225</v>
      </c>
      <c r="X10" s="15">
        <v>46234</v>
      </c>
      <c r="Y10" s="10" t="s">
        <v>32</v>
      </c>
      <c r="Z10" s="10" t="s">
        <v>100</v>
      </c>
      <c r="AA10" s="12" t="str">
        <f>IF(OR(Z10="",Z10="N/A"),"",IF(ISNUMBER(Q10),Q10,""))</f>
        <v/>
      </c>
      <c r="AB10" s="15"/>
      <c r="AC10" s="10"/>
      <c r="AD10" s="10"/>
      <c r="AE10" s="10"/>
      <c r="AF10" s="10" t="str">
        <f>IF(Z10="N/A","N/A","")</f>
        <v>N/A</v>
      </c>
      <c r="AG10" s="12">
        <f>IF(NOT(ISNUMBER(Q10)),"",Q10)</f>
        <v>46220</v>
      </c>
      <c r="AH10" s="12">
        <v>46239</v>
      </c>
      <c r="AI10" s="10" t="s">
        <v>32</v>
      </c>
      <c r="AJ10" s="12">
        <f>IF(OR(AL10="N/A",NOT(ISNUMBER(T10))),"",T10)</f>
        <v>46224</v>
      </c>
      <c r="AK10" s="15">
        <v>46239</v>
      </c>
      <c r="AL10" s="10" t="s">
        <v>32</v>
      </c>
      <c r="AM10" s="12">
        <f>IF(NOT(ISNUMBER(W10)),"",W10)</f>
        <v>46225</v>
      </c>
      <c r="AN10" s="15">
        <v>46239</v>
      </c>
      <c r="AO10" s="10" t="s">
        <v>32</v>
      </c>
      <c r="AP10" s="12" t="str">
        <f>IF(OR(Z10="",Z10="N/A"),"",IF(ISNUMBER(AG10),AG10,""))</f>
        <v/>
      </c>
      <c r="AQ10" s="15"/>
      <c r="AR10" s="10"/>
      <c r="AS10" s="10"/>
      <c r="AT10" s="10"/>
      <c r="AU10" s="12">
        <f>IF(NOT(ISNUMBER(Q10)),"",Q10)</f>
        <v>46220</v>
      </c>
      <c r="AV10" s="15"/>
      <c r="AW10" s="10" t="s">
        <v>32</v>
      </c>
      <c r="AX10" s="12">
        <f>IF(OR(AZ10="N/A",NOT(ISNUMBER(T10))),"",T10)</f>
        <v>46224</v>
      </c>
      <c r="AY10" s="15"/>
      <c r="AZ10" s="10"/>
      <c r="BA10" s="12">
        <f>IF(NOT(ISNUMBER(W10)),"",W10)</f>
        <v>46225</v>
      </c>
      <c r="BB10" s="15"/>
      <c r="BC10" s="10"/>
      <c r="BD10" s="12" t="str">
        <f>IF(OR(Z10="",Z10="N/A"),"",IF(ISNUMBER(AU10),AU10,""))</f>
        <v/>
      </c>
      <c r="BE10" s="15"/>
      <c r="BF10" s="10"/>
      <c r="BG10" s="10"/>
      <c r="BH10" s="10"/>
      <c r="BI10" s="12">
        <v>46300</v>
      </c>
      <c r="BJ10" s="10"/>
      <c r="BK10" s="12">
        <f>IF(NOT(ISNUMBER(BI10)),"",IF(WEEKDAY(BI10-CodeReviewCalendarDays,2)&gt;5,BI10-CodeReviewCalendarDays-(WEEKDAY(BI10-CodeReviewCalendarDays,2)-5),BI10-CodeReviewCalendarDays))</f>
        <v>46297</v>
      </c>
      <c r="BL10" s="10"/>
      <c r="BM10" s="12">
        <f>IF(NOT(ISNUMBER(BK10)),"",IF(WEEKDAY(BK10-CodeReviewInviteCalendarDays,2)&gt;5,BK10-CodeReviewInviteCalendarDays-(WEEKDAY(BK10-CodeReviewInviteCalendarDays,2)-5),BK10-CodeReviewInviteCalendarDays))</f>
        <v>46293</v>
      </c>
      <c r="BN10" s="10"/>
      <c r="BO10" s="10"/>
      <c r="BP10" s="16" t="str">
        <f ca="1">IF(A10="","",IF(IF(AND(ISNUMBER(J10),WEEKDAY(J10,2)&lt;&gt;2,WEEKDAY(J10,2)&lt;&gt;4)," | Release must be Tuesday or Thursday","")&amp;IF(AND(ISNUMBER(H10),WEEKDAY(H10,2)&lt;&gt;1)," | Sprint Start is not a Monday - dates still calculated from the date entered","")&amp;IF(AND(A10&lt;&gt;"",NOT(ISNUMBER(H10)),NOT(ISNUMBER(J10)))," | Enter Sprint Start or Release Date","")&amp;IF(AND(ISNUMBER(F10),F10&lt;TODAY(),D10&lt;&gt;"Completed")," | One or more raise-by dates are in the past and not completed","")&amp;IF(AND(ISNUMBER(K10),K10-TODAY()&lt;SprintWarningDays,K10&gt;=TODAY(),OR(D10="Yet to start",D10="Blocked"))," | Sprint starts in under 10 days - raise access requests now","")&amp;IF(AND(ISNUMBER(BM10),BN10&lt;&gt;"Completed",BN10&lt;&gt;"N/A",BM10-TODAY()&lt;CodeReviewInviteCalendarDays)," | Code Review invite should be sent at least 4 days before Code Review","")="","",MID(IF(AND(ISNUMBER(J10),WEEKDAY(J10,2)&lt;&gt;2,WEEKDAY(J10,2)&lt;&gt;4)," | Release must be Tuesday or Thursday","")&amp;IF(AND(ISNUMBER(H10),WEEKDAY(H10,2)&lt;&gt;1)," | Sprint Start is not a Monday - dates still calculated from the date entered","")&amp;IF(AND(A10&lt;&gt;"",NOT(ISNUMBER(H10)),NOT(ISNUMBER(J10)))," | Enter Sprint Start or Release Date","")&amp;IF(AND(ISNUMBER(F10),F10&lt;TODAY(),D10&lt;&gt;"Completed")," | One or more raise-by dates are in the past and not completed","")&amp;IF(AND(ISNUMBER(K10),K10-TODAY()&lt;SprintWarningDays,K10&gt;=TODAY(),OR(D10="Yet to start",D10="Blocked"))," | Sprint starts in under 10 days - raise access requests now","")&amp;IF(AND(ISNUMBER(BM10),BN10&lt;&gt;"Completed",BN10&lt;&gt;"N/A",BM10-TODAY()&lt;CodeReviewInviteCalendarDays),"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10" s="1" t="str">
        <f>IF(AND(ISNUMBER(Q10),S10&lt;&gt;"Completed",S10&lt;&gt;"N/A"),Q10,"")</f>
        <v/>
      </c>
      <c r="BR10" s="1" t="str">
        <f>IF(AND(ISNUMBER(T10),V10&lt;&gt;"Completed",V10&lt;&gt;"N/A"),T10,"")</f>
        <v/>
      </c>
      <c r="BS10" s="1" t="str">
        <f>IF(AND(ISNUMBER(W10),Y10&lt;&gt;"Completed",Y10&lt;&gt;"N/A"),W10,"")</f>
        <v/>
      </c>
      <c r="BT10" s="1" t="str">
        <f>IF(AND(ISNUMBER(AA10),AC10&lt;&gt;"Completed",AC10&lt;&gt;"N/A"),AA10,"")</f>
        <v/>
      </c>
      <c r="BU10" s="1" t="str">
        <f>IF(AND(ISNUMBER(AG10),AI10&lt;&gt;"Completed",AI10&lt;&gt;"N/A"),AG10,"")</f>
        <v/>
      </c>
      <c r="BV10" s="1" t="str">
        <f>IF(AND(ISNUMBER(AJ10),AL10&lt;&gt;"Completed",AL10&lt;&gt;"N/A"),AJ10,"")</f>
        <v/>
      </c>
      <c r="BW10" s="1" t="str">
        <f>IF(AND(ISNUMBER(AM10),AO10&lt;&gt;"Completed",AO10&lt;&gt;"N/A"),AM10,"")</f>
        <v/>
      </c>
      <c r="BX10" s="1" t="str">
        <f>IF(AND(ISNUMBER(AP10),AR10&lt;&gt;"Completed",AR10&lt;&gt;"N/A"),AP10,"")</f>
        <v/>
      </c>
      <c r="BY10" s="1" t="str">
        <f>IF(AND(ISNUMBER(AU10),AW10&lt;&gt;"Completed",AW10&lt;&gt;"N/A"),AU10,"")</f>
        <v/>
      </c>
      <c r="BZ10" s="1">
        <f>IF(AND(ISNUMBER(AX10),AZ10&lt;&gt;"Completed",AZ10&lt;&gt;"N/A"),AX10,"")</f>
        <v>46224</v>
      </c>
      <c r="CA10" s="1">
        <f>IF(AND(ISNUMBER(BA10),BC10&lt;&gt;"Completed",BC10&lt;&gt;"N/A"),BA10,"")</f>
        <v>46225</v>
      </c>
      <c r="CB10" s="1" t="str">
        <f>IF(AND(ISNUMBER(BD10),BF10&lt;&gt;"Completed",BF10&lt;&gt;"N/A"),BD10,"")</f>
        <v/>
      </c>
      <c r="CC10" s="1">
        <f>IF(AND(ISNUMBER(O10),P10&lt;&gt;"Completed",P10&lt;&gt;"N/A"),O10,"")</f>
        <v>46230</v>
      </c>
      <c r="CD10" s="1">
        <f>IF(AND(ISNUMBER(BM10),BN10&lt;&gt;"Completed",BN10&lt;&gt;"N/A"),BM10,"")</f>
        <v>46293</v>
      </c>
      <c r="CE10" s="1">
        <f>IF(AND(ISNUMBER(BK10),BL10&lt;&gt;"Completed",BL10&lt;&gt;"N/A"),BK10,"")</f>
        <v>46297</v>
      </c>
      <c r="CF10" s="1">
        <f>IF(AND(ISNUMBER(BI10),BJ10&lt;&gt;"Completed",BJ10&lt;&gt;"N/A"),BI10,"")</f>
        <v>46300</v>
      </c>
      <c r="CG10" s="1">
        <f ca="1">IF(OR(A10="",D10="Completed"),"",IF(N(G10)&gt;0,1/(N(G10)+ROW()/100000),IF(ISNUMBER(F10),1000+F10+ROW()/100000,TODAY()+400+ROW()/100000)))</f>
        <v>3.225796045819207E-2</v>
      </c>
    </row>
    <row r="11" spans="1:85" ht="15.95" customHeight="1">
      <c r="A11" s="10" t="s">
        <v>111</v>
      </c>
      <c r="B11" s="10" t="s">
        <v>98</v>
      </c>
      <c r="C11" s="10" t="s">
        <v>99</v>
      </c>
      <c r="D11" s="11" t="str">
        <f>IF(A11="","",IF(((S11="Blocked")+(V11="Blocked")+(Y11="Blocked")+(AC11="Blocked")+(AI11="Blocked")+(AL11="Blocked")+(AO11="Blocked")+(AR11="Blocked")+(AW11="Blocked")+(AZ11="Blocked")+(BC11="Blocked")+(BF11="Blocked")+(P11="Blocked")+(BJ11="Blocked")+(BL11="Blocked")+(BN11="Blocked")+(BO11="Blocked"))&gt;0,"Blocked",IF((ISNUMBER(Q11)+ISNUMBER(T11)+ISNUMBER(W11)+ISNUMBER(AA11)+ISNUMBER(AG11)+ISNUMBER(AJ11)+ISNUMBER(AM11)+ISNUMBER(AP11)+ISNUMBER(AU11)+ISNUMBER(AX11)+ISNUMBER(BA11)+ISNUMBER(BD11)+ISNUMBER(O11)+ISNUMBER(BI11)+ISNUMBER(BK11)+ISNUMBER(BM11))=0,"Yet to start",IF(AND(OR(NOT(ISNUMBER(Q11)),S11="Completed",S11="N/A"),OR(NOT(ISNUMBER(T11)),V11="Completed",V11="N/A"),OR(NOT(ISNUMBER(W11)),Y11="Completed",Y11="N/A"),OR(NOT(ISNUMBER(AA11)),AC11="Completed",AC11="N/A"),OR(NOT(ISNUMBER(AG11)),AI11="Completed",AI11="N/A"),OR(NOT(ISNUMBER(AJ11)),AL11="Completed",AL11="N/A"),OR(NOT(ISNUMBER(AM11)),AO11="Completed",AO11="N/A"),OR(NOT(ISNUMBER(AP11)),AR11="Completed",AR11="N/A"),OR(NOT(ISNUMBER(AU11)),AW11="Completed",AW11="N/A"),OR(NOT(ISNUMBER(AX11)),AZ11="Completed",AZ11="N/A"),OR(NOT(ISNUMBER(BA11)),BC11="Completed",BC11="N/A"),OR(NOT(ISNUMBER(BD11)),BF11="Completed",BF11="N/A"),OR(NOT(ISNUMBER(O11)),P11="Completed",P11="N/A"),OR(NOT(ISNUMBER(BI11)),BJ11="Completed",BJ11="N/A"),OR(NOT(ISNUMBER(BK11)),BL11="Completed",BL11="N/A"),OR(NOT(ISNUMBER(BM11)),BN11="Completed",BN11="N/A"),OR(BO11="Completed",BO11="N/A")),"Completed",IF(((S11="In Progress")+(V11="In Progress")+(Y11="In Progress")+(AC11="In Progress")+(AI11="In Progress")+(AL11="In Progress")+(AO11="In Progress")+(AR11="In Progress")+(AW11="In Progress")+(AZ11="In Progress")+(BC11="In Progress")+(BF11="In Progress")+(P11="In Progress")+(BJ11="In Progress")+(BL11="In Progress")+(BN11="In Progress")+(BO11="In Progress"))&gt;0,"In Progress","Yet to start")))))</f>
        <v>In Progress</v>
      </c>
      <c r="E11" s="11" t="str">
        <f>IF(A11="","",IF(F11="","All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Review","CAB"},MATCH(F11,BQ11:CF11,0))))</f>
        <v>Prod OUR</v>
      </c>
      <c r="F11" s="12">
        <f>IF(A11="","",IF(COUNT(BQ11:CF11)=0,"",MIN(BQ11:CF11)))</f>
        <v>46224</v>
      </c>
      <c r="G11" s="13">
        <f ca="1">IF(A11="","",MAX(0,IF(AND(ISNUMBER(Q11),S11&lt;&gt;"Completed",S11&lt;&gt;"N/A",Q11&lt;TODAY()),TODAY()-Q11,0),IF(AND(ISNUMBER(T11),V11&lt;&gt;"Completed",V11&lt;&gt;"N/A",T11&lt;TODAY()),TODAY()-T11,0),IF(AND(ISNUMBER(W11),Y11&lt;&gt;"Completed",Y11&lt;&gt;"N/A",W11&lt;TODAY()),TODAY()-W11,0),IF(AND(ISNUMBER(AA11),AC11&lt;&gt;"Completed",AC11&lt;&gt;"N/A",AA11&lt;TODAY()),TODAY()-AA11,0),IF(AND(ISNUMBER(AG11),AI11&lt;&gt;"Completed",AI11&lt;&gt;"N/A",AG11&lt;TODAY()),TODAY()-AG11,0),IF(AND(ISNUMBER(AJ11),AL11&lt;&gt;"Completed",AL11&lt;&gt;"N/A",AJ11&lt;TODAY()),TODAY()-AJ11,0),IF(AND(ISNUMBER(AM11),AO11&lt;&gt;"Completed",AO11&lt;&gt;"N/A",AM11&lt;TODAY()),TODAY()-AM11,0),IF(AND(ISNUMBER(AP11),AR11&lt;&gt;"Completed",AR11&lt;&gt;"N/A",AP11&lt;TODAY()),TODAY()-AP11,0),IF(AND(ISNUMBER(AU11),AW11&lt;&gt;"Completed",AW11&lt;&gt;"N/A",AU11&lt;TODAY()),TODAY()-AU11,0),IF(AND(ISNUMBER(AX11),AZ11&lt;&gt;"Completed",AZ11&lt;&gt;"N/A",AX11&lt;TODAY()),TODAY()-AX11,0),IF(AND(ISNUMBER(BA11),BC11&lt;&gt;"Completed",BC11&lt;&gt;"N/A",BA11&lt;TODAY()),TODAY()-BA11,0),IF(AND(ISNUMBER(BD11),BF11&lt;&gt;"Completed",BF11&lt;&gt;"N/A",BD11&lt;TODAY()),TODAY()-BD11,0),IF(AND(ISNUMBER(O11),P11&lt;&gt;"Completed",P11&lt;&gt;"N/A",O11&lt;TODAY()),TODAY()-O11,0),IF(AND(ISNUMBER(BM11),BN11&lt;&gt;"Completed",BN11&lt;&gt;"N/A",BM11&lt;TODAY()),TODAY()-BM11,0),IF(AND(ISNUMBER(BK11),BL11&lt;&gt;"Completed",BL11&lt;&gt;"N/A",BK11&lt;TODAY()),TODAY()-BK11,0),IF(AND(ISNUMBER(BI11),BJ11&lt;&gt;"Completed",BJ11&lt;&gt;"N/A",BI11&lt;TODAY()),TODAY()-BI11,0)))</f>
        <v>31</v>
      </c>
      <c r="H11" s="14">
        <v>46232</v>
      </c>
      <c r="I11" s="14">
        <v>46245</v>
      </c>
      <c r="J11" s="15">
        <v>46300</v>
      </c>
      <c r="K11" s="12">
        <f>IF(ISNUMBER(H11),H11,IF(ISNUMBER(M11),M11-WEEKDAY(M11,2)+1-7,""))</f>
        <v>46232</v>
      </c>
      <c r="L11" s="12">
        <f>IF(ISNUMBER(I11),I11,IF(ISNUMBER(H11),WORKDAY(H11,SprintWorkingDays-1),IF(ISNUMBER(K11),WORKDAY(K11,SprintWorkingDays-1),"")))</f>
        <v>46245</v>
      </c>
      <c r="M11" s="12">
        <f>IF(ISNUMBER(J11),J11,IF(ISNUMBER(I11),I11-IF(OR(WEEKDAY(I11,2)=2,WEEKDAY(I11,2)=4),0,IF(WEEKDAY(I11,2)=3,1,IF(WEEKDAY(I11,2)=1,4,WEEKDAY(I11,2)-4))),IF(ISNUMBER(H11),WORKDAY(H11,SprintWorkingDays-1)-IF(OR(WEEKDAY(WORKDAY(H11,SprintWorkingDays-1),2)=2,WEEKDAY(WORKDAY(H11,SprintWorkingDays-1),2)=4),0,IF(WEEKDAY(WORKDAY(H11,SprintWorkingDays-1),2)=3,1,IF(WEEKDAY(WORKDAY(H11,SprintWorkingDays-1),2)=1,4,WEEKDAY(WORKDAY(H11,SprintWorkingDays-1),2)-4))),"")))</f>
        <v>46300</v>
      </c>
      <c r="N11" s="12">
        <f>IF(NOT(ISNUMBER(K11)),"",WORKDAY(K11,ReadyOffsetWD))</f>
        <v>46231</v>
      </c>
      <c r="O11" s="12">
        <f>IF(NOT(ISNUMBER(K11)),"",WORKDAY(K11,SprintReadinessOffsetWD))</f>
        <v>46230</v>
      </c>
      <c r="P11" s="10" t="s">
        <v>30</v>
      </c>
      <c r="Q11" s="12">
        <f>IF(A11="","",IF(V11="N/A",IF(NOT(ISNUMBER(W11)),"",WORKDAY(W11,RTSKOffsetFromOUR_WD)),IF(NOT(ISNUMBER(T11)),"",WORKDAY(T11,RTSKOffsetFromOUR_WD))))</f>
        <v>46220</v>
      </c>
      <c r="R11" s="15">
        <v>46246</v>
      </c>
      <c r="S11" s="10" t="s">
        <v>32</v>
      </c>
      <c r="T11" s="12">
        <f>IF(OR(A11="",V11="N/A"),"",IF(NOT(ISNUMBER(W11)),"",WORKDAY(W11,OUROffsetFromSR_WD)))</f>
        <v>46224</v>
      </c>
      <c r="U11" s="15">
        <v>46234</v>
      </c>
      <c r="V11" s="10" t="s">
        <v>32</v>
      </c>
      <c r="W11" s="12">
        <f>IF(OR(A11="",NOT(ISNUMBER(K11))),"",WORKDAY(K11,SROffsetFromStartWD))</f>
        <v>46225</v>
      </c>
      <c r="X11" s="15">
        <v>46234</v>
      </c>
      <c r="Y11" s="10" t="s">
        <v>32</v>
      </c>
      <c r="Z11" s="10" t="s">
        <v>100</v>
      </c>
      <c r="AA11" s="12" t="str">
        <f>IF(OR(Z11="",Z11="N/A"),"",IF(ISNUMBER(Q11),Q11,""))</f>
        <v/>
      </c>
      <c r="AB11" s="15"/>
      <c r="AC11" s="10"/>
      <c r="AD11" s="10"/>
      <c r="AE11" s="10"/>
      <c r="AF11" s="10" t="str">
        <f>IF(Z11="N/A","N/A","")</f>
        <v>N/A</v>
      </c>
      <c r="AG11" s="12">
        <f>IF(NOT(ISNUMBER(Q11)),"",Q11)</f>
        <v>46220</v>
      </c>
      <c r="AH11" s="12">
        <v>46239</v>
      </c>
      <c r="AI11" s="10" t="s">
        <v>32</v>
      </c>
      <c r="AJ11" s="12">
        <f>IF(OR(AL11="N/A",NOT(ISNUMBER(T11))),"",T11)</f>
        <v>46224</v>
      </c>
      <c r="AK11" s="15">
        <v>46239</v>
      </c>
      <c r="AL11" s="10" t="s">
        <v>32</v>
      </c>
      <c r="AM11" s="12">
        <f>IF(NOT(ISNUMBER(W11)),"",W11)</f>
        <v>46225</v>
      </c>
      <c r="AN11" s="15">
        <v>46239</v>
      </c>
      <c r="AO11" s="10" t="s">
        <v>32</v>
      </c>
      <c r="AP11" s="12" t="str">
        <f>IF(OR(Z11="",Z11="N/A"),"",IF(ISNUMBER(AG11),AG11,""))</f>
        <v/>
      </c>
      <c r="AQ11" s="15"/>
      <c r="AR11" s="10"/>
      <c r="AS11" s="10"/>
      <c r="AT11" s="10"/>
      <c r="AU11" s="12">
        <f>IF(NOT(ISNUMBER(Q11)),"",Q11)</f>
        <v>46220</v>
      </c>
      <c r="AV11" s="15"/>
      <c r="AW11" s="10" t="s">
        <v>32</v>
      </c>
      <c r="AX11" s="12">
        <f>IF(OR(AZ11="N/A",NOT(ISNUMBER(T11))),"",T11)</f>
        <v>46224</v>
      </c>
      <c r="AY11" s="15"/>
      <c r="AZ11" s="10"/>
      <c r="BA11" s="12">
        <f>IF(NOT(ISNUMBER(W11)),"",W11)</f>
        <v>46225</v>
      </c>
      <c r="BB11" s="15"/>
      <c r="BC11" s="10"/>
      <c r="BD11" s="12" t="str">
        <f>IF(OR(Z11="",Z11="N/A"),"",IF(ISNUMBER(AU11),AU11,""))</f>
        <v/>
      </c>
      <c r="BE11" s="15"/>
      <c r="BF11" s="10"/>
      <c r="BG11" s="10"/>
      <c r="BH11" s="10"/>
      <c r="BI11" s="12">
        <v>46300</v>
      </c>
      <c r="BJ11" s="10"/>
      <c r="BK11" s="12">
        <f>IF(NOT(ISNUMBER(BI11)),"",IF(WEEKDAY(BI11-CodeReviewCalendarDays,2)&gt;5,BI11-CodeReviewCalendarDays-(WEEKDAY(BI11-CodeReviewCalendarDays,2)-5),BI11-CodeReviewCalendarDays))</f>
        <v>46297</v>
      </c>
      <c r="BL11" s="10"/>
      <c r="BM11" s="12">
        <f>IF(NOT(ISNUMBER(BK11)),"",IF(WEEKDAY(BK11-CodeReviewInviteCalendarDays,2)&gt;5,BK11-CodeReviewInviteCalendarDays-(WEEKDAY(BK11-CodeReviewInviteCalendarDays,2)-5),BK11-CodeReviewInviteCalendarDays))</f>
        <v>46293</v>
      </c>
      <c r="BN11" s="10"/>
      <c r="BO11" s="10"/>
      <c r="BP11" s="16" t="str">
        <f ca="1">IF(A11="","",IF(IF(AND(ISNUMBER(J11),WEEKDAY(J11,2)&lt;&gt;2,WEEKDAY(J11,2)&lt;&gt;4)," | Release must be Tuesday or Thursday","")&amp;IF(AND(ISNUMBER(H11),WEEKDAY(H11,2)&lt;&gt;1)," | Sprint Start is not a Monday - dates still calculated from the date entered","")&amp;IF(AND(A11&lt;&gt;"",NOT(ISNUMBER(H11)),NOT(ISNUMBER(J11)))," | Enter Sprint Start or Release Date","")&amp;IF(AND(ISNUMBER(F11),F11&lt;TODAY(),D11&lt;&gt;"Completed")," | One or more raise-by dates are in the past and not completed","")&amp;IF(AND(ISNUMBER(K11),K11-TODAY()&lt;SprintWarningDays,K11&gt;=TODAY(),OR(D11="Yet to start",D11="Blocked"))," | Sprint starts in under 10 days - raise access requests now","")&amp;IF(AND(ISNUMBER(BM11),BN11&lt;&gt;"Completed",BN11&lt;&gt;"N/A",BM11-TODAY()&lt;CodeReviewInviteCalendarDays)," | Code Review invite should be sent at least 4 days before Code Review","")="","",MID(IF(AND(ISNUMBER(J11),WEEKDAY(J11,2)&lt;&gt;2,WEEKDAY(J11,2)&lt;&gt;4)," | Release must be Tuesday or Thursday","")&amp;IF(AND(ISNUMBER(H11),WEEKDAY(H11,2)&lt;&gt;1)," | Sprint Start is not a Monday - dates still calculated from the date entered","")&amp;IF(AND(A11&lt;&gt;"",NOT(ISNUMBER(H11)),NOT(ISNUMBER(J11)))," | Enter Sprint Start or Release Date","")&amp;IF(AND(ISNUMBER(F11),F11&lt;TODAY(),D11&lt;&gt;"Completed")," | One or more raise-by dates are in the past and not completed","")&amp;IF(AND(ISNUMBER(K11),K11-TODAY()&lt;SprintWarningDays,K11&gt;=TODAY(),OR(D11="Yet to start",D11="Blocked"))," | Sprint starts in under 10 days - raise access requests now","")&amp;IF(AND(ISNUMBER(BM11),BN11&lt;&gt;"Completed",BN11&lt;&gt;"N/A",BM11-TODAY()&lt;CodeReviewInviteCalendarDays),"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11" s="1" t="str">
        <f>IF(AND(ISNUMBER(Q11),S11&lt;&gt;"Completed",S11&lt;&gt;"N/A"),Q11,"")</f>
        <v/>
      </c>
      <c r="BR11" s="1" t="str">
        <f>IF(AND(ISNUMBER(T11),V11&lt;&gt;"Completed",V11&lt;&gt;"N/A"),T11,"")</f>
        <v/>
      </c>
      <c r="BS11" s="1" t="str">
        <f>IF(AND(ISNUMBER(W11),Y11&lt;&gt;"Completed",Y11&lt;&gt;"N/A"),W11,"")</f>
        <v/>
      </c>
      <c r="BT11" s="1" t="str">
        <f>IF(AND(ISNUMBER(AA11),AC11&lt;&gt;"Completed",AC11&lt;&gt;"N/A"),AA11,"")</f>
        <v/>
      </c>
      <c r="BU11" s="1" t="str">
        <f>IF(AND(ISNUMBER(AG11),AI11&lt;&gt;"Completed",AI11&lt;&gt;"N/A"),AG11,"")</f>
        <v/>
      </c>
      <c r="BV11" s="1" t="str">
        <f>IF(AND(ISNUMBER(AJ11),AL11&lt;&gt;"Completed",AL11&lt;&gt;"N/A"),AJ11,"")</f>
        <v/>
      </c>
      <c r="BW11" s="1" t="str">
        <f>IF(AND(ISNUMBER(AM11),AO11&lt;&gt;"Completed",AO11&lt;&gt;"N/A"),AM11,"")</f>
        <v/>
      </c>
      <c r="BX11" s="1" t="str">
        <f>IF(AND(ISNUMBER(AP11),AR11&lt;&gt;"Completed",AR11&lt;&gt;"N/A"),AP11,"")</f>
        <v/>
      </c>
      <c r="BY11" s="1" t="str">
        <f>IF(AND(ISNUMBER(AU11),AW11&lt;&gt;"Completed",AW11&lt;&gt;"N/A"),AU11,"")</f>
        <v/>
      </c>
      <c r="BZ11" s="1">
        <f>IF(AND(ISNUMBER(AX11),AZ11&lt;&gt;"Completed",AZ11&lt;&gt;"N/A"),AX11,"")</f>
        <v>46224</v>
      </c>
      <c r="CA11" s="1">
        <f>IF(AND(ISNUMBER(BA11),BC11&lt;&gt;"Completed",BC11&lt;&gt;"N/A"),BA11,"")</f>
        <v>46225</v>
      </c>
      <c r="CB11" s="1" t="str">
        <f>IF(AND(ISNUMBER(BD11),BF11&lt;&gt;"Completed",BF11&lt;&gt;"N/A"),BD11,"")</f>
        <v/>
      </c>
      <c r="CC11" s="1">
        <f>IF(AND(ISNUMBER(O11),P11&lt;&gt;"Completed",P11&lt;&gt;"N/A"),O11,"")</f>
        <v>46230</v>
      </c>
      <c r="CD11" s="1">
        <f>IF(AND(ISNUMBER(BM11),BN11&lt;&gt;"Completed",BN11&lt;&gt;"N/A"),BM11,"")</f>
        <v>46293</v>
      </c>
      <c r="CE11" s="1">
        <f>IF(AND(ISNUMBER(BK11),BL11&lt;&gt;"Completed",BL11&lt;&gt;"N/A"),BK11,"")</f>
        <v>46297</v>
      </c>
      <c r="CF11" s="1">
        <f>IF(AND(ISNUMBER(BI11),BJ11&lt;&gt;"Completed",BJ11&lt;&gt;"N/A"),BI11,"")</f>
        <v>46300</v>
      </c>
      <c r="CG11" s="1">
        <f ca="1">IF(OR(A11="",D11="Completed"),"",IF(N(G11)&gt;0,1/(N(G11)+ROW()/100000),IF(ISNUMBER(F11),1000+F11+ROW()/100000,TODAY()+400+ROW()/100000)))</f>
        <v>3.22579500524353E-2</v>
      </c>
    </row>
    <row r="12" spans="1:85" ht="15.95" customHeight="1">
      <c r="A12" s="10" t="s">
        <v>112</v>
      </c>
      <c r="B12" s="10" t="s">
        <v>98</v>
      </c>
      <c r="C12" s="10" t="s">
        <v>99</v>
      </c>
      <c r="D12" s="11" t="str">
        <f>IF(A12="","",IF(((S12="Blocked")+(V12="Blocked")+(Y12="Blocked")+(AC12="Blocked")+(AI12="Blocked")+(AL12="Blocked")+(AO12="Blocked")+(AR12="Blocked")+(AW12="Blocked")+(AZ12="Blocked")+(BC12="Blocked")+(BF12="Blocked")+(P12="Blocked")+(BJ12="Blocked")+(BL12="Blocked")+(BN12="Blocked")+(BO12="Blocked"))&gt;0,"Blocked",IF((ISNUMBER(Q12)+ISNUMBER(T12)+ISNUMBER(W12)+ISNUMBER(AA12)+ISNUMBER(AG12)+ISNUMBER(AJ12)+ISNUMBER(AM12)+ISNUMBER(AP12)+ISNUMBER(AU12)+ISNUMBER(AX12)+ISNUMBER(BA12)+ISNUMBER(BD12)+ISNUMBER(O12)+ISNUMBER(BI12)+ISNUMBER(BK12)+ISNUMBER(BM12))=0,"Yet to start",IF(AND(OR(NOT(ISNUMBER(Q12)),S12="Completed",S12="N/A"),OR(NOT(ISNUMBER(T12)),V12="Completed",V12="N/A"),OR(NOT(ISNUMBER(W12)),Y12="Completed",Y12="N/A"),OR(NOT(ISNUMBER(AA12)),AC12="Completed",AC12="N/A"),OR(NOT(ISNUMBER(AG12)),AI12="Completed",AI12="N/A"),OR(NOT(ISNUMBER(AJ12)),AL12="Completed",AL12="N/A"),OR(NOT(ISNUMBER(AM12)),AO12="Completed",AO12="N/A"),OR(NOT(ISNUMBER(AP12)),AR12="Completed",AR12="N/A"),OR(NOT(ISNUMBER(AU12)),AW12="Completed",AW12="N/A"),OR(NOT(ISNUMBER(AX12)),AZ12="Completed",AZ12="N/A"),OR(NOT(ISNUMBER(BA12)),BC12="Completed",BC12="N/A"),OR(NOT(ISNUMBER(BD12)),BF12="Completed",BF12="N/A"),OR(NOT(ISNUMBER(O12)),P12="Completed",P12="N/A"),OR(NOT(ISNUMBER(BI12)),BJ12="Completed",BJ12="N/A"),OR(NOT(ISNUMBER(BK12)),BL12="Completed",BL12="N/A"),OR(NOT(ISNUMBER(BM12)),BN12="Completed",BN12="N/A"),OR(BO12="Completed",BO12="N/A")),"Completed",IF(((S12="In Progress")+(V12="In Progress")+(Y12="In Progress")+(AC12="In Progress")+(AI12="In Progress")+(AL12="In Progress")+(AO12="In Progress")+(AR12="In Progress")+(AW12="In Progress")+(AZ12="In Progress")+(BC12="In Progress")+(BF12="In Progress")+(P12="In Progress")+(BJ12="In Progress")+(BL12="In Progress")+(BN12="In Progress")+(BO12="In Progress"))&gt;0,"In Progress","Yet to start")))))</f>
        <v>In Progress</v>
      </c>
      <c r="E12" s="11" t="str">
        <f>IF(A12="","",IF(F12="","All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Review","CAB"},MATCH(F12,BQ12:CF12,0))))</f>
        <v>Prod OUR</v>
      </c>
      <c r="F12" s="12">
        <f>IF(A12="","",IF(COUNT(BQ12:CF12)=0,"",MIN(BQ12:CF12)))</f>
        <v>46224</v>
      </c>
      <c r="G12" s="13">
        <f ca="1">IF(A12="","",MAX(0,IF(AND(ISNUMBER(Q12),S12&lt;&gt;"Completed",S12&lt;&gt;"N/A",Q12&lt;TODAY()),TODAY()-Q12,0),IF(AND(ISNUMBER(T12),V12&lt;&gt;"Completed",V12&lt;&gt;"N/A",T12&lt;TODAY()),TODAY()-T12,0),IF(AND(ISNUMBER(W12),Y12&lt;&gt;"Completed",Y12&lt;&gt;"N/A",W12&lt;TODAY()),TODAY()-W12,0),IF(AND(ISNUMBER(AA12),AC12&lt;&gt;"Completed",AC12&lt;&gt;"N/A",AA12&lt;TODAY()),TODAY()-AA12,0),IF(AND(ISNUMBER(AG12),AI12&lt;&gt;"Completed",AI12&lt;&gt;"N/A",AG12&lt;TODAY()),TODAY()-AG12,0),IF(AND(ISNUMBER(AJ12),AL12&lt;&gt;"Completed",AL12&lt;&gt;"N/A",AJ12&lt;TODAY()),TODAY()-AJ12,0),IF(AND(ISNUMBER(AM12),AO12&lt;&gt;"Completed",AO12&lt;&gt;"N/A",AM12&lt;TODAY()),TODAY()-AM12,0),IF(AND(ISNUMBER(AP12),AR12&lt;&gt;"Completed",AR12&lt;&gt;"N/A",AP12&lt;TODAY()),TODAY()-AP12,0),IF(AND(ISNUMBER(AU12),AW12&lt;&gt;"Completed",AW12&lt;&gt;"N/A",AU12&lt;TODAY()),TODAY()-AU12,0),IF(AND(ISNUMBER(AX12),AZ12&lt;&gt;"Completed",AZ12&lt;&gt;"N/A",AX12&lt;TODAY()),TODAY()-AX12,0),IF(AND(ISNUMBER(BA12),BC12&lt;&gt;"Completed",BC12&lt;&gt;"N/A",BA12&lt;TODAY()),TODAY()-BA12,0),IF(AND(ISNUMBER(BD12),BF12&lt;&gt;"Completed",BF12&lt;&gt;"N/A",BD12&lt;TODAY()),TODAY()-BD12,0),IF(AND(ISNUMBER(O12),P12&lt;&gt;"Completed",P12&lt;&gt;"N/A",O12&lt;TODAY()),TODAY()-O12,0),IF(AND(ISNUMBER(BM12),BN12&lt;&gt;"Completed",BN12&lt;&gt;"N/A",BM12&lt;TODAY()),TODAY()-BM12,0),IF(AND(ISNUMBER(BK12),BL12&lt;&gt;"Completed",BL12&lt;&gt;"N/A",BK12&lt;TODAY()),TODAY()-BK12,0),IF(AND(ISNUMBER(BI12),BJ12&lt;&gt;"Completed",BJ12&lt;&gt;"N/A",BI12&lt;TODAY()),TODAY()-BI12,0)))</f>
        <v>31</v>
      </c>
      <c r="H12" s="14">
        <v>46232</v>
      </c>
      <c r="I12" s="14">
        <v>46245</v>
      </c>
      <c r="J12" s="15">
        <v>46300</v>
      </c>
      <c r="K12" s="12">
        <f>IF(ISNUMBER(H12),H12,IF(ISNUMBER(M12),M12-WEEKDAY(M12,2)+1-7,""))</f>
        <v>46232</v>
      </c>
      <c r="L12" s="12">
        <f>IF(ISNUMBER(I12),I12,IF(ISNUMBER(H12),WORKDAY(H12,SprintWorkingDays-1),IF(ISNUMBER(K12),WORKDAY(K12,SprintWorkingDays-1),"")))</f>
        <v>46245</v>
      </c>
      <c r="M12" s="12">
        <f>IF(ISNUMBER(J12),J12,IF(ISNUMBER(I12),I12-IF(OR(WEEKDAY(I12,2)=2,WEEKDAY(I12,2)=4),0,IF(WEEKDAY(I12,2)=3,1,IF(WEEKDAY(I12,2)=1,4,WEEKDAY(I12,2)-4))),IF(ISNUMBER(H12),WORKDAY(H12,SprintWorkingDays-1)-IF(OR(WEEKDAY(WORKDAY(H12,SprintWorkingDays-1),2)=2,WEEKDAY(WORKDAY(H12,SprintWorkingDays-1),2)=4),0,IF(WEEKDAY(WORKDAY(H12,SprintWorkingDays-1),2)=3,1,IF(WEEKDAY(WORKDAY(H12,SprintWorkingDays-1),2)=1,4,WEEKDAY(WORKDAY(H12,SprintWorkingDays-1),2)-4))),"")))</f>
        <v>46300</v>
      </c>
      <c r="N12" s="12">
        <f>IF(NOT(ISNUMBER(K12)),"",WORKDAY(K12,ReadyOffsetWD))</f>
        <v>46231</v>
      </c>
      <c r="O12" s="12">
        <f>IF(NOT(ISNUMBER(K12)),"",WORKDAY(K12,SprintReadinessOffsetWD))</f>
        <v>46230</v>
      </c>
      <c r="P12" s="10" t="s">
        <v>30</v>
      </c>
      <c r="Q12" s="12">
        <f>IF(A12="","",IF(V12="N/A",IF(NOT(ISNUMBER(W12)),"",WORKDAY(W12,RTSKOffsetFromOUR_WD)),IF(NOT(ISNUMBER(T12)),"",WORKDAY(T12,RTSKOffsetFromOUR_WD))))</f>
        <v>46220</v>
      </c>
      <c r="R12" s="15">
        <v>46246</v>
      </c>
      <c r="S12" s="10" t="s">
        <v>32</v>
      </c>
      <c r="T12" s="12">
        <f>IF(OR(A12="",V12="N/A"),"",IF(NOT(ISNUMBER(W12)),"",WORKDAY(W12,OUROffsetFromSR_WD)))</f>
        <v>46224</v>
      </c>
      <c r="U12" s="15">
        <v>46234</v>
      </c>
      <c r="V12" s="10" t="s">
        <v>32</v>
      </c>
      <c r="W12" s="12">
        <f>IF(OR(A12="",NOT(ISNUMBER(K12))),"",WORKDAY(K12,SROffsetFromStartWD))</f>
        <v>46225</v>
      </c>
      <c r="X12" s="15">
        <v>46234</v>
      </c>
      <c r="Y12" s="10" t="s">
        <v>32</v>
      </c>
      <c r="Z12" s="10" t="s">
        <v>100</v>
      </c>
      <c r="AA12" s="12" t="str">
        <f>IF(OR(Z12="",Z12="N/A"),"",IF(ISNUMBER(Q12),Q12,""))</f>
        <v/>
      </c>
      <c r="AB12" s="15"/>
      <c r="AC12" s="10"/>
      <c r="AD12" s="10"/>
      <c r="AE12" s="10"/>
      <c r="AF12" s="10" t="str">
        <f>IF(Z12="N/A","N/A","")</f>
        <v>N/A</v>
      </c>
      <c r="AG12" s="12">
        <f>IF(NOT(ISNUMBER(Q12)),"",Q12)</f>
        <v>46220</v>
      </c>
      <c r="AH12" s="12">
        <v>46239</v>
      </c>
      <c r="AI12" s="10" t="s">
        <v>32</v>
      </c>
      <c r="AJ12" s="12">
        <f>IF(OR(AL12="N/A",NOT(ISNUMBER(T12))),"",T12)</f>
        <v>46224</v>
      </c>
      <c r="AK12" s="15">
        <v>46239</v>
      </c>
      <c r="AL12" s="10" t="s">
        <v>32</v>
      </c>
      <c r="AM12" s="12">
        <f>IF(NOT(ISNUMBER(W12)),"",W12)</f>
        <v>46225</v>
      </c>
      <c r="AN12" s="15">
        <v>46239</v>
      </c>
      <c r="AO12" s="10" t="s">
        <v>32</v>
      </c>
      <c r="AP12" s="12" t="str">
        <f>IF(OR(Z12="",Z12="N/A"),"",IF(ISNUMBER(AG12),AG12,""))</f>
        <v/>
      </c>
      <c r="AQ12" s="15"/>
      <c r="AR12" s="10"/>
      <c r="AS12" s="10"/>
      <c r="AT12" s="10"/>
      <c r="AU12" s="12">
        <f>IF(NOT(ISNUMBER(Q12)),"",Q12)</f>
        <v>46220</v>
      </c>
      <c r="AV12" s="15"/>
      <c r="AW12" s="10" t="s">
        <v>32</v>
      </c>
      <c r="AX12" s="12">
        <f>IF(OR(AZ12="N/A",NOT(ISNUMBER(T12))),"",T12)</f>
        <v>46224</v>
      </c>
      <c r="AY12" s="15"/>
      <c r="AZ12" s="10"/>
      <c r="BA12" s="12">
        <f>IF(NOT(ISNUMBER(W12)),"",W12)</f>
        <v>46225</v>
      </c>
      <c r="BB12" s="15"/>
      <c r="BC12" s="10"/>
      <c r="BD12" s="12" t="str">
        <f>IF(OR(Z12="",Z12="N/A"),"",IF(ISNUMBER(AU12),AU12,""))</f>
        <v/>
      </c>
      <c r="BE12" s="15"/>
      <c r="BF12" s="10"/>
      <c r="BG12" s="10"/>
      <c r="BH12" s="10"/>
      <c r="BI12" s="12">
        <v>46300</v>
      </c>
      <c r="BJ12" s="10"/>
      <c r="BK12" s="12">
        <f>IF(NOT(ISNUMBER(BI12)),"",IF(WEEKDAY(BI12-CodeReviewCalendarDays,2)&gt;5,BI12-CodeReviewCalendarDays-(WEEKDAY(BI12-CodeReviewCalendarDays,2)-5),BI12-CodeReviewCalendarDays))</f>
        <v>46297</v>
      </c>
      <c r="BL12" s="10"/>
      <c r="BM12" s="12">
        <f>IF(NOT(ISNUMBER(BK12)),"",IF(WEEKDAY(BK12-CodeReviewInviteCalendarDays,2)&gt;5,BK12-CodeReviewInviteCalendarDays-(WEEKDAY(BK12-CodeReviewInviteCalendarDays,2)-5),BK12-CodeReviewInviteCalendarDays))</f>
        <v>46293</v>
      </c>
      <c r="BN12" s="10"/>
      <c r="BO12" s="10"/>
      <c r="BP12" s="16" t="str">
        <f ca="1">IF(A12="","",IF(IF(AND(ISNUMBER(J12),WEEKDAY(J12,2)&lt;&gt;2,WEEKDAY(J12,2)&lt;&gt;4)," | Release must be Tuesday or Thursday","")&amp;IF(AND(ISNUMBER(H12),WEEKDAY(H12,2)&lt;&gt;1)," | Sprint Start is not a Monday - dates still calculated from the date entered","")&amp;IF(AND(A12&lt;&gt;"",NOT(ISNUMBER(H12)),NOT(ISNUMBER(J12)))," | Enter Sprint Start or Release Date","")&amp;IF(AND(ISNUMBER(F12),F12&lt;TODAY(),D12&lt;&gt;"Completed")," | One or more raise-by dates are in the past and not completed","")&amp;IF(AND(ISNUMBER(K12),K12-TODAY()&lt;SprintWarningDays,K12&gt;=TODAY(),OR(D12="Yet to start",D12="Blocked"))," | Sprint starts in under 10 days - raise access requests now","")&amp;IF(AND(ISNUMBER(BM12),BN12&lt;&gt;"Completed",BN12&lt;&gt;"N/A",BM12-TODAY()&lt;CodeReviewInviteCalendarDays)," | Code Review invite should be sent at least 4 days before Code Review","")="","",MID(IF(AND(ISNUMBER(J12),WEEKDAY(J12,2)&lt;&gt;2,WEEKDAY(J12,2)&lt;&gt;4)," | Release must be Tuesday or Thursday","")&amp;IF(AND(ISNUMBER(H12),WEEKDAY(H12,2)&lt;&gt;1)," | Sprint Start is not a Monday - dates still calculated from the date entered","")&amp;IF(AND(A12&lt;&gt;"",NOT(ISNUMBER(H12)),NOT(ISNUMBER(J12)))," | Enter Sprint Start or Release Date","")&amp;IF(AND(ISNUMBER(F12),F12&lt;TODAY(),D12&lt;&gt;"Completed")," | One or more raise-by dates are in the past and not completed","")&amp;IF(AND(ISNUMBER(K12),K12-TODAY()&lt;SprintWarningDays,K12&gt;=TODAY(),OR(D12="Yet to start",D12="Blocked"))," | Sprint starts in under 10 days - raise access requests now","")&amp;IF(AND(ISNUMBER(BM12),BN12&lt;&gt;"Completed",BN12&lt;&gt;"N/A",BM12-TODAY()&lt;CodeReviewInviteCalendarDays),"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12" s="1" t="str">
        <f>IF(AND(ISNUMBER(Q12),S12&lt;&gt;"Completed",S12&lt;&gt;"N/A"),Q12,"")</f>
        <v/>
      </c>
      <c r="BR12" s="1" t="str">
        <f>IF(AND(ISNUMBER(T12),V12&lt;&gt;"Completed",V12&lt;&gt;"N/A"),T12,"")</f>
        <v/>
      </c>
      <c r="BS12" s="1" t="str">
        <f>IF(AND(ISNUMBER(W12),Y12&lt;&gt;"Completed",Y12&lt;&gt;"N/A"),W12,"")</f>
        <v/>
      </c>
      <c r="BT12" s="1" t="str">
        <f>IF(AND(ISNUMBER(AA12),AC12&lt;&gt;"Completed",AC12&lt;&gt;"N/A"),AA12,"")</f>
        <v/>
      </c>
      <c r="BU12" s="1" t="str">
        <f>IF(AND(ISNUMBER(AG12),AI12&lt;&gt;"Completed",AI12&lt;&gt;"N/A"),AG12,"")</f>
        <v/>
      </c>
      <c r="BV12" s="1" t="str">
        <f>IF(AND(ISNUMBER(AJ12),AL12&lt;&gt;"Completed",AL12&lt;&gt;"N/A"),AJ12,"")</f>
        <v/>
      </c>
      <c r="BW12" s="1" t="str">
        <f>IF(AND(ISNUMBER(AM12),AO12&lt;&gt;"Completed",AO12&lt;&gt;"N/A"),AM12,"")</f>
        <v/>
      </c>
      <c r="BX12" s="1" t="str">
        <f>IF(AND(ISNUMBER(AP12),AR12&lt;&gt;"Completed",AR12&lt;&gt;"N/A"),AP12,"")</f>
        <v/>
      </c>
      <c r="BY12" s="1" t="str">
        <f>IF(AND(ISNUMBER(AU12),AW12&lt;&gt;"Completed",AW12&lt;&gt;"N/A"),AU12,"")</f>
        <v/>
      </c>
      <c r="BZ12" s="1">
        <f>IF(AND(ISNUMBER(AX12),AZ12&lt;&gt;"Completed",AZ12&lt;&gt;"N/A"),AX12,"")</f>
        <v>46224</v>
      </c>
      <c r="CA12" s="1">
        <f>IF(AND(ISNUMBER(BA12),BC12&lt;&gt;"Completed",BC12&lt;&gt;"N/A"),BA12,"")</f>
        <v>46225</v>
      </c>
      <c r="CB12" s="1" t="str">
        <f>IF(AND(ISNUMBER(BD12),BF12&lt;&gt;"Completed",BF12&lt;&gt;"N/A"),BD12,"")</f>
        <v/>
      </c>
      <c r="CC12" s="1">
        <f>IF(AND(ISNUMBER(O12),P12&lt;&gt;"Completed",P12&lt;&gt;"N/A"),O12,"")</f>
        <v>46230</v>
      </c>
      <c r="CD12" s="1">
        <f>IF(AND(ISNUMBER(BM12),BN12&lt;&gt;"Completed",BN12&lt;&gt;"N/A"),BM12,"")</f>
        <v>46293</v>
      </c>
      <c r="CE12" s="1">
        <f>IF(AND(ISNUMBER(BK12),BL12&lt;&gt;"Completed",BL12&lt;&gt;"N/A"),BK12,"")</f>
        <v>46297</v>
      </c>
      <c r="CF12" s="1">
        <f>IF(AND(ISNUMBER(BI12),BJ12&lt;&gt;"Completed",BJ12&lt;&gt;"N/A"),BI12,"")</f>
        <v>46300</v>
      </c>
      <c r="CG12" s="1">
        <f ca="1">IF(OR(A12="",D12="Completed"),"",IF(N(G12)&gt;0,1/(N(G12)+ROW()/100000),IF(ISNUMBER(F12),1000+F12+ROW()/100000,TODAY()+400+ROW()/100000)))</f>
        <v>3.2257939646685239E-2</v>
      </c>
    </row>
    <row r="13" spans="1:85" ht="15.95" customHeight="1">
      <c r="A13" s="10" t="s">
        <v>113</v>
      </c>
      <c r="B13" s="10" t="s">
        <v>98</v>
      </c>
      <c r="C13" s="10" t="s">
        <v>99</v>
      </c>
      <c r="D13" s="11" t="str">
        <f>IF(A13="","",IF(((S13="Blocked")+(V13="Blocked")+(Y13="Blocked")+(AC13="Blocked")+(AI13="Blocked")+(AL13="Blocked")+(AO13="Blocked")+(AR13="Blocked")+(AW13="Blocked")+(AZ13="Blocked")+(BC13="Blocked")+(BF13="Blocked")+(P13="Blocked")+(BJ13="Blocked")+(BL13="Blocked")+(BN13="Blocked")+(BO13="Blocked"))&gt;0,"Blocked",IF((ISNUMBER(Q13)+ISNUMBER(T13)+ISNUMBER(W13)+ISNUMBER(AA13)+ISNUMBER(AG13)+ISNUMBER(AJ13)+ISNUMBER(AM13)+ISNUMBER(AP13)+ISNUMBER(AU13)+ISNUMBER(AX13)+ISNUMBER(BA13)+ISNUMBER(BD13)+ISNUMBER(O13)+ISNUMBER(BI13)+ISNUMBER(BK13)+ISNUMBER(BM13))=0,"Yet to start",IF(AND(OR(NOT(ISNUMBER(Q13)),S13="Completed",S13="N/A"),OR(NOT(ISNUMBER(T13)),V13="Completed",V13="N/A"),OR(NOT(ISNUMBER(W13)),Y13="Completed",Y13="N/A"),OR(NOT(ISNUMBER(AA13)),AC13="Completed",AC13="N/A"),OR(NOT(ISNUMBER(AG13)),AI13="Completed",AI13="N/A"),OR(NOT(ISNUMBER(AJ13)),AL13="Completed",AL13="N/A"),OR(NOT(ISNUMBER(AM13)),AO13="Completed",AO13="N/A"),OR(NOT(ISNUMBER(AP13)),AR13="Completed",AR13="N/A"),OR(NOT(ISNUMBER(AU13)),AW13="Completed",AW13="N/A"),OR(NOT(ISNUMBER(AX13)),AZ13="Completed",AZ13="N/A"),OR(NOT(ISNUMBER(BA13)),BC13="Completed",BC13="N/A"),OR(NOT(ISNUMBER(BD13)),BF13="Completed",BF13="N/A"),OR(NOT(ISNUMBER(O13)),P13="Completed",P13="N/A"),OR(NOT(ISNUMBER(BI13)),BJ13="Completed",BJ13="N/A"),OR(NOT(ISNUMBER(BK13)),BL13="Completed",BL13="N/A"),OR(NOT(ISNUMBER(BM13)),BN13="Completed",BN13="N/A"),OR(BO13="Completed",BO13="N/A")),"Completed",IF(((S13="In Progress")+(V13="In Progress")+(Y13="In Progress")+(AC13="In Progress")+(AI13="In Progress")+(AL13="In Progress")+(AO13="In Progress")+(AR13="In Progress")+(AW13="In Progress")+(AZ13="In Progress")+(BC13="In Progress")+(BF13="In Progress")+(P13="In Progress")+(BJ13="In Progress")+(BL13="In Progress")+(BN13="In Progress")+(BO13="In Progress"))&gt;0,"In Progress","Yet to start")))))</f>
        <v>In Progress</v>
      </c>
      <c r="E13" s="11" t="str">
        <f>IF(A13="","",IF(F13="","All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Review","CAB"},MATCH(F13,BQ13:CF13,0))))</f>
        <v>Dev File R-Task</v>
      </c>
      <c r="F13" s="12">
        <f>IF(A13="","",IF(COUNT(BQ13:CF13)=0,"",MIN(BQ13:CF13)))</f>
        <v>46220</v>
      </c>
      <c r="G13" s="13">
        <f ca="1">IF(A13="","",MAX(0,IF(AND(ISNUMBER(Q13),S13&lt;&gt;"Completed",S13&lt;&gt;"N/A",Q13&lt;TODAY()),TODAY()-Q13,0),IF(AND(ISNUMBER(T13),V13&lt;&gt;"Completed",V13&lt;&gt;"N/A",T13&lt;TODAY()),TODAY()-T13,0),IF(AND(ISNUMBER(W13),Y13&lt;&gt;"Completed",Y13&lt;&gt;"N/A",W13&lt;TODAY()),TODAY()-W13,0),IF(AND(ISNUMBER(AA13),AC13&lt;&gt;"Completed",AC13&lt;&gt;"N/A",AA13&lt;TODAY()),TODAY()-AA13,0),IF(AND(ISNUMBER(AG13),AI13&lt;&gt;"Completed",AI13&lt;&gt;"N/A",AG13&lt;TODAY()),TODAY()-AG13,0),IF(AND(ISNUMBER(AJ13),AL13&lt;&gt;"Completed",AL13&lt;&gt;"N/A",AJ13&lt;TODAY()),TODAY()-AJ13,0),IF(AND(ISNUMBER(AM13),AO13&lt;&gt;"Completed",AO13&lt;&gt;"N/A",AM13&lt;TODAY()),TODAY()-AM13,0),IF(AND(ISNUMBER(AP13),AR13&lt;&gt;"Completed",AR13&lt;&gt;"N/A",AP13&lt;TODAY()),TODAY()-AP13,0),IF(AND(ISNUMBER(AU13),AW13&lt;&gt;"Completed",AW13&lt;&gt;"N/A",AU13&lt;TODAY()),TODAY()-AU13,0),IF(AND(ISNUMBER(AX13),AZ13&lt;&gt;"Completed",AZ13&lt;&gt;"N/A",AX13&lt;TODAY()),TODAY()-AX13,0),IF(AND(ISNUMBER(BA13),BC13&lt;&gt;"Completed",BC13&lt;&gt;"N/A",BA13&lt;TODAY()),TODAY()-BA13,0),IF(AND(ISNUMBER(BD13),BF13&lt;&gt;"Completed",BF13&lt;&gt;"N/A",BD13&lt;TODAY()),TODAY()-BD13,0),IF(AND(ISNUMBER(O13),P13&lt;&gt;"Completed",P13&lt;&gt;"N/A",O13&lt;TODAY()),TODAY()-O13,0),IF(AND(ISNUMBER(BM13),BN13&lt;&gt;"Completed",BN13&lt;&gt;"N/A",BM13&lt;TODAY()),TODAY()-BM13,0),IF(AND(ISNUMBER(BK13),BL13&lt;&gt;"Completed",BL13&lt;&gt;"N/A",BK13&lt;TODAY()),TODAY()-BK13,0),IF(AND(ISNUMBER(BI13),BJ13&lt;&gt;"Completed",BJ13&lt;&gt;"N/A",BI13&lt;TODAY()),TODAY()-BI13,0)))</f>
        <v>35</v>
      </c>
      <c r="H13" s="14">
        <v>46232</v>
      </c>
      <c r="I13" s="14">
        <v>46245</v>
      </c>
      <c r="J13" s="15">
        <v>46300</v>
      </c>
      <c r="K13" s="12">
        <f>IF(ISNUMBER(H13),H13,IF(ISNUMBER(M13),M13-WEEKDAY(M13,2)+1-7,""))</f>
        <v>46232</v>
      </c>
      <c r="L13" s="12">
        <f>IF(ISNUMBER(I13),I13,IF(ISNUMBER(H13),WORKDAY(H13,SprintWorkingDays-1),IF(ISNUMBER(K13),WORKDAY(K13,SprintWorkingDays-1),"")))</f>
        <v>46245</v>
      </c>
      <c r="M13" s="12">
        <f>IF(ISNUMBER(J13),J13,IF(ISNUMBER(I13),I13-IF(OR(WEEKDAY(I13,2)=2,WEEKDAY(I13,2)=4),0,IF(WEEKDAY(I13,2)=3,1,IF(WEEKDAY(I13,2)=1,4,WEEKDAY(I13,2)-4))),IF(ISNUMBER(H13),WORKDAY(H13,SprintWorkingDays-1)-IF(OR(WEEKDAY(WORKDAY(H13,SprintWorkingDays-1),2)=2,WEEKDAY(WORKDAY(H13,SprintWorkingDays-1),2)=4),0,IF(WEEKDAY(WORKDAY(H13,SprintWorkingDays-1),2)=3,1,IF(WEEKDAY(WORKDAY(H13,SprintWorkingDays-1),2)=1,4,WEEKDAY(WORKDAY(H13,SprintWorkingDays-1),2)-4))),"")))</f>
        <v>46300</v>
      </c>
      <c r="N13" s="12">
        <f>IF(NOT(ISNUMBER(K13)),"",WORKDAY(K13,ReadyOffsetWD))</f>
        <v>46231</v>
      </c>
      <c r="O13" s="12">
        <f>IF(NOT(ISNUMBER(K13)),"",WORKDAY(K13,SprintReadinessOffsetWD))</f>
        <v>46230</v>
      </c>
      <c r="P13" s="10" t="s">
        <v>30</v>
      </c>
      <c r="Q13" s="12">
        <f>IF(A13="","",IF(V13="N/A",IF(NOT(ISNUMBER(W13)),"",WORKDAY(W13,RTSKOffsetFromOUR_WD)),IF(NOT(ISNUMBER(T13)),"",WORKDAY(T13,RTSKOffsetFromOUR_WD))))</f>
        <v>46220</v>
      </c>
      <c r="R13" s="15">
        <v>46246</v>
      </c>
      <c r="S13" s="10" t="s">
        <v>32</v>
      </c>
      <c r="T13" s="12">
        <f>IF(OR(A13="",V13="N/A"),"",IF(NOT(ISNUMBER(W13)),"",WORKDAY(W13,OUROffsetFromSR_WD)))</f>
        <v>46224</v>
      </c>
      <c r="U13" s="15">
        <v>46234</v>
      </c>
      <c r="V13" s="10" t="s">
        <v>32</v>
      </c>
      <c r="W13" s="12">
        <f>IF(OR(A13="",NOT(ISNUMBER(K13))),"",WORKDAY(K13,SROffsetFromStartWD))</f>
        <v>46225</v>
      </c>
      <c r="X13" s="15">
        <v>46234</v>
      </c>
      <c r="Y13" s="10" t="s">
        <v>32</v>
      </c>
      <c r="Z13" s="10" t="s">
        <v>114</v>
      </c>
      <c r="AA13" s="12">
        <f>IF(OR(Z13="",Z13="N/A"),"",IF(ISNUMBER(Q13),Q13,""))</f>
        <v>46220</v>
      </c>
      <c r="AB13" s="15"/>
      <c r="AC13" s="10"/>
      <c r="AD13" s="10"/>
      <c r="AE13" s="10"/>
      <c r="AF13" s="10"/>
      <c r="AG13" s="12">
        <f>IF(NOT(ISNUMBER(Q13)),"",Q13)</f>
        <v>46220</v>
      </c>
      <c r="AH13" s="12">
        <v>46239</v>
      </c>
      <c r="AI13" s="10" t="s">
        <v>32</v>
      </c>
      <c r="AJ13" s="12">
        <f>IF(OR(AL13="N/A",NOT(ISNUMBER(T13))),"",T13)</f>
        <v>46224</v>
      </c>
      <c r="AK13" s="15">
        <v>46239</v>
      </c>
      <c r="AL13" s="10" t="s">
        <v>32</v>
      </c>
      <c r="AM13" s="12">
        <f>IF(NOT(ISNUMBER(W13)),"",W13)</f>
        <v>46225</v>
      </c>
      <c r="AN13" s="15">
        <v>46239</v>
      </c>
      <c r="AO13" s="10" t="s">
        <v>32</v>
      </c>
      <c r="AP13" s="12">
        <f>IF(OR(Z13="",Z13="N/A"),"",IF(ISNUMBER(AG13),AG13,""))</f>
        <v>46220</v>
      </c>
      <c r="AQ13" s="15"/>
      <c r="AR13" s="10"/>
      <c r="AS13" s="10"/>
      <c r="AT13" s="10"/>
      <c r="AU13" s="12">
        <f>IF(NOT(ISNUMBER(Q13)),"",Q13)</f>
        <v>46220</v>
      </c>
      <c r="AV13" s="15"/>
      <c r="AW13" s="10" t="s">
        <v>32</v>
      </c>
      <c r="AX13" s="12">
        <f>IF(OR(AZ13="N/A",NOT(ISNUMBER(T13))),"",T13)</f>
        <v>46224</v>
      </c>
      <c r="AY13" s="15"/>
      <c r="AZ13" s="10"/>
      <c r="BA13" s="12">
        <f>IF(NOT(ISNUMBER(W13)),"",W13)</f>
        <v>46225</v>
      </c>
      <c r="BB13" s="15"/>
      <c r="BC13" s="10"/>
      <c r="BD13" s="12">
        <f>IF(OR(Z13="",Z13="N/A"),"",IF(ISNUMBER(AU13),AU13,""))</f>
        <v>46220</v>
      </c>
      <c r="BE13" s="15"/>
      <c r="BF13" s="10"/>
      <c r="BG13" s="10"/>
      <c r="BH13" s="10"/>
      <c r="BI13" s="12">
        <v>46300</v>
      </c>
      <c r="BJ13" s="10"/>
      <c r="BK13" s="12">
        <f>IF(NOT(ISNUMBER(BI13)),"",IF(WEEKDAY(BI13-CodeReviewCalendarDays,2)&gt;5,BI13-CodeReviewCalendarDays-(WEEKDAY(BI13-CodeReviewCalendarDays,2)-5),BI13-CodeReviewCalendarDays))</f>
        <v>46297</v>
      </c>
      <c r="BL13" s="10"/>
      <c r="BM13" s="12">
        <f>IF(NOT(ISNUMBER(BK13)),"",IF(WEEKDAY(BK13-CodeReviewInviteCalendarDays,2)&gt;5,BK13-CodeReviewInviteCalendarDays-(WEEKDAY(BK13-CodeReviewInviteCalendarDays,2)-5),BK13-CodeReviewInviteCalendarDays))</f>
        <v>46293</v>
      </c>
      <c r="BN13" s="10"/>
      <c r="BO13" s="10"/>
      <c r="BP13" s="16" t="str">
        <f ca="1">IF(A13="","",IF(IF(AND(ISNUMBER(J13),WEEKDAY(J13,2)&lt;&gt;2,WEEKDAY(J13,2)&lt;&gt;4)," | Release must be Tuesday or Thursday","")&amp;IF(AND(ISNUMBER(H13),WEEKDAY(H13,2)&lt;&gt;1)," | Sprint Start is not a Monday - dates still calculated from the date entered","")&amp;IF(AND(A13&lt;&gt;"",NOT(ISNUMBER(H13)),NOT(ISNUMBER(J13)))," | Enter Sprint Start or Release Date","")&amp;IF(AND(ISNUMBER(F13),F13&lt;TODAY(),D13&lt;&gt;"Completed")," | One or more raise-by dates are in the past and not completed","")&amp;IF(AND(ISNUMBER(K13),K13-TODAY()&lt;SprintWarningDays,K13&gt;=TODAY(),OR(D13="Yet to start",D13="Blocked"))," | Sprint starts in under 10 days - raise access requests now","")&amp;IF(AND(ISNUMBER(BM13),BN13&lt;&gt;"Completed",BN13&lt;&gt;"N/A",BM13-TODAY()&lt;CodeReviewInviteCalendarDays)," | Code Review invite should be sent at least 4 days before Code Review","")="","",MID(IF(AND(ISNUMBER(J13),WEEKDAY(J13,2)&lt;&gt;2,WEEKDAY(J13,2)&lt;&gt;4)," | Release must be Tuesday or Thursday","")&amp;IF(AND(ISNUMBER(H13),WEEKDAY(H13,2)&lt;&gt;1)," | Sprint Start is not a Monday - dates still calculated from the date entered","")&amp;IF(AND(A13&lt;&gt;"",NOT(ISNUMBER(H13)),NOT(ISNUMBER(J13)))," | Enter Sprint Start or Release Date","")&amp;IF(AND(ISNUMBER(F13),F13&lt;TODAY(),D13&lt;&gt;"Completed")," | One or more raise-by dates are in the past and not completed","")&amp;IF(AND(ISNUMBER(K13),K13-TODAY()&lt;SprintWarningDays,K13&gt;=TODAY(),OR(D13="Yet to start",D13="Blocked"))," | Sprint starts in under 10 days - raise access requests now","")&amp;IF(AND(ISNUMBER(BM13),BN13&lt;&gt;"Completed",BN13&lt;&gt;"N/A",BM13-TODAY()&lt;CodeReviewInviteCalendarDays),"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13" s="1" t="str">
        <f>IF(AND(ISNUMBER(Q13),S13&lt;&gt;"Completed",S13&lt;&gt;"N/A"),Q13,"")</f>
        <v/>
      </c>
      <c r="BR13" s="1" t="str">
        <f>IF(AND(ISNUMBER(T13),V13&lt;&gt;"Completed",V13&lt;&gt;"N/A"),T13,"")</f>
        <v/>
      </c>
      <c r="BS13" s="1" t="str">
        <f>IF(AND(ISNUMBER(W13),Y13&lt;&gt;"Completed",Y13&lt;&gt;"N/A"),W13,"")</f>
        <v/>
      </c>
      <c r="BT13" s="1">
        <f>IF(AND(ISNUMBER(AA13),AC13&lt;&gt;"Completed",AC13&lt;&gt;"N/A"),AA13,"")</f>
        <v>46220</v>
      </c>
      <c r="BU13" s="1" t="str">
        <f>IF(AND(ISNUMBER(AG13),AI13&lt;&gt;"Completed",AI13&lt;&gt;"N/A"),AG13,"")</f>
        <v/>
      </c>
      <c r="BV13" s="1" t="str">
        <f>IF(AND(ISNUMBER(AJ13),AL13&lt;&gt;"Completed",AL13&lt;&gt;"N/A"),AJ13,"")</f>
        <v/>
      </c>
      <c r="BW13" s="1" t="str">
        <f>IF(AND(ISNUMBER(AM13),AO13&lt;&gt;"Completed",AO13&lt;&gt;"N/A"),AM13,"")</f>
        <v/>
      </c>
      <c r="BX13" s="1">
        <f>IF(AND(ISNUMBER(AP13),AR13&lt;&gt;"Completed",AR13&lt;&gt;"N/A"),AP13,"")</f>
        <v>46220</v>
      </c>
      <c r="BY13" s="1" t="str">
        <f>IF(AND(ISNUMBER(AU13),AW13&lt;&gt;"Completed",AW13&lt;&gt;"N/A"),AU13,"")</f>
        <v/>
      </c>
      <c r="BZ13" s="1">
        <f>IF(AND(ISNUMBER(AX13),AZ13&lt;&gt;"Completed",AZ13&lt;&gt;"N/A"),AX13,"")</f>
        <v>46224</v>
      </c>
      <c r="CA13" s="1">
        <f>IF(AND(ISNUMBER(BA13),BC13&lt;&gt;"Completed",BC13&lt;&gt;"N/A"),BA13,"")</f>
        <v>46225</v>
      </c>
      <c r="CB13" s="1">
        <f>IF(AND(ISNUMBER(BD13),BF13&lt;&gt;"Completed",BF13&lt;&gt;"N/A"),BD13,"")</f>
        <v>46220</v>
      </c>
      <c r="CC13" s="1">
        <f>IF(AND(ISNUMBER(O13),P13&lt;&gt;"Completed",P13&lt;&gt;"N/A"),O13,"")</f>
        <v>46230</v>
      </c>
      <c r="CD13" s="1">
        <f>IF(AND(ISNUMBER(BM13),BN13&lt;&gt;"Completed",BN13&lt;&gt;"N/A"),BM13,"")</f>
        <v>46293</v>
      </c>
      <c r="CE13" s="1">
        <f>IF(AND(ISNUMBER(BK13),BL13&lt;&gt;"Completed",BL13&lt;&gt;"N/A"),BK13,"")</f>
        <v>46297</v>
      </c>
      <c r="CF13" s="1">
        <f>IF(AND(ISNUMBER(BI13),BJ13&lt;&gt;"Completed",BJ13&lt;&gt;"N/A"),BI13,"")</f>
        <v>46300</v>
      </c>
      <c r="CG13" s="1">
        <f ca="1">IF(OR(A13="",D13="Completed"),"",IF(N(G13)&gt;0,1/(N(G13)+ROW()/100000),IF(ISNUMBER(F13),1000+F13+ROW()/100000,TODAY()+400+ROW()/100000)))</f>
        <v>2.857132244937376E-2</v>
      </c>
    </row>
    <row r="14" spans="1:85" ht="15.95" customHeight="1">
      <c r="A14" s="10" t="s">
        <v>115</v>
      </c>
      <c r="B14" s="10" t="s">
        <v>98</v>
      </c>
      <c r="C14" s="10" t="s">
        <v>99</v>
      </c>
      <c r="D14" s="11" t="str">
        <f>IF(A14="","",IF(((S14="Blocked")+(V14="Blocked")+(Y14="Blocked")+(AC14="Blocked")+(AI14="Blocked")+(AL14="Blocked")+(AO14="Blocked")+(AR14="Blocked")+(AW14="Blocked")+(AZ14="Blocked")+(BC14="Blocked")+(BF14="Blocked")+(P14="Blocked")+(BJ14="Blocked")+(BL14="Blocked")+(BN14="Blocked")+(BO14="Blocked"))&gt;0,"Blocked",IF((ISNUMBER(Q14)+ISNUMBER(T14)+ISNUMBER(W14)+ISNUMBER(AA14)+ISNUMBER(AG14)+ISNUMBER(AJ14)+ISNUMBER(AM14)+ISNUMBER(AP14)+ISNUMBER(AU14)+ISNUMBER(AX14)+ISNUMBER(BA14)+ISNUMBER(BD14)+ISNUMBER(O14)+ISNUMBER(BI14)+ISNUMBER(BK14)+ISNUMBER(BM14))=0,"Yet to start",IF(AND(OR(NOT(ISNUMBER(Q14)),S14="Completed",S14="N/A"),OR(NOT(ISNUMBER(T14)),V14="Completed",V14="N/A"),OR(NOT(ISNUMBER(W14)),Y14="Completed",Y14="N/A"),OR(NOT(ISNUMBER(AA14)),AC14="Completed",AC14="N/A"),OR(NOT(ISNUMBER(AG14)),AI14="Completed",AI14="N/A"),OR(NOT(ISNUMBER(AJ14)),AL14="Completed",AL14="N/A"),OR(NOT(ISNUMBER(AM14)),AO14="Completed",AO14="N/A"),OR(NOT(ISNUMBER(AP14)),AR14="Completed",AR14="N/A"),OR(NOT(ISNUMBER(AU14)),AW14="Completed",AW14="N/A"),OR(NOT(ISNUMBER(AX14)),AZ14="Completed",AZ14="N/A"),OR(NOT(ISNUMBER(BA14)),BC14="Completed",BC14="N/A"),OR(NOT(ISNUMBER(BD14)),BF14="Completed",BF14="N/A"),OR(NOT(ISNUMBER(O14)),P14="Completed",P14="N/A"),OR(NOT(ISNUMBER(BI14)),BJ14="Completed",BJ14="N/A"),OR(NOT(ISNUMBER(BK14)),BL14="Completed",BL14="N/A"),OR(NOT(ISNUMBER(BM14)),BN14="Completed",BN14="N/A"),OR(BO14="Completed",BO14="N/A")),"Completed",IF(((S14="In Progress")+(V14="In Progress")+(Y14="In Progress")+(AC14="In Progress")+(AI14="In Progress")+(AL14="In Progress")+(AO14="In Progress")+(AR14="In Progress")+(AW14="In Progress")+(AZ14="In Progress")+(BC14="In Progress")+(BF14="In Progress")+(P14="In Progress")+(BJ14="In Progress")+(BL14="In Progress")+(BN14="In Progress")+(BO14="In Progress"))&gt;0,"In Progress","Yet to start")))))</f>
        <v>In Progress</v>
      </c>
      <c r="E14" s="11" t="str">
        <f>IF(A14="","",IF(F14="","All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Review","CAB"},MATCH(F14,BQ14:CF14,0))))</f>
        <v>Prod OUR</v>
      </c>
      <c r="F14" s="12">
        <f>IF(A14="","",IF(COUNT(BQ14:CF14)=0,"",MIN(BQ14:CF14)))</f>
        <v>46224</v>
      </c>
      <c r="G14" s="13">
        <f ca="1">IF(A14="","",MAX(0,IF(AND(ISNUMBER(Q14),S14&lt;&gt;"Completed",S14&lt;&gt;"N/A",Q14&lt;TODAY()),TODAY()-Q14,0),IF(AND(ISNUMBER(T14),V14&lt;&gt;"Completed",V14&lt;&gt;"N/A",T14&lt;TODAY()),TODAY()-T14,0),IF(AND(ISNUMBER(W14),Y14&lt;&gt;"Completed",Y14&lt;&gt;"N/A",W14&lt;TODAY()),TODAY()-W14,0),IF(AND(ISNUMBER(AA14),AC14&lt;&gt;"Completed",AC14&lt;&gt;"N/A",AA14&lt;TODAY()),TODAY()-AA14,0),IF(AND(ISNUMBER(AG14),AI14&lt;&gt;"Completed",AI14&lt;&gt;"N/A",AG14&lt;TODAY()),TODAY()-AG14,0),IF(AND(ISNUMBER(AJ14),AL14&lt;&gt;"Completed",AL14&lt;&gt;"N/A",AJ14&lt;TODAY()),TODAY()-AJ14,0),IF(AND(ISNUMBER(AM14),AO14&lt;&gt;"Completed",AO14&lt;&gt;"N/A",AM14&lt;TODAY()),TODAY()-AM14,0),IF(AND(ISNUMBER(AP14),AR14&lt;&gt;"Completed",AR14&lt;&gt;"N/A",AP14&lt;TODAY()),TODAY()-AP14,0),IF(AND(ISNUMBER(AU14),AW14&lt;&gt;"Completed",AW14&lt;&gt;"N/A",AU14&lt;TODAY()),TODAY()-AU14,0),IF(AND(ISNUMBER(AX14),AZ14&lt;&gt;"Completed",AZ14&lt;&gt;"N/A",AX14&lt;TODAY()),TODAY()-AX14,0),IF(AND(ISNUMBER(BA14),BC14&lt;&gt;"Completed",BC14&lt;&gt;"N/A",BA14&lt;TODAY()),TODAY()-BA14,0),IF(AND(ISNUMBER(BD14),BF14&lt;&gt;"Completed",BF14&lt;&gt;"N/A",BD14&lt;TODAY()),TODAY()-BD14,0),IF(AND(ISNUMBER(O14),P14&lt;&gt;"Completed",P14&lt;&gt;"N/A",O14&lt;TODAY()),TODAY()-O14,0),IF(AND(ISNUMBER(BM14),BN14&lt;&gt;"Completed",BN14&lt;&gt;"N/A",BM14&lt;TODAY()),TODAY()-BM14,0),IF(AND(ISNUMBER(BK14),BL14&lt;&gt;"Completed",BL14&lt;&gt;"N/A",BK14&lt;TODAY()),TODAY()-BK14,0),IF(AND(ISNUMBER(BI14),BJ14&lt;&gt;"Completed",BJ14&lt;&gt;"N/A",BI14&lt;TODAY()),TODAY()-BI14,0)))</f>
        <v>31</v>
      </c>
      <c r="H14" s="14">
        <v>46232</v>
      </c>
      <c r="I14" s="14">
        <v>46245</v>
      </c>
      <c r="J14" s="15">
        <v>46300</v>
      </c>
      <c r="K14" s="12">
        <f>IF(ISNUMBER(H14),H14,IF(ISNUMBER(M14),M14-WEEKDAY(M14,2)+1-7,""))</f>
        <v>46232</v>
      </c>
      <c r="L14" s="12">
        <f>IF(ISNUMBER(I14),I14,IF(ISNUMBER(H14),WORKDAY(H14,SprintWorkingDays-1),IF(ISNUMBER(K14),WORKDAY(K14,SprintWorkingDays-1),"")))</f>
        <v>46245</v>
      </c>
      <c r="M14" s="12">
        <f>IF(ISNUMBER(J14),J14,IF(ISNUMBER(I14),I14-IF(OR(WEEKDAY(I14,2)=2,WEEKDAY(I14,2)=4),0,IF(WEEKDAY(I14,2)=3,1,IF(WEEKDAY(I14,2)=1,4,WEEKDAY(I14,2)-4))),IF(ISNUMBER(H14),WORKDAY(H14,SprintWorkingDays-1)-IF(OR(WEEKDAY(WORKDAY(H14,SprintWorkingDays-1),2)=2,WEEKDAY(WORKDAY(H14,SprintWorkingDays-1),2)=4),0,IF(WEEKDAY(WORKDAY(H14,SprintWorkingDays-1),2)=3,1,IF(WEEKDAY(WORKDAY(H14,SprintWorkingDays-1),2)=1,4,WEEKDAY(WORKDAY(H14,SprintWorkingDays-1),2)-4))),"")))</f>
        <v>46300</v>
      </c>
      <c r="N14" s="12">
        <f>IF(NOT(ISNUMBER(K14)),"",WORKDAY(K14,ReadyOffsetWD))</f>
        <v>46231</v>
      </c>
      <c r="O14" s="12">
        <f>IF(NOT(ISNUMBER(K14)),"",WORKDAY(K14,SprintReadinessOffsetWD))</f>
        <v>46230</v>
      </c>
      <c r="P14" s="10" t="s">
        <v>30</v>
      </c>
      <c r="Q14" s="12">
        <f>IF(A14="","",IF(V14="N/A",IF(NOT(ISNUMBER(W14)),"",WORKDAY(W14,RTSKOffsetFromOUR_WD)),IF(NOT(ISNUMBER(T14)),"",WORKDAY(T14,RTSKOffsetFromOUR_WD))))</f>
        <v>46220</v>
      </c>
      <c r="R14" s="15">
        <v>46246</v>
      </c>
      <c r="S14" s="10" t="s">
        <v>32</v>
      </c>
      <c r="T14" s="12">
        <f>IF(OR(A14="",V14="N/A"),"",IF(NOT(ISNUMBER(W14)),"",WORKDAY(W14,OUROffsetFromSR_WD)))</f>
        <v>46224</v>
      </c>
      <c r="U14" s="15">
        <v>46234</v>
      </c>
      <c r="V14" s="10" t="s">
        <v>32</v>
      </c>
      <c r="W14" s="12">
        <f>IF(OR(A14="",NOT(ISNUMBER(K14))),"",WORKDAY(K14,SROffsetFromStartWD))</f>
        <v>46225</v>
      </c>
      <c r="X14" s="15">
        <v>46234</v>
      </c>
      <c r="Y14" s="10" t="s">
        <v>32</v>
      </c>
      <c r="Z14" s="10" t="s">
        <v>100</v>
      </c>
      <c r="AA14" s="12" t="str">
        <f>IF(OR(Z14="",Z14="N/A"),"",IF(ISNUMBER(Q14),Q14,""))</f>
        <v/>
      </c>
      <c r="AB14" s="15"/>
      <c r="AC14" s="10"/>
      <c r="AD14" s="10"/>
      <c r="AE14" s="10"/>
      <c r="AF14" s="10" t="str">
        <f>IF(Z14="N/A","N/A","")</f>
        <v>N/A</v>
      </c>
      <c r="AG14" s="12">
        <f>IF(NOT(ISNUMBER(Q14)),"",Q14)</f>
        <v>46220</v>
      </c>
      <c r="AH14" s="12">
        <v>46239</v>
      </c>
      <c r="AI14" s="10" t="s">
        <v>32</v>
      </c>
      <c r="AJ14" s="12">
        <f>IF(OR(AL14="N/A",NOT(ISNUMBER(T14))),"",T14)</f>
        <v>46224</v>
      </c>
      <c r="AK14" s="15">
        <v>46239</v>
      </c>
      <c r="AL14" s="10" t="s">
        <v>32</v>
      </c>
      <c r="AM14" s="12">
        <f>IF(NOT(ISNUMBER(W14)),"",W14)</f>
        <v>46225</v>
      </c>
      <c r="AN14" s="15">
        <v>46239</v>
      </c>
      <c r="AO14" s="10" t="s">
        <v>32</v>
      </c>
      <c r="AP14" s="12" t="str">
        <f>IF(OR(Z14="",Z14="N/A"),"",IF(ISNUMBER(AG14),AG14,""))</f>
        <v/>
      </c>
      <c r="AQ14" s="15"/>
      <c r="AR14" s="10"/>
      <c r="AS14" s="10"/>
      <c r="AT14" s="10"/>
      <c r="AU14" s="12">
        <f>IF(NOT(ISNUMBER(Q14)),"",Q14)</f>
        <v>46220</v>
      </c>
      <c r="AV14" s="15"/>
      <c r="AW14" s="10" t="s">
        <v>32</v>
      </c>
      <c r="AX14" s="12">
        <f>IF(OR(AZ14="N/A",NOT(ISNUMBER(T14))),"",T14)</f>
        <v>46224</v>
      </c>
      <c r="AY14" s="15"/>
      <c r="AZ14" s="10"/>
      <c r="BA14" s="12">
        <f>IF(NOT(ISNUMBER(W14)),"",W14)</f>
        <v>46225</v>
      </c>
      <c r="BB14" s="15"/>
      <c r="BC14" s="10"/>
      <c r="BD14" s="12" t="str">
        <f>IF(OR(Z14="",Z14="N/A"),"",IF(ISNUMBER(AU14),AU14,""))</f>
        <v/>
      </c>
      <c r="BE14" s="15"/>
      <c r="BF14" s="10"/>
      <c r="BG14" s="10"/>
      <c r="BH14" s="10"/>
      <c r="BI14" s="12">
        <v>46300</v>
      </c>
      <c r="BJ14" s="10"/>
      <c r="BK14" s="12">
        <f>IF(NOT(ISNUMBER(BI14)),"",IF(WEEKDAY(BI14-CodeReviewCalendarDays,2)&gt;5,BI14-CodeReviewCalendarDays-(WEEKDAY(BI14-CodeReviewCalendarDays,2)-5),BI14-CodeReviewCalendarDays))</f>
        <v>46297</v>
      </c>
      <c r="BL14" s="10"/>
      <c r="BM14" s="12">
        <f>IF(NOT(ISNUMBER(BK14)),"",IF(WEEKDAY(BK14-CodeReviewInviteCalendarDays,2)&gt;5,BK14-CodeReviewInviteCalendarDays-(WEEKDAY(BK14-CodeReviewInviteCalendarDays,2)-5),BK14-CodeReviewInviteCalendarDays))</f>
        <v>46293</v>
      </c>
      <c r="BN14" s="10"/>
      <c r="BO14" s="10"/>
      <c r="BP14" s="16" t="str">
        <f ca="1">IF(A14="","",IF(IF(AND(ISNUMBER(J14),WEEKDAY(J14,2)&lt;&gt;2,WEEKDAY(J14,2)&lt;&gt;4)," | Release must be Tuesday or Thursday","")&amp;IF(AND(ISNUMBER(H14),WEEKDAY(H14,2)&lt;&gt;1)," | Sprint Start is not a Monday - dates still calculated from the date entered","")&amp;IF(AND(A14&lt;&gt;"",NOT(ISNUMBER(H14)),NOT(ISNUMBER(J14)))," | Enter Sprint Start or Release Date","")&amp;IF(AND(ISNUMBER(F14),F14&lt;TODAY(),D14&lt;&gt;"Completed")," | One or more raise-by dates are in the past and not completed","")&amp;IF(AND(ISNUMBER(K14),K14-TODAY()&lt;SprintWarningDays,K14&gt;=TODAY(),OR(D14="Yet to start",D14="Blocked"))," | Sprint starts in under 10 days - raise access requests now","")&amp;IF(AND(ISNUMBER(BM14),BN14&lt;&gt;"Completed",BN14&lt;&gt;"N/A",BM14-TODAY()&lt;CodeReviewInviteCalendarDays)," | Code Review invite should be sent at least 4 days before Code Review","")="","",MID(IF(AND(ISNUMBER(J14),WEEKDAY(J14,2)&lt;&gt;2,WEEKDAY(J14,2)&lt;&gt;4)," | Release must be Tuesday or Thursday","")&amp;IF(AND(ISNUMBER(H14),WEEKDAY(H14,2)&lt;&gt;1)," | Sprint Start is not a Monday - dates still calculated from the date entered","")&amp;IF(AND(A14&lt;&gt;"",NOT(ISNUMBER(H14)),NOT(ISNUMBER(J14)))," | Enter Sprint Start or Release Date","")&amp;IF(AND(ISNUMBER(F14),F14&lt;TODAY(),D14&lt;&gt;"Completed")," | One or more raise-by dates are in the past and not completed","")&amp;IF(AND(ISNUMBER(K14),K14-TODAY()&lt;SprintWarningDays,K14&gt;=TODAY(),OR(D14="Yet to start",D14="Blocked"))," | Sprint starts in under 10 days - raise access requests now","")&amp;IF(AND(ISNUMBER(BM14),BN14&lt;&gt;"Completed",BN14&lt;&gt;"N/A",BM14-TODAY()&lt;CodeReviewInviteCalendarDays),"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14" s="1" t="str">
        <f>IF(AND(ISNUMBER(Q14),S14&lt;&gt;"Completed",S14&lt;&gt;"N/A"),Q14,"")</f>
        <v/>
      </c>
      <c r="BR14" s="1" t="str">
        <f>IF(AND(ISNUMBER(T14),V14&lt;&gt;"Completed",V14&lt;&gt;"N/A"),T14,"")</f>
        <v/>
      </c>
      <c r="BS14" s="1" t="str">
        <f>IF(AND(ISNUMBER(W14),Y14&lt;&gt;"Completed",Y14&lt;&gt;"N/A"),W14,"")</f>
        <v/>
      </c>
      <c r="BT14" s="1" t="str">
        <f>IF(AND(ISNUMBER(AA14),AC14&lt;&gt;"Completed",AC14&lt;&gt;"N/A"),AA14,"")</f>
        <v/>
      </c>
      <c r="BU14" s="1" t="str">
        <f>IF(AND(ISNUMBER(AG14),AI14&lt;&gt;"Completed",AI14&lt;&gt;"N/A"),AG14,"")</f>
        <v/>
      </c>
      <c r="BV14" s="1" t="str">
        <f>IF(AND(ISNUMBER(AJ14),AL14&lt;&gt;"Completed",AL14&lt;&gt;"N/A"),AJ14,"")</f>
        <v/>
      </c>
      <c r="BW14" s="1" t="str">
        <f>IF(AND(ISNUMBER(AM14),AO14&lt;&gt;"Completed",AO14&lt;&gt;"N/A"),AM14,"")</f>
        <v/>
      </c>
      <c r="BX14" s="1" t="str">
        <f>IF(AND(ISNUMBER(AP14),AR14&lt;&gt;"Completed",AR14&lt;&gt;"N/A"),AP14,"")</f>
        <v/>
      </c>
      <c r="BY14" s="1" t="str">
        <f>IF(AND(ISNUMBER(AU14),AW14&lt;&gt;"Completed",AW14&lt;&gt;"N/A"),AU14,"")</f>
        <v/>
      </c>
      <c r="BZ14" s="1">
        <f>IF(AND(ISNUMBER(AX14),AZ14&lt;&gt;"Completed",AZ14&lt;&gt;"N/A"),AX14,"")</f>
        <v>46224</v>
      </c>
      <c r="CA14" s="1">
        <f>IF(AND(ISNUMBER(BA14),BC14&lt;&gt;"Completed",BC14&lt;&gt;"N/A"),BA14,"")</f>
        <v>46225</v>
      </c>
      <c r="CB14" s="1" t="str">
        <f>IF(AND(ISNUMBER(BD14),BF14&lt;&gt;"Completed",BF14&lt;&gt;"N/A"),BD14,"")</f>
        <v/>
      </c>
      <c r="CC14" s="1">
        <f>IF(AND(ISNUMBER(O14),P14&lt;&gt;"Completed",P14&lt;&gt;"N/A"),O14,"")</f>
        <v>46230</v>
      </c>
      <c r="CD14" s="1">
        <f>IF(AND(ISNUMBER(BM14),BN14&lt;&gt;"Completed",BN14&lt;&gt;"N/A"),BM14,"")</f>
        <v>46293</v>
      </c>
      <c r="CE14" s="1">
        <f>IF(AND(ISNUMBER(BK14),BL14&lt;&gt;"Completed",BL14&lt;&gt;"N/A"),BK14,"")</f>
        <v>46297</v>
      </c>
      <c r="CF14" s="1">
        <f>IF(AND(ISNUMBER(BI14),BJ14&lt;&gt;"Completed",BJ14&lt;&gt;"N/A"),BI14,"")</f>
        <v>46300</v>
      </c>
      <c r="CG14" s="1">
        <f ca="1">IF(OR(A14="",D14="Completed"),"",IF(N(G14)&gt;0,1/(N(G14)+ROW()/100000),IF(ISNUMBER(F14),1000+F14+ROW()/100000,TODAY()+400+ROW()/100000)))</f>
        <v>3.2257918835205263E-2</v>
      </c>
    </row>
    <row r="15" spans="1:85" ht="15.95" customHeight="1">
      <c r="A15" s="10" t="s">
        <v>116</v>
      </c>
      <c r="B15" s="10" t="s">
        <v>98</v>
      </c>
      <c r="C15" s="10" t="s">
        <v>117</v>
      </c>
      <c r="D15" s="11" t="str">
        <f>IF(A15="","",IF(((S15="Blocked")+(V15="Blocked")+(Y15="Blocked")+(AC15="Blocked")+(AI15="Blocked")+(AL15="Blocked")+(AO15="Blocked")+(AR15="Blocked")+(AW15="Blocked")+(AZ15="Blocked")+(BC15="Blocked")+(BF15="Blocked")+(P15="Blocked")+(BJ15="Blocked")+(BL15="Blocked")+(BN15="Blocked")+(BO15="Blocked"))&gt;0,"Blocked",IF((ISNUMBER(Q15)+ISNUMBER(T15)+ISNUMBER(W15)+ISNUMBER(AA15)+ISNUMBER(AG15)+ISNUMBER(AJ15)+ISNUMBER(AM15)+ISNUMBER(AP15)+ISNUMBER(AU15)+ISNUMBER(AX15)+ISNUMBER(BA15)+ISNUMBER(BD15)+ISNUMBER(O15)+ISNUMBER(BI15)+ISNUMBER(BK15)+ISNUMBER(BM15))=0,"Yet to start",IF(AND(OR(NOT(ISNUMBER(Q15)),S15="Completed",S15="N/A"),OR(NOT(ISNUMBER(T15)),V15="Completed",V15="N/A"),OR(NOT(ISNUMBER(W15)),Y15="Completed",Y15="N/A"),OR(NOT(ISNUMBER(AA15)),AC15="Completed",AC15="N/A"),OR(NOT(ISNUMBER(AG15)),AI15="Completed",AI15="N/A"),OR(NOT(ISNUMBER(AJ15)),AL15="Completed",AL15="N/A"),OR(NOT(ISNUMBER(AM15)),AO15="Completed",AO15="N/A"),OR(NOT(ISNUMBER(AP15)),AR15="Completed",AR15="N/A"),OR(NOT(ISNUMBER(AU15)),AW15="Completed",AW15="N/A"),OR(NOT(ISNUMBER(AX15)),AZ15="Completed",AZ15="N/A"),OR(NOT(ISNUMBER(BA15)),BC15="Completed",BC15="N/A"),OR(NOT(ISNUMBER(BD15)),BF15="Completed",BF15="N/A"),OR(NOT(ISNUMBER(O15)),P15="Completed",P15="N/A"),OR(NOT(ISNUMBER(BI15)),BJ15="Completed",BJ15="N/A"),OR(NOT(ISNUMBER(BK15)),BL15="Completed",BL15="N/A"),OR(NOT(ISNUMBER(BM15)),BN15="Completed",BN15="N/A"),OR(BO15="Completed",BO15="N/A")),"Completed",IF(((S15="In Progress")+(V15="In Progress")+(Y15="In Progress")+(AC15="In Progress")+(AI15="In Progress")+(AL15="In Progress")+(AO15="In Progress")+(AR15="In Progress")+(AW15="In Progress")+(AZ15="In Progress")+(BC15="In Progress")+(BF15="In Progress")+(P15="In Progress")+(BJ15="In Progress")+(BL15="In Progress")+(BN15="In Progress")+(BO15="In Progress"))&gt;0,"In Progress","Yet to start")))))</f>
        <v>In Progress</v>
      </c>
      <c r="E15" s="11" t="str">
        <f>IF(A15="","",IF(F15="","All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Review","CAB"},MATCH(F15,BQ15:CF15,0))))</f>
        <v>Prod OUR</v>
      </c>
      <c r="F15" s="12">
        <f>IF(A15="","",IF(COUNT(BQ15:CF15)=0,"",MIN(BQ15:CF15)))</f>
        <v>46238</v>
      </c>
      <c r="G15" s="13">
        <f ca="1">IF(A15="","",MAX(0,IF(AND(ISNUMBER(Q15),S15&lt;&gt;"Completed",S15&lt;&gt;"N/A",Q15&lt;TODAY()),TODAY()-Q15,0),IF(AND(ISNUMBER(T15),V15&lt;&gt;"Completed",V15&lt;&gt;"N/A",T15&lt;TODAY()),TODAY()-T15,0),IF(AND(ISNUMBER(W15),Y15&lt;&gt;"Completed",Y15&lt;&gt;"N/A",W15&lt;TODAY()),TODAY()-W15,0),IF(AND(ISNUMBER(AA15),AC15&lt;&gt;"Completed",AC15&lt;&gt;"N/A",AA15&lt;TODAY()),TODAY()-AA15,0),IF(AND(ISNUMBER(AG15),AI15&lt;&gt;"Completed",AI15&lt;&gt;"N/A",AG15&lt;TODAY()),TODAY()-AG15,0),IF(AND(ISNUMBER(AJ15),AL15&lt;&gt;"Completed",AL15&lt;&gt;"N/A",AJ15&lt;TODAY()),TODAY()-AJ15,0),IF(AND(ISNUMBER(AM15),AO15&lt;&gt;"Completed",AO15&lt;&gt;"N/A",AM15&lt;TODAY()),TODAY()-AM15,0),IF(AND(ISNUMBER(AP15),AR15&lt;&gt;"Completed",AR15&lt;&gt;"N/A",AP15&lt;TODAY()),TODAY()-AP15,0),IF(AND(ISNUMBER(AU15),AW15&lt;&gt;"Completed",AW15&lt;&gt;"N/A",AU15&lt;TODAY()),TODAY()-AU15,0),IF(AND(ISNUMBER(AX15),AZ15&lt;&gt;"Completed",AZ15&lt;&gt;"N/A",AX15&lt;TODAY()),TODAY()-AX15,0),IF(AND(ISNUMBER(BA15),BC15&lt;&gt;"Completed",BC15&lt;&gt;"N/A",BA15&lt;TODAY()),TODAY()-BA15,0),IF(AND(ISNUMBER(BD15),BF15&lt;&gt;"Completed",BF15&lt;&gt;"N/A",BD15&lt;TODAY()),TODAY()-BD15,0),IF(AND(ISNUMBER(O15),P15&lt;&gt;"Completed",P15&lt;&gt;"N/A",O15&lt;TODAY()),TODAY()-O15,0),IF(AND(ISNUMBER(BM15),BN15&lt;&gt;"Completed",BN15&lt;&gt;"N/A",BM15&lt;TODAY()),TODAY()-BM15,0),IF(AND(ISNUMBER(BK15),BL15&lt;&gt;"Completed",BL15&lt;&gt;"N/A",BK15&lt;TODAY()),TODAY()-BK15,0),IF(AND(ISNUMBER(BI15),BJ15&lt;&gt;"Completed",BJ15&lt;&gt;"N/A",BI15&lt;TODAY()),TODAY()-BI15,0)))</f>
        <v>17</v>
      </c>
      <c r="H15" s="14">
        <v>46246</v>
      </c>
      <c r="I15" s="14">
        <v>46259</v>
      </c>
      <c r="J15" s="15">
        <v>46300</v>
      </c>
      <c r="K15" s="12">
        <f>IF(ISNUMBER(H15),H15,IF(ISNUMBER(M15),M15-WEEKDAY(M15,2)+1-7,""))</f>
        <v>46246</v>
      </c>
      <c r="L15" s="12">
        <f>IF(ISNUMBER(I15),I15,IF(ISNUMBER(H15),WORKDAY(H15,SprintWorkingDays-1),IF(ISNUMBER(K15),WORKDAY(K15,SprintWorkingDays-1),"")))</f>
        <v>46259</v>
      </c>
      <c r="M15" s="12">
        <f>IF(ISNUMBER(J15),J15,IF(ISNUMBER(I15),I15-IF(OR(WEEKDAY(I15,2)=2,WEEKDAY(I15,2)=4),0,IF(WEEKDAY(I15,2)=3,1,IF(WEEKDAY(I15,2)=1,4,WEEKDAY(I15,2)-4))),IF(ISNUMBER(H15),WORKDAY(H15,SprintWorkingDays-1)-IF(OR(WEEKDAY(WORKDAY(H15,SprintWorkingDays-1),2)=2,WEEKDAY(WORKDAY(H15,SprintWorkingDays-1),2)=4),0,IF(WEEKDAY(WORKDAY(H15,SprintWorkingDays-1),2)=3,1,IF(WEEKDAY(WORKDAY(H15,SprintWorkingDays-1),2)=1,4,WEEKDAY(WORKDAY(H15,SprintWorkingDays-1),2)-4))),"")))</f>
        <v>46300</v>
      </c>
      <c r="N15" s="12">
        <f>IF(NOT(ISNUMBER(K15)),"",WORKDAY(K15,ReadyOffsetWD))</f>
        <v>46245</v>
      </c>
      <c r="O15" s="12">
        <f>IF(NOT(ISNUMBER(K15)),"",WORKDAY(K15,SprintReadinessOffsetWD))</f>
        <v>46244</v>
      </c>
      <c r="P15" s="10" t="s">
        <v>30</v>
      </c>
      <c r="Q15" s="12">
        <f>IF(A15="","",IF(V15="N/A",IF(NOT(ISNUMBER(W15)),"",WORKDAY(W15,RTSKOffsetFromOUR_WD)),IF(NOT(ISNUMBER(T15)),"",WORKDAY(T15,RTSKOffsetFromOUR_WD))))</f>
        <v>46234</v>
      </c>
      <c r="R15" s="15">
        <v>46246</v>
      </c>
      <c r="S15" s="10" t="s">
        <v>32</v>
      </c>
      <c r="T15" s="12">
        <f>IF(OR(A15="",V15="N/A"),"",IF(NOT(ISNUMBER(W15)),"",WORKDAY(W15,OUROffsetFromSR_WD)))</f>
        <v>46238</v>
      </c>
      <c r="U15" s="15">
        <v>46234</v>
      </c>
      <c r="V15" s="10" t="s">
        <v>32</v>
      </c>
      <c r="W15" s="12">
        <f>IF(OR(A15="",NOT(ISNUMBER(K15))),"",WORKDAY(K15,SROffsetFromStartWD))</f>
        <v>46239</v>
      </c>
      <c r="X15" s="15">
        <v>46234</v>
      </c>
      <c r="Y15" s="10" t="s">
        <v>32</v>
      </c>
      <c r="Z15" s="10" t="s">
        <v>100</v>
      </c>
      <c r="AA15" s="12" t="str">
        <f>IF(OR(Z15="",Z15="N/A"),"",IF(ISNUMBER(Q15),Q15,""))</f>
        <v/>
      </c>
      <c r="AB15" s="15"/>
      <c r="AC15" s="10"/>
      <c r="AD15" s="10"/>
      <c r="AE15" s="10"/>
      <c r="AF15" s="10" t="str">
        <f>IF(Z15="N/A","N/A","")</f>
        <v>N/A</v>
      </c>
      <c r="AG15" s="12">
        <f>IF(NOT(ISNUMBER(Q15)),"",Q15)</f>
        <v>46234</v>
      </c>
      <c r="AH15" s="12">
        <v>46239</v>
      </c>
      <c r="AI15" s="10" t="s">
        <v>32</v>
      </c>
      <c r="AJ15" s="12">
        <f>IF(OR(AL15="N/A",NOT(ISNUMBER(T15))),"",T15)</f>
        <v>46238</v>
      </c>
      <c r="AK15" s="15">
        <v>46239</v>
      </c>
      <c r="AL15" s="10" t="s">
        <v>32</v>
      </c>
      <c r="AM15" s="12">
        <f>IF(NOT(ISNUMBER(W15)),"",W15)</f>
        <v>46239</v>
      </c>
      <c r="AN15" s="15">
        <v>46239</v>
      </c>
      <c r="AO15" s="10" t="s">
        <v>32</v>
      </c>
      <c r="AP15" s="12" t="str">
        <f>IF(OR(Z15="",Z15="N/A"),"",IF(ISNUMBER(AG15),AG15,""))</f>
        <v/>
      </c>
      <c r="AQ15" s="15"/>
      <c r="AR15" s="10"/>
      <c r="AS15" s="10"/>
      <c r="AT15" s="10"/>
      <c r="AU15" s="12">
        <f>IF(NOT(ISNUMBER(Q15)),"",Q15)</f>
        <v>46234</v>
      </c>
      <c r="AV15" s="15"/>
      <c r="AW15" s="10" t="s">
        <v>32</v>
      </c>
      <c r="AX15" s="12">
        <f>IF(OR(AZ15="N/A",NOT(ISNUMBER(T15))),"",T15)</f>
        <v>46238</v>
      </c>
      <c r="AY15" s="15"/>
      <c r="AZ15" s="10"/>
      <c r="BA15" s="12">
        <f>IF(NOT(ISNUMBER(W15)),"",W15)</f>
        <v>46239</v>
      </c>
      <c r="BB15" s="15"/>
      <c r="BC15" s="10"/>
      <c r="BD15" s="12" t="str">
        <f>IF(OR(Z15="",Z15="N/A"),"",IF(ISNUMBER(AU15),AU15,""))</f>
        <v/>
      </c>
      <c r="BE15" s="15"/>
      <c r="BF15" s="10"/>
      <c r="BG15" s="10"/>
      <c r="BH15" s="10"/>
      <c r="BI15" s="12">
        <v>46300</v>
      </c>
      <c r="BJ15" s="10"/>
      <c r="BK15" s="12">
        <f>IF(NOT(ISNUMBER(BI15)),"",IF(WEEKDAY(BI15-CodeReviewCalendarDays,2)&gt;5,BI15-CodeReviewCalendarDays-(WEEKDAY(BI15-CodeReviewCalendarDays,2)-5),BI15-CodeReviewCalendarDays))</f>
        <v>46297</v>
      </c>
      <c r="BL15" s="10"/>
      <c r="BM15" s="12">
        <f>IF(NOT(ISNUMBER(BK15)),"",IF(WEEKDAY(BK15-CodeReviewInviteCalendarDays,2)&gt;5,BK15-CodeReviewInviteCalendarDays-(WEEKDAY(BK15-CodeReviewInviteCalendarDays,2)-5),BK15-CodeReviewInviteCalendarDays))</f>
        <v>46293</v>
      </c>
      <c r="BN15" s="10"/>
      <c r="BO15" s="10"/>
      <c r="BP15" s="16" t="str">
        <f ca="1">IF(A15="","",IF(IF(AND(ISNUMBER(J15),WEEKDAY(J15,2)&lt;&gt;2,WEEKDAY(J15,2)&lt;&gt;4)," | Release must be Tuesday or Thursday","")&amp;IF(AND(ISNUMBER(H15),WEEKDAY(H15,2)&lt;&gt;1)," | Sprint Start is not a Monday - dates still calculated from the date entered","")&amp;IF(AND(A15&lt;&gt;"",NOT(ISNUMBER(H15)),NOT(ISNUMBER(J15)))," | Enter Sprint Start or Release Date","")&amp;IF(AND(ISNUMBER(F15),F15&lt;TODAY(),D15&lt;&gt;"Completed")," | One or more raise-by dates are in the past and not completed","")&amp;IF(AND(ISNUMBER(K15),K15-TODAY()&lt;SprintWarningDays,K15&gt;=TODAY(),OR(D15="Yet to start",D15="Blocked"))," | Sprint starts in under 10 days - raise access requests now","")&amp;IF(AND(ISNUMBER(BM15),BN15&lt;&gt;"Completed",BN15&lt;&gt;"N/A",BM15-TODAY()&lt;CodeReviewInviteCalendarDays)," | Code Review invite should be sent at least 4 days before Code Review","")="","",MID(IF(AND(ISNUMBER(J15),WEEKDAY(J15,2)&lt;&gt;2,WEEKDAY(J15,2)&lt;&gt;4)," | Release must be Tuesday or Thursday","")&amp;IF(AND(ISNUMBER(H15),WEEKDAY(H15,2)&lt;&gt;1)," | Sprint Start is not a Monday - dates still calculated from the date entered","")&amp;IF(AND(A15&lt;&gt;"",NOT(ISNUMBER(H15)),NOT(ISNUMBER(J15)))," | Enter Sprint Start or Release Date","")&amp;IF(AND(ISNUMBER(F15),F15&lt;TODAY(),D15&lt;&gt;"Completed")," | One or more raise-by dates are in the past and not completed","")&amp;IF(AND(ISNUMBER(K15),K15-TODAY()&lt;SprintWarningDays,K15&gt;=TODAY(),OR(D15="Yet to start",D15="Blocked"))," | Sprint starts in under 10 days - raise access requests now","")&amp;IF(AND(ISNUMBER(BM15),BN15&lt;&gt;"Completed",BN15&lt;&gt;"N/A",BM15-TODAY()&lt;CodeReviewInviteCalendarDays),"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15" s="1" t="str">
        <f>IF(AND(ISNUMBER(Q15),S15&lt;&gt;"Completed",S15&lt;&gt;"N/A"),Q15,"")</f>
        <v/>
      </c>
      <c r="BR15" s="1" t="str">
        <f>IF(AND(ISNUMBER(T15),V15&lt;&gt;"Completed",V15&lt;&gt;"N/A"),T15,"")</f>
        <v/>
      </c>
      <c r="BS15" s="1" t="str">
        <f>IF(AND(ISNUMBER(W15),Y15&lt;&gt;"Completed",Y15&lt;&gt;"N/A"),W15,"")</f>
        <v/>
      </c>
      <c r="BT15" s="1" t="str">
        <f>IF(AND(ISNUMBER(AA15),AC15&lt;&gt;"Completed",AC15&lt;&gt;"N/A"),AA15,"")</f>
        <v/>
      </c>
      <c r="BU15" s="1" t="str">
        <f>IF(AND(ISNUMBER(AG15),AI15&lt;&gt;"Completed",AI15&lt;&gt;"N/A"),AG15,"")</f>
        <v/>
      </c>
      <c r="BV15" s="1" t="str">
        <f>IF(AND(ISNUMBER(AJ15),AL15&lt;&gt;"Completed",AL15&lt;&gt;"N/A"),AJ15,"")</f>
        <v/>
      </c>
      <c r="BW15" s="1" t="str">
        <f>IF(AND(ISNUMBER(AM15),AO15&lt;&gt;"Completed",AO15&lt;&gt;"N/A"),AM15,"")</f>
        <v/>
      </c>
      <c r="BX15" s="1" t="str">
        <f>IF(AND(ISNUMBER(AP15),AR15&lt;&gt;"Completed",AR15&lt;&gt;"N/A"),AP15,"")</f>
        <v/>
      </c>
      <c r="BY15" s="1" t="str">
        <f>IF(AND(ISNUMBER(AU15),AW15&lt;&gt;"Completed",AW15&lt;&gt;"N/A"),AU15,"")</f>
        <v/>
      </c>
      <c r="BZ15" s="1">
        <f>IF(AND(ISNUMBER(AX15),AZ15&lt;&gt;"Completed",AZ15&lt;&gt;"N/A"),AX15,"")</f>
        <v>46238</v>
      </c>
      <c r="CA15" s="1">
        <f>IF(AND(ISNUMBER(BA15),BC15&lt;&gt;"Completed",BC15&lt;&gt;"N/A"),BA15,"")</f>
        <v>46239</v>
      </c>
      <c r="CB15" s="1" t="str">
        <f>IF(AND(ISNUMBER(BD15),BF15&lt;&gt;"Completed",BF15&lt;&gt;"N/A"),BD15,"")</f>
        <v/>
      </c>
      <c r="CC15" s="1">
        <f>IF(AND(ISNUMBER(O15),P15&lt;&gt;"Completed",P15&lt;&gt;"N/A"),O15,"")</f>
        <v>46244</v>
      </c>
      <c r="CD15" s="1">
        <f>IF(AND(ISNUMBER(BM15),BN15&lt;&gt;"Completed",BN15&lt;&gt;"N/A"),BM15,"")</f>
        <v>46293</v>
      </c>
      <c r="CE15" s="1">
        <f>IF(AND(ISNUMBER(BK15),BL15&lt;&gt;"Completed",BL15&lt;&gt;"N/A"),BK15,"")</f>
        <v>46297</v>
      </c>
      <c r="CF15" s="1">
        <f>IF(AND(ISNUMBER(BI15),BJ15&lt;&gt;"Completed",BJ15&lt;&gt;"N/A"),BI15,"")</f>
        <v>46300</v>
      </c>
      <c r="CG15" s="1">
        <f ca="1">IF(OR(A15="",D15="Completed"),"",IF(N(G15)&gt;0,1/(N(G15)+ROW()/100000),IF(ISNUMBER(F15),1000+F15+ROW()/100000,TODAY()+400+ROW()/100000)))</f>
        <v>5.8823010385202476E-2</v>
      </c>
    </row>
    <row r="16" spans="1:85" ht="15.95" customHeight="1">
      <c r="A16" s="10" t="s">
        <v>118</v>
      </c>
      <c r="B16" s="10" t="s">
        <v>98</v>
      </c>
      <c r="C16" s="10" t="s">
        <v>117</v>
      </c>
      <c r="D16" s="11" t="str">
        <f>IF(A16="","",IF(((S16="Blocked")+(V16="Blocked")+(Y16="Blocked")+(AC16="Blocked")+(AI16="Blocked")+(AL16="Blocked")+(AO16="Blocked")+(AR16="Blocked")+(AW16="Blocked")+(AZ16="Blocked")+(BC16="Blocked")+(BF16="Blocked")+(P16="Blocked")+(BJ16="Blocked")+(BL16="Blocked")+(BN16="Blocked")+(BO16="Blocked"))&gt;0,"Blocked",IF((ISNUMBER(Q16)+ISNUMBER(T16)+ISNUMBER(W16)+ISNUMBER(AA16)+ISNUMBER(AG16)+ISNUMBER(AJ16)+ISNUMBER(AM16)+ISNUMBER(AP16)+ISNUMBER(AU16)+ISNUMBER(AX16)+ISNUMBER(BA16)+ISNUMBER(BD16)+ISNUMBER(O16)+ISNUMBER(BI16)+ISNUMBER(BK16)+ISNUMBER(BM16))=0,"Yet to start",IF(AND(OR(NOT(ISNUMBER(Q16)),S16="Completed",S16="N/A"),OR(NOT(ISNUMBER(T16)),V16="Completed",V16="N/A"),OR(NOT(ISNUMBER(W16)),Y16="Completed",Y16="N/A"),OR(NOT(ISNUMBER(AA16)),AC16="Completed",AC16="N/A"),OR(NOT(ISNUMBER(AG16)),AI16="Completed",AI16="N/A"),OR(NOT(ISNUMBER(AJ16)),AL16="Completed",AL16="N/A"),OR(NOT(ISNUMBER(AM16)),AO16="Completed",AO16="N/A"),OR(NOT(ISNUMBER(AP16)),AR16="Completed",AR16="N/A"),OR(NOT(ISNUMBER(AU16)),AW16="Completed",AW16="N/A"),OR(NOT(ISNUMBER(AX16)),AZ16="Completed",AZ16="N/A"),OR(NOT(ISNUMBER(BA16)),BC16="Completed",BC16="N/A"),OR(NOT(ISNUMBER(BD16)),BF16="Completed",BF16="N/A"),OR(NOT(ISNUMBER(O16)),P16="Completed",P16="N/A"),OR(NOT(ISNUMBER(BI16)),BJ16="Completed",BJ16="N/A"),OR(NOT(ISNUMBER(BK16)),BL16="Completed",BL16="N/A"),OR(NOT(ISNUMBER(BM16)),BN16="Completed",BN16="N/A"),OR(BO16="Completed",BO16="N/A")),"Completed",IF(((S16="In Progress")+(V16="In Progress")+(Y16="In Progress")+(AC16="In Progress")+(AI16="In Progress")+(AL16="In Progress")+(AO16="In Progress")+(AR16="In Progress")+(AW16="In Progress")+(AZ16="In Progress")+(BC16="In Progress")+(BF16="In Progress")+(P16="In Progress")+(BJ16="In Progress")+(BL16="In Progress")+(BN16="In Progress")+(BO16="In Progress"))&gt;0,"In Progress","Yet to start")))))</f>
        <v>In Progress</v>
      </c>
      <c r="E16" s="11" t="str">
        <f>IF(A16="","",IF(F16="","All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Review","CAB"},MATCH(F16,BQ16:CF16,0))))</f>
        <v>Prod OUR</v>
      </c>
      <c r="F16" s="12">
        <f>IF(A16="","",IF(COUNT(BQ16:CF16)=0,"",MIN(BQ16:CF16)))</f>
        <v>46238</v>
      </c>
      <c r="G16" s="13">
        <f ca="1">IF(A16="","",MAX(0,IF(AND(ISNUMBER(Q16),S16&lt;&gt;"Completed",S16&lt;&gt;"N/A",Q16&lt;TODAY()),TODAY()-Q16,0),IF(AND(ISNUMBER(T16),V16&lt;&gt;"Completed",V16&lt;&gt;"N/A",T16&lt;TODAY()),TODAY()-T16,0),IF(AND(ISNUMBER(W16),Y16&lt;&gt;"Completed",Y16&lt;&gt;"N/A",W16&lt;TODAY()),TODAY()-W16,0),IF(AND(ISNUMBER(AA16),AC16&lt;&gt;"Completed",AC16&lt;&gt;"N/A",AA16&lt;TODAY()),TODAY()-AA16,0),IF(AND(ISNUMBER(AG16),AI16&lt;&gt;"Completed",AI16&lt;&gt;"N/A",AG16&lt;TODAY()),TODAY()-AG16,0),IF(AND(ISNUMBER(AJ16),AL16&lt;&gt;"Completed",AL16&lt;&gt;"N/A",AJ16&lt;TODAY()),TODAY()-AJ16,0),IF(AND(ISNUMBER(AM16),AO16&lt;&gt;"Completed",AO16&lt;&gt;"N/A",AM16&lt;TODAY()),TODAY()-AM16,0),IF(AND(ISNUMBER(AP16),AR16&lt;&gt;"Completed",AR16&lt;&gt;"N/A",AP16&lt;TODAY()),TODAY()-AP16,0),IF(AND(ISNUMBER(AU16),AW16&lt;&gt;"Completed",AW16&lt;&gt;"N/A",AU16&lt;TODAY()),TODAY()-AU16,0),IF(AND(ISNUMBER(AX16),AZ16&lt;&gt;"Completed",AZ16&lt;&gt;"N/A",AX16&lt;TODAY()),TODAY()-AX16,0),IF(AND(ISNUMBER(BA16),BC16&lt;&gt;"Completed",BC16&lt;&gt;"N/A",BA16&lt;TODAY()),TODAY()-BA16,0),IF(AND(ISNUMBER(BD16),BF16&lt;&gt;"Completed",BF16&lt;&gt;"N/A",BD16&lt;TODAY()),TODAY()-BD16,0),IF(AND(ISNUMBER(O16),P16&lt;&gt;"Completed",P16&lt;&gt;"N/A",O16&lt;TODAY()),TODAY()-O16,0),IF(AND(ISNUMBER(BM16),BN16&lt;&gt;"Completed",BN16&lt;&gt;"N/A",BM16&lt;TODAY()),TODAY()-BM16,0),IF(AND(ISNUMBER(BK16),BL16&lt;&gt;"Completed",BL16&lt;&gt;"N/A",BK16&lt;TODAY()),TODAY()-BK16,0),IF(AND(ISNUMBER(BI16),BJ16&lt;&gt;"Completed",BJ16&lt;&gt;"N/A",BI16&lt;TODAY()),TODAY()-BI16,0)))</f>
        <v>17</v>
      </c>
      <c r="H16" s="14">
        <v>46246</v>
      </c>
      <c r="I16" s="14">
        <v>46259</v>
      </c>
      <c r="J16" s="15">
        <v>46300</v>
      </c>
      <c r="K16" s="12">
        <f>IF(ISNUMBER(H16),H16,IF(ISNUMBER(M16),M16-WEEKDAY(M16,2)+1-7,""))</f>
        <v>46246</v>
      </c>
      <c r="L16" s="12">
        <f>IF(ISNUMBER(I16),I16,IF(ISNUMBER(H16),WORKDAY(H16,SprintWorkingDays-1),IF(ISNUMBER(K16),WORKDAY(K16,SprintWorkingDays-1),"")))</f>
        <v>46259</v>
      </c>
      <c r="M16" s="12">
        <f>IF(ISNUMBER(J16),J16,IF(ISNUMBER(I16),I16-IF(OR(WEEKDAY(I16,2)=2,WEEKDAY(I16,2)=4),0,IF(WEEKDAY(I16,2)=3,1,IF(WEEKDAY(I16,2)=1,4,WEEKDAY(I16,2)-4))),IF(ISNUMBER(H16),WORKDAY(H16,SprintWorkingDays-1)-IF(OR(WEEKDAY(WORKDAY(H16,SprintWorkingDays-1),2)=2,WEEKDAY(WORKDAY(H16,SprintWorkingDays-1),2)=4),0,IF(WEEKDAY(WORKDAY(H16,SprintWorkingDays-1),2)=3,1,IF(WEEKDAY(WORKDAY(H16,SprintWorkingDays-1),2)=1,4,WEEKDAY(WORKDAY(H16,SprintWorkingDays-1),2)-4))),"")))</f>
        <v>46300</v>
      </c>
      <c r="N16" s="12">
        <f>IF(NOT(ISNUMBER(K16)),"",WORKDAY(K16,ReadyOffsetWD))</f>
        <v>46245</v>
      </c>
      <c r="O16" s="12">
        <f>IF(NOT(ISNUMBER(K16)),"",WORKDAY(K16,SprintReadinessOffsetWD))</f>
        <v>46244</v>
      </c>
      <c r="P16" s="10" t="s">
        <v>30</v>
      </c>
      <c r="Q16" s="12">
        <f>IF(A16="","",IF(V16="N/A",IF(NOT(ISNUMBER(W16)),"",WORKDAY(W16,RTSKOffsetFromOUR_WD)),IF(NOT(ISNUMBER(T16)),"",WORKDAY(T16,RTSKOffsetFromOUR_WD))))</f>
        <v>46234</v>
      </c>
      <c r="R16" s="15">
        <v>46246</v>
      </c>
      <c r="S16" s="10" t="s">
        <v>32</v>
      </c>
      <c r="T16" s="12">
        <f>IF(OR(A16="",V16="N/A"),"",IF(NOT(ISNUMBER(W16)),"",WORKDAY(W16,OUROffsetFromSR_WD)))</f>
        <v>46238</v>
      </c>
      <c r="U16" s="15">
        <v>46234</v>
      </c>
      <c r="V16" s="10" t="s">
        <v>32</v>
      </c>
      <c r="W16" s="12">
        <f>IF(OR(A16="",NOT(ISNUMBER(K16))),"",WORKDAY(K16,SROffsetFromStartWD))</f>
        <v>46239</v>
      </c>
      <c r="X16" s="15">
        <v>46234</v>
      </c>
      <c r="Y16" s="10" t="s">
        <v>32</v>
      </c>
      <c r="Z16" s="10" t="s">
        <v>100</v>
      </c>
      <c r="AA16" s="12" t="str">
        <f>IF(OR(Z16="",Z16="N/A"),"",IF(ISNUMBER(Q16),Q16,""))</f>
        <v/>
      </c>
      <c r="AB16" s="15"/>
      <c r="AC16" s="10"/>
      <c r="AD16" s="10"/>
      <c r="AE16" s="10"/>
      <c r="AF16" s="10" t="str">
        <f>IF(Z16="N/A","N/A","")</f>
        <v>N/A</v>
      </c>
      <c r="AG16" s="12">
        <f>IF(NOT(ISNUMBER(Q16)),"",Q16)</f>
        <v>46234</v>
      </c>
      <c r="AH16" s="12">
        <v>46239</v>
      </c>
      <c r="AI16" s="10" t="s">
        <v>32</v>
      </c>
      <c r="AJ16" s="12">
        <f>IF(OR(AL16="N/A",NOT(ISNUMBER(T16))),"",T16)</f>
        <v>46238</v>
      </c>
      <c r="AK16" s="15">
        <v>46239</v>
      </c>
      <c r="AL16" s="10" t="s">
        <v>32</v>
      </c>
      <c r="AM16" s="12">
        <f>IF(NOT(ISNUMBER(W16)),"",W16)</f>
        <v>46239</v>
      </c>
      <c r="AN16" s="15">
        <v>46239</v>
      </c>
      <c r="AO16" s="10" t="s">
        <v>32</v>
      </c>
      <c r="AP16" s="12" t="str">
        <f>IF(OR(Z16="",Z16="N/A"),"",IF(ISNUMBER(AG16),AG16,""))</f>
        <v/>
      </c>
      <c r="AQ16" s="15"/>
      <c r="AR16" s="10"/>
      <c r="AS16" s="10"/>
      <c r="AT16" s="10"/>
      <c r="AU16" s="12">
        <f>IF(NOT(ISNUMBER(Q16)),"",Q16)</f>
        <v>46234</v>
      </c>
      <c r="AV16" s="15"/>
      <c r="AW16" s="10" t="s">
        <v>32</v>
      </c>
      <c r="AX16" s="12">
        <f>IF(OR(AZ16="N/A",NOT(ISNUMBER(T16))),"",T16)</f>
        <v>46238</v>
      </c>
      <c r="AY16" s="15"/>
      <c r="AZ16" s="10"/>
      <c r="BA16" s="12">
        <f>IF(NOT(ISNUMBER(W16)),"",W16)</f>
        <v>46239</v>
      </c>
      <c r="BB16" s="15"/>
      <c r="BC16" s="10"/>
      <c r="BD16" s="12" t="str">
        <f>IF(OR(Z16="",Z16="N/A"),"",IF(ISNUMBER(AU16),AU16,""))</f>
        <v/>
      </c>
      <c r="BE16" s="15"/>
      <c r="BF16" s="10"/>
      <c r="BG16" s="10"/>
      <c r="BH16" s="10"/>
      <c r="BI16" s="12">
        <v>46300</v>
      </c>
      <c r="BJ16" s="10"/>
      <c r="BK16" s="12">
        <f>IF(NOT(ISNUMBER(BI16)),"",IF(WEEKDAY(BI16-CodeReviewCalendarDays,2)&gt;5,BI16-CodeReviewCalendarDays-(WEEKDAY(BI16-CodeReviewCalendarDays,2)-5),BI16-CodeReviewCalendarDays))</f>
        <v>46297</v>
      </c>
      <c r="BL16" s="10"/>
      <c r="BM16" s="12">
        <f>IF(NOT(ISNUMBER(BK16)),"",IF(WEEKDAY(BK16-CodeReviewInviteCalendarDays,2)&gt;5,BK16-CodeReviewInviteCalendarDays-(WEEKDAY(BK16-CodeReviewInviteCalendarDays,2)-5),BK16-CodeReviewInviteCalendarDays))</f>
        <v>46293</v>
      </c>
      <c r="BN16" s="10"/>
      <c r="BO16" s="10"/>
      <c r="BP16" s="16" t="str">
        <f ca="1">IF(A16="","",IF(IF(AND(ISNUMBER(J16),WEEKDAY(J16,2)&lt;&gt;2,WEEKDAY(J16,2)&lt;&gt;4)," | Release must be Tuesday or Thursday","")&amp;IF(AND(ISNUMBER(H16),WEEKDAY(H16,2)&lt;&gt;1)," | Sprint Start is not a Monday - dates still calculated from the date entered","")&amp;IF(AND(A16&lt;&gt;"",NOT(ISNUMBER(H16)),NOT(ISNUMBER(J16)))," | Enter Sprint Start or Release Date","")&amp;IF(AND(ISNUMBER(F16),F16&lt;TODAY(),D16&lt;&gt;"Completed")," | One or more raise-by dates are in the past and not completed","")&amp;IF(AND(ISNUMBER(K16),K16-TODAY()&lt;SprintWarningDays,K16&gt;=TODAY(),OR(D16="Yet to start",D16="Blocked"))," | Sprint starts in under 10 days - raise access requests now","")&amp;IF(AND(ISNUMBER(BM16),BN16&lt;&gt;"Completed",BN16&lt;&gt;"N/A",BM16-TODAY()&lt;CodeReviewInviteCalendarDays)," | Code Review invite should be sent at least 4 days before Code Review","")="","",MID(IF(AND(ISNUMBER(J16),WEEKDAY(J16,2)&lt;&gt;2,WEEKDAY(J16,2)&lt;&gt;4)," | Release must be Tuesday or Thursday","")&amp;IF(AND(ISNUMBER(H16),WEEKDAY(H16,2)&lt;&gt;1)," | Sprint Start is not a Monday - dates still calculated from the date entered","")&amp;IF(AND(A16&lt;&gt;"",NOT(ISNUMBER(H16)),NOT(ISNUMBER(J16)))," | Enter Sprint Start or Release Date","")&amp;IF(AND(ISNUMBER(F16),F16&lt;TODAY(),D16&lt;&gt;"Completed")," | One or more raise-by dates are in the past and not completed","")&amp;IF(AND(ISNUMBER(K16),K16-TODAY()&lt;SprintWarningDays,K16&gt;=TODAY(),OR(D16="Yet to start",D16="Blocked"))," | Sprint starts in under 10 days - raise access requests now","")&amp;IF(AND(ISNUMBER(BM16),BN16&lt;&gt;"Completed",BN16&lt;&gt;"N/A",BM16-TODAY()&lt;CodeReviewInviteCalendarDays),"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16" s="1" t="str">
        <f>IF(AND(ISNUMBER(Q16),S16&lt;&gt;"Completed",S16&lt;&gt;"N/A"),Q16,"")</f>
        <v/>
      </c>
      <c r="BR16" s="1" t="str">
        <f>IF(AND(ISNUMBER(T16),V16&lt;&gt;"Completed",V16&lt;&gt;"N/A"),T16,"")</f>
        <v/>
      </c>
      <c r="BS16" s="1" t="str">
        <f>IF(AND(ISNUMBER(W16),Y16&lt;&gt;"Completed",Y16&lt;&gt;"N/A"),W16,"")</f>
        <v/>
      </c>
      <c r="BT16" s="1" t="str">
        <f>IF(AND(ISNUMBER(AA16),AC16&lt;&gt;"Completed",AC16&lt;&gt;"N/A"),AA16,"")</f>
        <v/>
      </c>
      <c r="BU16" s="1" t="str">
        <f>IF(AND(ISNUMBER(AG16),AI16&lt;&gt;"Completed",AI16&lt;&gt;"N/A"),AG16,"")</f>
        <v/>
      </c>
      <c r="BV16" s="1" t="str">
        <f>IF(AND(ISNUMBER(AJ16),AL16&lt;&gt;"Completed",AL16&lt;&gt;"N/A"),AJ16,"")</f>
        <v/>
      </c>
      <c r="BW16" s="1" t="str">
        <f>IF(AND(ISNUMBER(AM16),AO16&lt;&gt;"Completed",AO16&lt;&gt;"N/A"),AM16,"")</f>
        <v/>
      </c>
      <c r="BX16" s="1" t="str">
        <f>IF(AND(ISNUMBER(AP16),AR16&lt;&gt;"Completed",AR16&lt;&gt;"N/A"),AP16,"")</f>
        <v/>
      </c>
      <c r="BY16" s="1" t="str">
        <f>IF(AND(ISNUMBER(AU16),AW16&lt;&gt;"Completed",AW16&lt;&gt;"N/A"),AU16,"")</f>
        <v/>
      </c>
      <c r="BZ16" s="1">
        <f>IF(AND(ISNUMBER(AX16),AZ16&lt;&gt;"Completed",AZ16&lt;&gt;"N/A"),AX16,"")</f>
        <v>46238</v>
      </c>
      <c r="CA16" s="1">
        <f>IF(AND(ISNUMBER(BA16),BC16&lt;&gt;"Completed",BC16&lt;&gt;"N/A"),BA16,"")</f>
        <v>46239</v>
      </c>
      <c r="CB16" s="1" t="str">
        <f>IF(AND(ISNUMBER(BD16),BF16&lt;&gt;"Completed",BF16&lt;&gt;"N/A"),BD16,"")</f>
        <v/>
      </c>
      <c r="CC16" s="1">
        <f>IF(AND(ISNUMBER(O16),P16&lt;&gt;"Completed",P16&lt;&gt;"N/A"),O16,"")</f>
        <v>46244</v>
      </c>
      <c r="CD16" s="1">
        <f>IF(AND(ISNUMBER(BM16),BN16&lt;&gt;"Completed",BN16&lt;&gt;"N/A"),BM16,"")</f>
        <v>46293</v>
      </c>
      <c r="CE16" s="1">
        <f>IF(AND(ISNUMBER(BK16),BL16&lt;&gt;"Completed",BL16&lt;&gt;"N/A"),BK16,"")</f>
        <v>46297</v>
      </c>
      <c r="CF16" s="1">
        <f>IF(AND(ISNUMBER(BI16),BJ16&lt;&gt;"Completed",BJ16&lt;&gt;"N/A"),BI16,"")</f>
        <v>46300</v>
      </c>
      <c r="CG16" s="1">
        <f ca="1">IF(OR(A16="",D16="Completed"),"",IF(N(G16)&gt;0,1/(N(G16)+ROW()/100000),IF(ISNUMBER(F16),1000+F16+ROW()/100000,TODAY()+400+ROW()/100000)))</f>
        <v>5.8822975783757322E-2</v>
      </c>
    </row>
    <row r="17" spans="1:85" ht="15.95" customHeight="1">
      <c r="A17" s="10" t="s">
        <v>119</v>
      </c>
      <c r="B17" s="10" t="s">
        <v>98</v>
      </c>
      <c r="C17" s="10" t="s">
        <v>117</v>
      </c>
      <c r="D17" s="11" t="str">
        <f>IF(A17="","",IF(((S17="Blocked")+(V17="Blocked")+(Y17="Blocked")+(AC17="Blocked")+(AI17="Blocked")+(AL17="Blocked")+(AO17="Blocked")+(AR17="Blocked")+(AW17="Blocked")+(AZ17="Blocked")+(BC17="Blocked")+(BF17="Blocked")+(P17="Blocked")+(BJ17="Blocked")+(BL17="Blocked")+(BN17="Blocked")+(BO17="Blocked"))&gt;0,"Blocked",IF((ISNUMBER(Q17)+ISNUMBER(T17)+ISNUMBER(W17)+ISNUMBER(AA17)+ISNUMBER(AG17)+ISNUMBER(AJ17)+ISNUMBER(AM17)+ISNUMBER(AP17)+ISNUMBER(AU17)+ISNUMBER(AX17)+ISNUMBER(BA17)+ISNUMBER(BD17)+ISNUMBER(O17)+ISNUMBER(BI17)+ISNUMBER(BK17)+ISNUMBER(BM17))=0,"Yet to start",IF(AND(OR(NOT(ISNUMBER(Q17)),S17="Completed",S17="N/A"),OR(NOT(ISNUMBER(T17)),V17="Completed",V17="N/A"),OR(NOT(ISNUMBER(W17)),Y17="Completed",Y17="N/A"),OR(NOT(ISNUMBER(AA17)),AC17="Completed",AC17="N/A"),OR(NOT(ISNUMBER(AG17)),AI17="Completed",AI17="N/A"),OR(NOT(ISNUMBER(AJ17)),AL17="Completed",AL17="N/A"),OR(NOT(ISNUMBER(AM17)),AO17="Completed",AO17="N/A"),OR(NOT(ISNUMBER(AP17)),AR17="Completed",AR17="N/A"),OR(NOT(ISNUMBER(AU17)),AW17="Completed",AW17="N/A"),OR(NOT(ISNUMBER(AX17)),AZ17="Completed",AZ17="N/A"),OR(NOT(ISNUMBER(BA17)),BC17="Completed",BC17="N/A"),OR(NOT(ISNUMBER(BD17)),BF17="Completed",BF17="N/A"),OR(NOT(ISNUMBER(O17)),P17="Completed",P17="N/A"),OR(NOT(ISNUMBER(BI17)),BJ17="Completed",BJ17="N/A"),OR(NOT(ISNUMBER(BK17)),BL17="Completed",BL17="N/A"),OR(NOT(ISNUMBER(BM17)),BN17="Completed",BN17="N/A"),OR(BO17="Completed",BO17="N/A")),"Completed",IF(((S17="In Progress")+(V17="In Progress")+(Y17="In Progress")+(AC17="In Progress")+(AI17="In Progress")+(AL17="In Progress")+(AO17="In Progress")+(AR17="In Progress")+(AW17="In Progress")+(AZ17="In Progress")+(BC17="In Progress")+(BF17="In Progress")+(P17="In Progress")+(BJ17="In Progress")+(BL17="In Progress")+(BN17="In Progress")+(BO17="In Progress"))&gt;0,"In Progress","Yet to start")))))</f>
        <v>In Progress</v>
      </c>
      <c r="E17" s="11" t="str">
        <f>IF(A17="","",IF(F17="","All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Review","CAB"},MATCH(F17,BQ17:CF17,0))))</f>
        <v>Prod OUR</v>
      </c>
      <c r="F17" s="12">
        <f>IF(A17="","",IF(COUNT(BQ17:CF17)=0,"",MIN(BQ17:CF17)))</f>
        <v>46238</v>
      </c>
      <c r="G17" s="13">
        <f ca="1">IF(A17="","",MAX(0,IF(AND(ISNUMBER(Q17),S17&lt;&gt;"Completed",S17&lt;&gt;"N/A",Q17&lt;TODAY()),TODAY()-Q17,0),IF(AND(ISNUMBER(T17),V17&lt;&gt;"Completed",V17&lt;&gt;"N/A",T17&lt;TODAY()),TODAY()-T17,0),IF(AND(ISNUMBER(W17),Y17&lt;&gt;"Completed",Y17&lt;&gt;"N/A",W17&lt;TODAY()),TODAY()-W17,0),IF(AND(ISNUMBER(AA17),AC17&lt;&gt;"Completed",AC17&lt;&gt;"N/A",AA17&lt;TODAY()),TODAY()-AA17,0),IF(AND(ISNUMBER(AG17),AI17&lt;&gt;"Completed",AI17&lt;&gt;"N/A",AG17&lt;TODAY()),TODAY()-AG17,0),IF(AND(ISNUMBER(AJ17),AL17&lt;&gt;"Completed",AL17&lt;&gt;"N/A",AJ17&lt;TODAY()),TODAY()-AJ17,0),IF(AND(ISNUMBER(AM17),AO17&lt;&gt;"Completed",AO17&lt;&gt;"N/A",AM17&lt;TODAY()),TODAY()-AM17,0),IF(AND(ISNUMBER(AP17),AR17&lt;&gt;"Completed",AR17&lt;&gt;"N/A",AP17&lt;TODAY()),TODAY()-AP17,0),IF(AND(ISNUMBER(AU17),AW17&lt;&gt;"Completed",AW17&lt;&gt;"N/A",AU17&lt;TODAY()),TODAY()-AU17,0),IF(AND(ISNUMBER(AX17),AZ17&lt;&gt;"Completed",AZ17&lt;&gt;"N/A",AX17&lt;TODAY()),TODAY()-AX17,0),IF(AND(ISNUMBER(BA17),BC17&lt;&gt;"Completed",BC17&lt;&gt;"N/A",BA17&lt;TODAY()),TODAY()-BA17,0),IF(AND(ISNUMBER(BD17),BF17&lt;&gt;"Completed",BF17&lt;&gt;"N/A",BD17&lt;TODAY()),TODAY()-BD17,0),IF(AND(ISNUMBER(O17),P17&lt;&gt;"Completed",P17&lt;&gt;"N/A",O17&lt;TODAY()),TODAY()-O17,0),IF(AND(ISNUMBER(BM17),BN17&lt;&gt;"Completed",BN17&lt;&gt;"N/A",BM17&lt;TODAY()),TODAY()-BM17,0),IF(AND(ISNUMBER(BK17),BL17&lt;&gt;"Completed",BL17&lt;&gt;"N/A",BK17&lt;TODAY()),TODAY()-BK17,0),IF(AND(ISNUMBER(BI17),BJ17&lt;&gt;"Completed",BJ17&lt;&gt;"N/A",BI17&lt;TODAY()),TODAY()-BI17,0)))</f>
        <v>17</v>
      </c>
      <c r="H17" s="14">
        <v>46246</v>
      </c>
      <c r="I17" s="14">
        <v>46259</v>
      </c>
      <c r="J17" s="15">
        <v>46300</v>
      </c>
      <c r="K17" s="12">
        <f>IF(ISNUMBER(H17),H17,IF(ISNUMBER(M17),M17-WEEKDAY(M17,2)+1-7,""))</f>
        <v>46246</v>
      </c>
      <c r="L17" s="12">
        <f>IF(ISNUMBER(I17),I17,IF(ISNUMBER(H17),WORKDAY(H17,SprintWorkingDays-1),IF(ISNUMBER(K17),WORKDAY(K17,SprintWorkingDays-1),"")))</f>
        <v>46259</v>
      </c>
      <c r="M17" s="12">
        <f>IF(ISNUMBER(J17),J17,IF(ISNUMBER(I17),I17-IF(OR(WEEKDAY(I17,2)=2,WEEKDAY(I17,2)=4),0,IF(WEEKDAY(I17,2)=3,1,IF(WEEKDAY(I17,2)=1,4,WEEKDAY(I17,2)-4))),IF(ISNUMBER(H17),WORKDAY(H17,SprintWorkingDays-1)-IF(OR(WEEKDAY(WORKDAY(H17,SprintWorkingDays-1),2)=2,WEEKDAY(WORKDAY(H17,SprintWorkingDays-1),2)=4),0,IF(WEEKDAY(WORKDAY(H17,SprintWorkingDays-1),2)=3,1,IF(WEEKDAY(WORKDAY(H17,SprintWorkingDays-1),2)=1,4,WEEKDAY(WORKDAY(H17,SprintWorkingDays-1),2)-4))),"")))</f>
        <v>46300</v>
      </c>
      <c r="N17" s="12">
        <f>IF(NOT(ISNUMBER(K17)),"",WORKDAY(K17,ReadyOffsetWD))</f>
        <v>46245</v>
      </c>
      <c r="O17" s="12">
        <f>IF(NOT(ISNUMBER(K17)),"",WORKDAY(K17,SprintReadinessOffsetWD))</f>
        <v>46244</v>
      </c>
      <c r="P17" s="10" t="s">
        <v>30</v>
      </c>
      <c r="Q17" s="12">
        <f>IF(A17="","",IF(V17="N/A",IF(NOT(ISNUMBER(W17)),"",WORKDAY(W17,RTSKOffsetFromOUR_WD)),IF(NOT(ISNUMBER(T17)),"",WORKDAY(T17,RTSKOffsetFromOUR_WD))))</f>
        <v>46234</v>
      </c>
      <c r="R17" s="15">
        <v>46246</v>
      </c>
      <c r="S17" s="10" t="s">
        <v>32</v>
      </c>
      <c r="T17" s="12">
        <f>IF(OR(A17="",V17="N/A"),"",IF(NOT(ISNUMBER(W17)),"",WORKDAY(W17,OUROffsetFromSR_WD)))</f>
        <v>46238</v>
      </c>
      <c r="U17" s="15">
        <v>46234</v>
      </c>
      <c r="V17" s="10" t="s">
        <v>32</v>
      </c>
      <c r="W17" s="12">
        <f>IF(OR(A17="",NOT(ISNUMBER(K17))),"",WORKDAY(K17,SROffsetFromStartWD))</f>
        <v>46239</v>
      </c>
      <c r="X17" s="15">
        <v>46234</v>
      </c>
      <c r="Y17" s="10" t="s">
        <v>32</v>
      </c>
      <c r="Z17" s="10" t="s">
        <v>100</v>
      </c>
      <c r="AA17" s="12" t="str">
        <f>IF(OR(Z17="",Z17="N/A"),"",IF(ISNUMBER(Q17),Q17,""))</f>
        <v/>
      </c>
      <c r="AB17" s="15"/>
      <c r="AC17" s="10"/>
      <c r="AD17" s="10"/>
      <c r="AE17" s="10"/>
      <c r="AF17" s="10" t="str">
        <f>IF(Z17="N/A","N/A","")</f>
        <v>N/A</v>
      </c>
      <c r="AG17" s="12">
        <f>IF(NOT(ISNUMBER(Q17)),"",Q17)</f>
        <v>46234</v>
      </c>
      <c r="AH17" s="12">
        <v>46239</v>
      </c>
      <c r="AI17" s="10" t="s">
        <v>32</v>
      </c>
      <c r="AJ17" s="12">
        <f>IF(OR(AL17="N/A",NOT(ISNUMBER(T17))),"",T17)</f>
        <v>46238</v>
      </c>
      <c r="AK17" s="15">
        <v>46239</v>
      </c>
      <c r="AL17" s="10" t="s">
        <v>32</v>
      </c>
      <c r="AM17" s="12">
        <f>IF(NOT(ISNUMBER(W17)),"",W17)</f>
        <v>46239</v>
      </c>
      <c r="AN17" s="15">
        <v>46239</v>
      </c>
      <c r="AO17" s="10" t="s">
        <v>32</v>
      </c>
      <c r="AP17" s="12" t="str">
        <f>IF(OR(Z17="",Z17="N/A"),"",IF(ISNUMBER(AG17),AG17,""))</f>
        <v/>
      </c>
      <c r="AQ17" s="15"/>
      <c r="AR17" s="10"/>
      <c r="AS17" s="10"/>
      <c r="AT17" s="10"/>
      <c r="AU17" s="12">
        <f>IF(NOT(ISNUMBER(Q17)),"",Q17)</f>
        <v>46234</v>
      </c>
      <c r="AV17" s="15"/>
      <c r="AW17" s="10" t="s">
        <v>32</v>
      </c>
      <c r="AX17" s="12">
        <f>IF(OR(AZ17="N/A",NOT(ISNUMBER(T17))),"",T17)</f>
        <v>46238</v>
      </c>
      <c r="AY17" s="15"/>
      <c r="AZ17" s="10"/>
      <c r="BA17" s="12">
        <f>IF(NOT(ISNUMBER(W17)),"",W17)</f>
        <v>46239</v>
      </c>
      <c r="BB17" s="15"/>
      <c r="BC17" s="10"/>
      <c r="BD17" s="12" t="str">
        <f>IF(OR(Z17="",Z17="N/A"),"",IF(ISNUMBER(AU17),AU17,""))</f>
        <v/>
      </c>
      <c r="BE17" s="15"/>
      <c r="BF17" s="10"/>
      <c r="BG17" s="10"/>
      <c r="BH17" s="10"/>
      <c r="BI17" s="12">
        <v>46300</v>
      </c>
      <c r="BJ17" s="10"/>
      <c r="BK17" s="12">
        <f>IF(NOT(ISNUMBER(BI17)),"",IF(WEEKDAY(BI17-CodeReviewCalendarDays,2)&gt;5,BI17-CodeReviewCalendarDays-(WEEKDAY(BI17-CodeReviewCalendarDays,2)-5),BI17-CodeReviewCalendarDays))</f>
        <v>46297</v>
      </c>
      <c r="BL17" s="10"/>
      <c r="BM17" s="12">
        <f>IF(NOT(ISNUMBER(BK17)),"",IF(WEEKDAY(BK17-CodeReviewInviteCalendarDays,2)&gt;5,BK17-CodeReviewInviteCalendarDays-(WEEKDAY(BK17-CodeReviewInviteCalendarDays,2)-5),BK17-CodeReviewInviteCalendarDays))</f>
        <v>46293</v>
      </c>
      <c r="BN17" s="10"/>
      <c r="BO17" s="10"/>
      <c r="BP17" s="16" t="str">
        <f ca="1">IF(A17="","",IF(IF(AND(ISNUMBER(J17),WEEKDAY(J17,2)&lt;&gt;2,WEEKDAY(J17,2)&lt;&gt;4)," | Release must be Tuesday or Thursday","")&amp;IF(AND(ISNUMBER(H17),WEEKDAY(H17,2)&lt;&gt;1)," | Sprint Start is not a Monday - dates still calculated from the date entered","")&amp;IF(AND(A17&lt;&gt;"",NOT(ISNUMBER(H17)),NOT(ISNUMBER(J17)))," | Enter Sprint Start or Release Date","")&amp;IF(AND(ISNUMBER(F17),F17&lt;TODAY(),D17&lt;&gt;"Completed")," | One or more raise-by dates are in the past and not completed","")&amp;IF(AND(ISNUMBER(K17),K17-TODAY()&lt;SprintWarningDays,K17&gt;=TODAY(),OR(D17="Yet to start",D17="Blocked"))," | Sprint starts in under 10 days - raise access requests now","")&amp;IF(AND(ISNUMBER(BM17),BN17&lt;&gt;"Completed",BN17&lt;&gt;"N/A",BM17-TODAY()&lt;CodeReviewInviteCalendarDays)," | Code Review invite should be sent at least 4 days before Code Review","")="","",MID(IF(AND(ISNUMBER(J17),WEEKDAY(J17,2)&lt;&gt;2,WEEKDAY(J17,2)&lt;&gt;4)," | Release must be Tuesday or Thursday","")&amp;IF(AND(ISNUMBER(H17),WEEKDAY(H17,2)&lt;&gt;1)," | Sprint Start is not a Monday - dates still calculated from the date entered","")&amp;IF(AND(A17&lt;&gt;"",NOT(ISNUMBER(H17)),NOT(ISNUMBER(J17)))," | Enter Sprint Start or Release Date","")&amp;IF(AND(ISNUMBER(F17),F17&lt;TODAY(),D17&lt;&gt;"Completed")," | One or more raise-by dates are in the past and not completed","")&amp;IF(AND(ISNUMBER(K17),K17-TODAY()&lt;SprintWarningDays,K17&gt;=TODAY(),OR(D17="Yet to start",D17="Blocked"))," | Sprint starts in under 10 days - raise access requests now","")&amp;IF(AND(ISNUMBER(BM17),BN17&lt;&gt;"Completed",BN17&lt;&gt;"N/A",BM17-TODAY()&lt;CodeReviewInviteCalendarDays),"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17" s="1" t="str">
        <f>IF(AND(ISNUMBER(Q17),S17&lt;&gt;"Completed",S17&lt;&gt;"N/A"),Q17,"")</f>
        <v/>
      </c>
      <c r="BR17" s="1" t="str">
        <f>IF(AND(ISNUMBER(T17),V17&lt;&gt;"Completed",V17&lt;&gt;"N/A"),T17,"")</f>
        <v/>
      </c>
      <c r="BS17" s="1" t="str">
        <f>IF(AND(ISNUMBER(W17),Y17&lt;&gt;"Completed",Y17&lt;&gt;"N/A"),W17,"")</f>
        <v/>
      </c>
      <c r="BT17" s="1" t="str">
        <f>IF(AND(ISNUMBER(AA17),AC17&lt;&gt;"Completed",AC17&lt;&gt;"N/A"),AA17,"")</f>
        <v/>
      </c>
      <c r="BU17" s="1" t="str">
        <f>IF(AND(ISNUMBER(AG17),AI17&lt;&gt;"Completed",AI17&lt;&gt;"N/A"),AG17,"")</f>
        <v/>
      </c>
      <c r="BV17" s="1" t="str">
        <f>IF(AND(ISNUMBER(AJ17),AL17&lt;&gt;"Completed",AL17&lt;&gt;"N/A"),AJ17,"")</f>
        <v/>
      </c>
      <c r="BW17" s="1" t="str">
        <f>IF(AND(ISNUMBER(AM17),AO17&lt;&gt;"Completed",AO17&lt;&gt;"N/A"),AM17,"")</f>
        <v/>
      </c>
      <c r="BX17" s="1" t="str">
        <f>IF(AND(ISNUMBER(AP17),AR17&lt;&gt;"Completed",AR17&lt;&gt;"N/A"),AP17,"")</f>
        <v/>
      </c>
      <c r="BY17" s="1" t="str">
        <f>IF(AND(ISNUMBER(AU17),AW17&lt;&gt;"Completed",AW17&lt;&gt;"N/A"),AU17,"")</f>
        <v/>
      </c>
      <c r="BZ17" s="1">
        <f>IF(AND(ISNUMBER(AX17),AZ17&lt;&gt;"Completed",AZ17&lt;&gt;"N/A"),AX17,"")</f>
        <v>46238</v>
      </c>
      <c r="CA17" s="1">
        <f>IF(AND(ISNUMBER(BA17),BC17&lt;&gt;"Completed",BC17&lt;&gt;"N/A"),BA17,"")</f>
        <v>46239</v>
      </c>
      <c r="CB17" s="1" t="str">
        <f>IF(AND(ISNUMBER(BD17),BF17&lt;&gt;"Completed",BF17&lt;&gt;"N/A"),BD17,"")</f>
        <v/>
      </c>
      <c r="CC17" s="1">
        <f>IF(AND(ISNUMBER(O17),P17&lt;&gt;"Completed",P17&lt;&gt;"N/A"),O17,"")</f>
        <v>46244</v>
      </c>
      <c r="CD17" s="1">
        <f>IF(AND(ISNUMBER(BM17),BN17&lt;&gt;"Completed",BN17&lt;&gt;"N/A"),BM17,"")</f>
        <v>46293</v>
      </c>
      <c r="CE17" s="1">
        <f>IF(AND(ISNUMBER(BK17),BL17&lt;&gt;"Completed",BL17&lt;&gt;"N/A"),BK17,"")</f>
        <v>46297</v>
      </c>
      <c r="CF17" s="1">
        <f>IF(AND(ISNUMBER(BI17),BJ17&lt;&gt;"Completed",BJ17&lt;&gt;"N/A"),BI17,"")</f>
        <v>46300</v>
      </c>
      <c r="CG17" s="1">
        <f ca="1">IF(OR(A17="",D17="Completed"),"",IF(N(G17)&gt;0,1/(N(G17)+ROW()/100000),IF(ISNUMBER(F17),1000+F17+ROW()/100000,TODAY()+400+ROW()/100000)))</f>
        <v>5.8822941182352879E-2</v>
      </c>
    </row>
    <row r="18" spans="1:85" ht="15.95" customHeight="1">
      <c r="A18" s="10" t="s">
        <v>120</v>
      </c>
      <c r="B18" s="10" t="s">
        <v>98</v>
      </c>
      <c r="C18" s="10" t="s">
        <v>117</v>
      </c>
      <c r="D18" s="11" t="str">
        <f>IF(A18="","",IF(((S18="Blocked")+(V18="Blocked")+(Y18="Blocked")+(AC18="Blocked")+(AI18="Blocked")+(AL18="Blocked")+(AO18="Blocked")+(AR18="Blocked")+(AW18="Blocked")+(AZ18="Blocked")+(BC18="Blocked")+(BF18="Blocked")+(P18="Blocked")+(BJ18="Blocked")+(BL18="Blocked")+(BN18="Blocked")+(BO18="Blocked"))&gt;0,"Blocked",IF((ISNUMBER(Q18)+ISNUMBER(T18)+ISNUMBER(W18)+ISNUMBER(AA18)+ISNUMBER(AG18)+ISNUMBER(AJ18)+ISNUMBER(AM18)+ISNUMBER(AP18)+ISNUMBER(AU18)+ISNUMBER(AX18)+ISNUMBER(BA18)+ISNUMBER(BD18)+ISNUMBER(O18)+ISNUMBER(BI18)+ISNUMBER(BK18)+ISNUMBER(BM18))=0,"Yet to start",IF(AND(OR(NOT(ISNUMBER(Q18)),S18="Completed",S18="N/A"),OR(NOT(ISNUMBER(T18)),V18="Completed",V18="N/A"),OR(NOT(ISNUMBER(W18)),Y18="Completed",Y18="N/A"),OR(NOT(ISNUMBER(AA18)),AC18="Completed",AC18="N/A"),OR(NOT(ISNUMBER(AG18)),AI18="Completed",AI18="N/A"),OR(NOT(ISNUMBER(AJ18)),AL18="Completed",AL18="N/A"),OR(NOT(ISNUMBER(AM18)),AO18="Completed",AO18="N/A"),OR(NOT(ISNUMBER(AP18)),AR18="Completed",AR18="N/A"),OR(NOT(ISNUMBER(AU18)),AW18="Completed",AW18="N/A"),OR(NOT(ISNUMBER(AX18)),AZ18="Completed",AZ18="N/A"),OR(NOT(ISNUMBER(BA18)),BC18="Completed",BC18="N/A"),OR(NOT(ISNUMBER(BD18)),BF18="Completed",BF18="N/A"),OR(NOT(ISNUMBER(O18)),P18="Completed",P18="N/A"),OR(NOT(ISNUMBER(BI18)),BJ18="Completed",BJ18="N/A"),OR(NOT(ISNUMBER(BK18)),BL18="Completed",BL18="N/A"),OR(NOT(ISNUMBER(BM18)),BN18="Completed",BN18="N/A"),OR(BO18="Completed",BO18="N/A")),"Completed",IF(((S18="In Progress")+(V18="In Progress")+(Y18="In Progress")+(AC18="In Progress")+(AI18="In Progress")+(AL18="In Progress")+(AO18="In Progress")+(AR18="In Progress")+(AW18="In Progress")+(AZ18="In Progress")+(BC18="In Progress")+(BF18="In Progress")+(P18="In Progress")+(BJ18="In Progress")+(BL18="In Progress")+(BN18="In Progress")+(BO18="In Progress"))&gt;0,"In Progress","Yet to start")))))</f>
        <v>In Progress</v>
      </c>
      <c r="E18" s="11" t="str">
        <f>IF(A18="","",IF(F18="","All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Review","CAB"},MATCH(F18,BQ18:CF18,0))))</f>
        <v>Prod OUR</v>
      </c>
      <c r="F18" s="12">
        <f>IF(A18="","",IF(COUNT(BQ18:CF18)=0,"",MIN(BQ18:CF18)))</f>
        <v>46238</v>
      </c>
      <c r="G18" s="13">
        <f ca="1">IF(A18="","",MAX(0,IF(AND(ISNUMBER(Q18),S18&lt;&gt;"Completed",S18&lt;&gt;"N/A",Q18&lt;TODAY()),TODAY()-Q18,0),IF(AND(ISNUMBER(T18),V18&lt;&gt;"Completed",V18&lt;&gt;"N/A",T18&lt;TODAY()),TODAY()-T18,0),IF(AND(ISNUMBER(W18),Y18&lt;&gt;"Completed",Y18&lt;&gt;"N/A",W18&lt;TODAY()),TODAY()-W18,0),IF(AND(ISNUMBER(AA18),AC18&lt;&gt;"Completed",AC18&lt;&gt;"N/A",AA18&lt;TODAY()),TODAY()-AA18,0),IF(AND(ISNUMBER(AG18),AI18&lt;&gt;"Completed",AI18&lt;&gt;"N/A",AG18&lt;TODAY()),TODAY()-AG18,0),IF(AND(ISNUMBER(AJ18),AL18&lt;&gt;"Completed",AL18&lt;&gt;"N/A",AJ18&lt;TODAY()),TODAY()-AJ18,0),IF(AND(ISNUMBER(AM18),AO18&lt;&gt;"Completed",AO18&lt;&gt;"N/A",AM18&lt;TODAY()),TODAY()-AM18,0),IF(AND(ISNUMBER(AP18),AR18&lt;&gt;"Completed",AR18&lt;&gt;"N/A",AP18&lt;TODAY()),TODAY()-AP18,0),IF(AND(ISNUMBER(AU18),AW18&lt;&gt;"Completed",AW18&lt;&gt;"N/A",AU18&lt;TODAY()),TODAY()-AU18,0),IF(AND(ISNUMBER(AX18),AZ18&lt;&gt;"Completed",AZ18&lt;&gt;"N/A",AX18&lt;TODAY()),TODAY()-AX18,0),IF(AND(ISNUMBER(BA18),BC18&lt;&gt;"Completed",BC18&lt;&gt;"N/A",BA18&lt;TODAY()),TODAY()-BA18,0),IF(AND(ISNUMBER(BD18),BF18&lt;&gt;"Completed",BF18&lt;&gt;"N/A",BD18&lt;TODAY()),TODAY()-BD18,0),IF(AND(ISNUMBER(O18),P18&lt;&gt;"Completed",P18&lt;&gt;"N/A",O18&lt;TODAY()),TODAY()-O18,0),IF(AND(ISNUMBER(BM18),BN18&lt;&gt;"Completed",BN18&lt;&gt;"N/A",BM18&lt;TODAY()),TODAY()-BM18,0),IF(AND(ISNUMBER(BK18),BL18&lt;&gt;"Completed",BL18&lt;&gt;"N/A",BK18&lt;TODAY()),TODAY()-BK18,0),IF(AND(ISNUMBER(BI18),BJ18&lt;&gt;"Completed",BJ18&lt;&gt;"N/A",BI18&lt;TODAY()),TODAY()-BI18,0)))</f>
        <v>17</v>
      </c>
      <c r="H18" s="14">
        <v>46246</v>
      </c>
      <c r="I18" s="14">
        <v>46259</v>
      </c>
      <c r="J18" s="15">
        <v>46300</v>
      </c>
      <c r="K18" s="12">
        <f>IF(ISNUMBER(H18),H18,IF(ISNUMBER(M18),M18-WEEKDAY(M18,2)+1-7,""))</f>
        <v>46246</v>
      </c>
      <c r="L18" s="12">
        <f>IF(ISNUMBER(I18),I18,IF(ISNUMBER(H18),WORKDAY(H18,SprintWorkingDays-1),IF(ISNUMBER(K18),WORKDAY(K18,SprintWorkingDays-1),"")))</f>
        <v>46259</v>
      </c>
      <c r="M18" s="12">
        <f>IF(ISNUMBER(J18),J18,IF(ISNUMBER(I18),I18-IF(OR(WEEKDAY(I18,2)=2,WEEKDAY(I18,2)=4),0,IF(WEEKDAY(I18,2)=3,1,IF(WEEKDAY(I18,2)=1,4,WEEKDAY(I18,2)-4))),IF(ISNUMBER(H18),WORKDAY(H18,SprintWorkingDays-1)-IF(OR(WEEKDAY(WORKDAY(H18,SprintWorkingDays-1),2)=2,WEEKDAY(WORKDAY(H18,SprintWorkingDays-1),2)=4),0,IF(WEEKDAY(WORKDAY(H18,SprintWorkingDays-1),2)=3,1,IF(WEEKDAY(WORKDAY(H18,SprintWorkingDays-1),2)=1,4,WEEKDAY(WORKDAY(H18,SprintWorkingDays-1),2)-4))),"")))</f>
        <v>46300</v>
      </c>
      <c r="N18" s="12">
        <f>IF(NOT(ISNUMBER(K18)),"",WORKDAY(K18,ReadyOffsetWD))</f>
        <v>46245</v>
      </c>
      <c r="O18" s="12">
        <f>IF(NOT(ISNUMBER(K18)),"",WORKDAY(K18,SprintReadinessOffsetWD))</f>
        <v>46244</v>
      </c>
      <c r="P18" s="10" t="s">
        <v>30</v>
      </c>
      <c r="Q18" s="12">
        <f>IF(A18="","",IF(V18="N/A",IF(NOT(ISNUMBER(W18)),"",WORKDAY(W18,RTSKOffsetFromOUR_WD)),IF(NOT(ISNUMBER(T18)),"",WORKDAY(T18,RTSKOffsetFromOUR_WD))))</f>
        <v>46234</v>
      </c>
      <c r="R18" s="15">
        <v>46246</v>
      </c>
      <c r="S18" s="10" t="s">
        <v>32</v>
      </c>
      <c r="T18" s="12">
        <f>IF(OR(A18="",V18="N/A"),"",IF(NOT(ISNUMBER(W18)),"",WORKDAY(W18,OUROffsetFromSR_WD)))</f>
        <v>46238</v>
      </c>
      <c r="U18" s="15">
        <v>46234</v>
      </c>
      <c r="V18" s="10" t="s">
        <v>32</v>
      </c>
      <c r="W18" s="12">
        <f>IF(OR(A18="",NOT(ISNUMBER(K18))),"",WORKDAY(K18,SROffsetFromStartWD))</f>
        <v>46239</v>
      </c>
      <c r="X18" s="15">
        <v>46234</v>
      </c>
      <c r="Y18" s="10" t="s">
        <v>32</v>
      </c>
      <c r="Z18" s="10" t="s">
        <v>100</v>
      </c>
      <c r="AA18" s="12" t="str">
        <f>IF(OR(Z18="",Z18="N/A"),"",IF(ISNUMBER(Q18),Q18,""))</f>
        <v/>
      </c>
      <c r="AB18" s="15"/>
      <c r="AC18" s="10"/>
      <c r="AD18" s="10"/>
      <c r="AE18" s="10"/>
      <c r="AF18" s="10" t="str">
        <f>IF(Z18="N/A","N/A","")</f>
        <v>N/A</v>
      </c>
      <c r="AG18" s="12">
        <f>IF(NOT(ISNUMBER(Q18)),"",Q18)</f>
        <v>46234</v>
      </c>
      <c r="AH18" s="12">
        <v>46239</v>
      </c>
      <c r="AI18" s="10" t="s">
        <v>32</v>
      </c>
      <c r="AJ18" s="12">
        <f>IF(OR(AL18="N/A",NOT(ISNUMBER(T18))),"",T18)</f>
        <v>46238</v>
      </c>
      <c r="AK18" s="15">
        <v>46239</v>
      </c>
      <c r="AL18" s="10" t="s">
        <v>32</v>
      </c>
      <c r="AM18" s="12">
        <f>IF(NOT(ISNUMBER(W18)),"",W18)</f>
        <v>46239</v>
      </c>
      <c r="AN18" s="15">
        <v>46239</v>
      </c>
      <c r="AO18" s="10" t="s">
        <v>32</v>
      </c>
      <c r="AP18" s="12" t="str">
        <f>IF(OR(Z18="",Z18="N/A"),"",IF(ISNUMBER(AG18),AG18,""))</f>
        <v/>
      </c>
      <c r="AQ18" s="15"/>
      <c r="AR18" s="10"/>
      <c r="AS18" s="10"/>
      <c r="AT18" s="10"/>
      <c r="AU18" s="12">
        <f>IF(NOT(ISNUMBER(Q18)),"",Q18)</f>
        <v>46234</v>
      </c>
      <c r="AV18" s="15"/>
      <c r="AW18" s="10" t="s">
        <v>32</v>
      </c>
      <c r="AX18" s="12">
        <f>IF(OR(AZ18="N/A",NOT(ISNUMBER(T18))),"",T18)</f>
        <v>46238</v>
      </c>
      <c r="AY18" s="15"/>
      <c r="AZ18" s="10"/>
      <c r="BA18" s="12">
        <f>IF(NOT(ISNUMBER(W18)),"",W18)</f>
        <v>46239</v>
      </c>
      <c r="BB18" s="15"/>
      <c r="BC18" s="10"/>
      <c r="BD18" s="12" t="str">
        <f>IF(OR(Z18="",Z18="N/A"),"",IF(ISNUMBER(AU18),AU18,""))</f>
        <v/>
      </c>
      <c r="BE18" s="15"/>
      <c r="BF18" s="10"/>
      <c r="BG18" s="10"/>
      <c r="BH18" s="10"/>
      <c r="BI18" s="12">
        <v>46300</v>
      </c>
      <c r="BJ18" s="10"/>
      <c r="BK18" s="12">
        <f>IF(NOT(ISNUMBER(BI18)),"",IF(WEEKDAY(BI18-CodeReviewCalendarDays,2)&gt;5,BI18-CodeReviewCalendarDays-(WEEKDAY(BI18-CodeReviewCalendarDays,2)-5),BI18-CodeReviewCalendarDays))</f>
        <v>46297</v>
      </c>
      <c r="BL18" s="10"/>
      <c r="BM18" s="12">
        <f>IF(NOT(ISNUMBER(BK18)),"",IF(WEEKDAY(BK18-CodeReviewInviteCalendarDays,2)&gt;5,BK18-CodeReviewInviteCalendarDays-(WEEKDAY(BK18-CodeReviewInviteCalendarDays,2)-5),BK18-CodeReviewInviteCalendarDays))</f>
        <v>46293</v>
      </c>
      <c r="BN18" s="10"/>
      <c r="BO18" s="10"/>
      <c r="BP18" s="16" t="str">
        <f ca="1">IF(A18="","",IF(IF(AND(ISNUMBER(J18),WEEKDAY(J18,2)&lt;&gt;2,WEEKDAY(J18,2)&lt;&gt;4)," | Release must be Tuesday or Thursday","")&amp;IF(AND(ISNUMBER(H18),WEEKDAY(H18,2)&lt;&gt;1)," | Sprint Start is not a Monday - dates still calculated from the date entered","")&amp;IF(AND(A18&lt;&gt;"",NOT(ISNUMBER(H18)),NOT(ISNUMBER(J18)))," | Enter Sprint Start or Release Date","")&amp;IF(AND(ISNUMBER(F18),F18&lt;TODAY(),D18&lt;&gt;"Completed")," | One or more raise-by dates are in the past and not completed","")&amp;IF(AND(ISNUMBER(K18),K18-TODAY()&lt;SprintWarningDays,K18&gt;=TODAY(),OR(D18="Yet to start",D18="Blocked"))," | Sprint starts in under 10 days - raise access requests now","")&amp;IF(AND(ISNUMBER(BM18),BN18&lt;&gt;"Completed",BN18&lt;&gt;"N/A",BM18-TODAY()&lt;CodeReviewInviteCalendarDays)," | Code Review invite should be sent at least 4 days before Code Review","")="","",MID(IF(AND(ISNUMBER(J18),WEEKDAY(J18,2)&lt;&gt;2,WEEKDAY(J18,2)&lt;&gt;4)," | Release must be Tuesday or Thursday","")&amp;IF(AND(ISNUMBER(H18),WEEKDAY(H18,2)&lt;&gt;1)," | Sprint Start is not a Monday - dates still calculated from the date entered","")&amp;IF(AND(A18&lt;&gt;"",NOT(ISNUMBER(H18)),NOT(ISNUMBER(J18)))," | Enter Sprint Start or Release Date","")&amp;IF(AND(ISNUMBER(F18),F18&lt;TODAY(),D18&lt;&gt;"Completed")," | One or more raise-by dates are in the past and not completed","")&amp;IF(AND(ISNUMBER(K18),K18-TODAY()&lt;SprintWarningDays,K18&gt;=TODAY(),OR(D18="Yet to start",D18="Blocked"))," | Sprint starts in under 10 days - raise access requests now","")&amp;IF(AND(ISNUMBER(BM18),BN18&lt;&gt;"Completed",BN18&lt;&gt;"N/A",BM18-TODAY()&lt;CodeReviewInviteCalendarDays),"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18" s="1" t="str">
        <f>IF(AND(ISNUMBER(Q18),S18&lt;&gt;"Completed",S18&lt;&gt;"N/A"),Q18,"")</f>
        <v/>
      </c>
      <c r="BR18" s="1" t="str">
        <f>IF(AND(ISNUMBER(T18),V18&lt;&gt;"Completed",V18&lt;&gt;"N/A"),T18,"")</f>
        <v/>
      </c>
      <c r="BS18" s="1" t="str">
        <f>IF(AND(ISNUMBER(W18),Y18&lt;&gt;"Completed",Y18&lt;&gt;"N/A"),W18,"")</f>
        <v/>
      </c>
      <c r="BT18" s="1" t="str">
        <f>IF(AND(ISNUMBER(AA18),AC18&lt;&gt;"Completed",AC18&lt;&gt;"N/A"),AA18,"")</f>
        <v/>
      </c>
      <c r="BU18" s="1" t="str">
        <f>IF(AND(ISNUMBER(AG18),AI18&lt;&gt;"Completed",AI18&lt;&gt;"N/A"),AG18,"")</f>
        <v/>
      </c>
      <c r="BV18" s="1" t="str">
        <f>IF(AND(ISNUMBER(AJ18),AL18&lt;&gt;"Completed",AL18&lt;&gt;"N/A"),AJ18,"")</f>
        <v/>
      </c>
      <c r="BW18" s="1" t="str">
        <f>IF(AND(ISNUMBER(AM18),AO18&lt;&gt;"Completed",AO18&lt;&gt;"N/A"),AM18,"")</f>
        <v/>
      </c>
      <c r="BX18" s="1" t="str">
        <f>IF(AND(ISNUMBER(AP18),AR18&lt;&gt;"Completed",AR18&lt;&gt;"N/A"),AP18,"")</f>
        <v/>
      </c>
      <c r="BY18" s="1" t="str">
        <f>IF(AND(ISNUMBER(AU18),AW18&lt;&gt;"Completed",AW18&lt;&gt;"N/A"),AU18,"")</f>
        <v/>
      </c>
      <c r="BZ18" s="1">
        <f>IF(AND(ISNUMBER(AX18),AZ18&lt;&gt;"Completed",AZ18&lt;&gt;"N/A"),AX18,"")</f>
        <v>46238</v>
      </c>
      <c r="CA18" s="1">
        <f>IF(AND(ISNUMBER(BA18),BC18&lt;&gt;"Completed",BC18&lt;&gt;"N/A"),BA18,"")</f>
        <v>46239</v>
      </c>
      <c r="CB18" s="1" t="str">
        <f>IF(AND(ISNUMBER(BD18),BF18&lt;&gt;"Completed",BF18&lt;&gt;"N/A"),BD18,"")</f>
        <v/>
      </c>
      <c r="CC18" s="1">
        <f>IF(AND(ISNUMBER(O18),P18&lt;&gt;"Completed",P18&lt;&gt;"N/A"),O18,"")</f>
        <v>46244</v>
      </c>
      <c r="CD18" s="1">
        <f>IF(AND(ISNUMBER(BM18),BN18&lt;&gt;"Completed",BN18&lt;&gt;"N/A"),BM18,"")</f>
        <v>46293</v>
      </c>
      <c r="CE18" s="1">
        <f>IF(AND(ISNUMBER(BK18),BL18&lt;&gt;"Completed",BL18&lt;&gt;"N/A"),BK18,"")</f>
        <v>46297</v>
      </c>
      <c r="CF18" s="1">
        <f>IF(AND(ISNUMBER(BI18),BJ18&lt;&gt;"Completed",BJ18&lt;&gt;"N/A"),BI18,"")</f>
        <v>46300</v>
      </c>
      <c r="CG18" s="1">
        <f ca="1">IF(OR(A18="",D18="Completed"),"",IF(N(G18)&gt;0,1/(N(G18)+ROW()/100000),IF(ISNUMBER(F18),1000+F18+ROW()/100000,TODAY()+400+ROW()/100000)))</f>
        <v>5.882290658098914E-2</v>
      </c>
    </row>
    <row r="19" spans="1:85" ht="15.95" customHeight="1">
      <c r="A19" s="10" t="s">
        <v>121</v>
      </c>
      <c r="B19" s="10" t="s">
        <v>98</v>
      </c>
      <c r="C19" s="10" t="s">
        <v>117</v>
      </c>
      <c r="D19" s="11" t="str">
        <f>IF(A19="","",IF(((S19="Blocked")+(V19="Blocked")+(Y19="Blocked")+(AC19="Blocked")+(AI19="Blocked")+(AL19="Blocked")+(AO19="Blocked")+(AR19="Blocked")+(AW19="Blocked")+(AZ19="Blocked")+(BC19="Blocked")+(BF19="Blocked")+(P19="Blocked")+(BJ19="Blocked")+(BL19="Blocked")+(BN19="Blocked")+(BO19="Blocked"))&gt;0,"Blocked",IF((ISNUMBER(Q19)+ISNUMBER(T19)+ISNUMBER(W19)+ISNUMBER(AA19)+ISNUMBER(AG19)+ISNUMBER(AJ19)+ISNUMBER(AM19)+ISNUMBER(AP19)+ISNUMBER(AU19)+ISNUMBER(AX19)+ISNUMBER(BA19)+ISNUMBER(BD19)+ISNUMBER(O19)+ISNUMBER(BI19)+ISNUMBER(BK19)+ISNUMBER(BM19))=0,"Yet to start",IF(AND(OR(NOT(ISNUMBER(Q19)),S19="Completed",S19="N/A"),OR(NOT(ISNUMBER(T19)),V19="Completed",V19="N/A"),OR(NOT(ISNUMBER(W19)),Y19="Completed",Y19="N/A"),OR(NOT(ISNUMBER(AA19)),AC19="Completed",AC19="N/A"),OR(NOT(ISNUMBER(AG19)),AI19="Completed",AI19="N/A"),OR(NOT(ISNUMBER(AJ19)),AL19="Completed",AL19="N/A"),OR(NOT(ISNUMBER(AM19)),AO19="Completed",AO19="N/A"),OR(NOT(ISNUMBER(AP19)),AR19="Completed",AR19="N/A"),OR(NOT(ISNUMBER(AU19)),AW19="Completed",AW19="N/A"),OR(NOT(ISNUMBER(AX19)),AZ19="Completed",AZ19="N/A"),OR(NOT(ISNUMBER(BA19)),BC19="Completed",BC19="N/A"),OR(NOT(ISNUMBER(BD19)),BF19="Completed",BF19="N/A"),OR(NOT(ISNUMBER(O19)),P19="Completed",P19="N/A"),OR(NOT(ISNUMBER(BI19)),BJ19="Completed",BJ19="N/A"),OR(NOT(ISNUMBER(BK19)),BL19="Completed",BL19="N/A"),OR(NOT(ISNUMBER(BM19)),BN19="Completed",BN19="N/A"),OR(BO19="Completed",BO19="N/A")),"Completed",IF(((S19="In Progress")+(V19="In Progress")+(Y19="In Progress")+(AC19="In Progress")+(AI19="In Progress")+(AL19="In Progress")+(AO19="In Progress")+(AR19="In Progress")+(AW19="In Progress")+(AZ19="In Progress")+(BC19="In Progress")+(BF19="In Progress")+(P19="In Progress")+(BJ19="In Progress")+(BL19="In Progress")+(BN19="In Progress")+(BO19="In Progress"))&gt;0,"In Progress","Yet to start")))))</f>
        <v>In Progress</v>
      </c>
      <c r="E19" s="11" t="str">
        <f>IF(A19="","",IF(F19="","All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Review","CAB"},MATCH(F19,BQ19:CF19,0))))</f>
        <v>Prod OUR</v>
      </c>
      <c r="F19" s="12">
        <f>IF(A19="","",IF(COUNT(BQ19:CF19)=0,"",MIN(BQ19:CF19)))</f>
        <v>46238</v>
      </c>
      <c r="G19" s="13">
        <f ca="1">IF(A19="","",MAX(0,IF(AND(ISNUMBER(Q19),S19&lt;&gt;"Completed",S19&lt;&gt;"N/A",Q19&lt;TODAY()),TODAY()-Q19,0),IF(AND(ISNUMBER(T19),V19&lt;&gt;"Completed",V19&lt;&gt;"N/A",T19&lt;TODAY()),TODAY()-T19,0),IF(AND(ISNUMBER(W19),Y19&lt;&gt;"Completed",Y19&lt;&gt;"N/A",W19&lt;TODAY()),TODAY()-W19,0),IF(AND(ISNUMBER(AA19),AC19&lt;&gt;"Completed",AC19&lt;&gt;"N/A",AA19&lt;TODAY()),TODAY()-AA19,0),IF(AND(ISNUMBER(AG19),AI19&lt;&gt;"Completed",AI19&lt;&gt;"N/A",AG19&lt;TODAY()),TODAY()-AG19,0),IF(AND(ISNUMBER(AJ19),AL19&lt;&gt;"Completed",AL19&lt;&gt;"N/A",AJ19&lt;TODAY()),TODAY()-AJ19,0),IF(AND(ISNUMBER(AM19),AO19&lt;&gt;"Completed",AO19&lt;&gt;"N/A",AM19&lt;TODAY()),TODAY()-AM19,0),IF(AND(ISNUMBER(AP19),AR19&lt;&gt;"Completed",AR19&lt;&gt;"N/A",AP19&lt;TODAY()),TODAY()-AP19,0),IF(AND(ISNUMBER(AU19),AW19&lt;&gt;"Completed",AW19&lt;&gt;"N/A",AU19&lt;TODAY()),TODAY()-AU19,0),IF(AND(ISNUMBER(AX19),AZ19&lt;&gt;"Completed",AZ19&lt;&gt;"N/A",AX19&lt;TODAY()),TODAY()-AX19,0),IF(AND(ISNUMBER(BA19),BC19&lt;&gt;"Completed",BC19&lt;&gt;"N/A",BA19&lt;TODAY()),TODAY()-BA19,0),IF(AND(ISNUMBER(BD19),BF19&lt;&gt;"Completed",BF19&lt;&gt;"N/A",BD19&lt;TODAY()),TODAY()-BD19,0),IF(AND(ISNUMBER(O19),P19&lt;&gt;"Completed",P19&lt;&gt;"N/A",O19&lt;TODAY()),TODAY()-O19,0),IF(AND(ISNUMBER(BM19),BN19&lt;&gt;"Completed",BN19&lt;&gt;"N/A",BM19&lt;TODAY()),TODAY()-BM19,0),IF(AND(ISNUMBER(BK19),BL19&lt;&gt;"Completed",BL19&lt;&gt;"N/A",BK19&lt;TODAY()),TODAY()-BK19,0),IF(AND(ISNUMBER(BI19),BJ19&lt;&gt;"Completed",BJ19&lt;&gt;"N/A",BI19&lt;TODAY()),TODAY()-BI19,0)))</f>
        <v>17</v>
      </c>
      <c r="H19" s="14">
        <v>46246</v>
      </c>
      <c r="I19" s="14">
        <v>46259</v>
      </c>
      <c r="J19" s="15">
        <v>46300</v>
      </c>
      <c r="K19" s="12">
        <f>IF(ISNUMBER(H19),H19,IF(ISNUMBER(M19),M19-WEEKDAY(M19,2)+1-7,""))</f>
        <v>46246</v>
      </c>
      <c r="L19" s="12">
        <f>IF(ISNUMBER(I19),I19,IF(ISNUMBER(H19),WORKDAY(H19,SprintWorkingDays-1),IF(ISNUMBER(K19),WORKDAY(K19,SprintWorkingDays-1),"")))</f>
        <v>46259</v>
      </c>
      <c r="M19" s="12">
        <f>IF(ISNUMBER(J19),J19,IF(ISNUMBER(I19),I19-IF(OR(WEEKDAY(I19,2)=2,WEEKDAY(I19,2)=4),0,IF(WEEKDAY(I19,2)=3,1,IF(WEEKDAY(I19,2)=1,4,WEEKDAY(I19,2)-4))),IF(ISNUMBER(H19),WORKDAY(H19,SprintWorkingDays-1)-IF(OR(WEEKDAY(WORKDAY(H19,SprintWorkingDays-1),2)=2,WEEKDAY(WORKDAY(H19,SprintWorkingDays-1),2)=4),0,IF(WEEKDAY(WORKDAY(H19,SprintWorkingDays-1),2)=3,1,IF(WEEKDAY(WORKDAY(H19,SprintWorkingDays-1),2)=1,4,WEEKDAY(WORKDAY(H19,SprintWorkingDays-1),2)-4))),"")))</f>
        <v>46300</v>
      </c>
      <c r="N19" s="12">
        <f>IF(NOT(ISNUMBER(K19)),"",WORKDAY(K19,ReadyOffsetWD))</f>
        <v>46245</v>
      </c>
      <c r="O19" s="12">
        <f>IF(NOT(ISNUMBER(K19)),"",WORKDAY(K19,SprintReadinessOffsetWD))</f>
        <v>46244</v>
      </c>
      <c r="P19" s="10" t="s">
        <v>30</v>
      </c>
      <c r="Q19" s="12">
        <f>IF(A19="","",IF(V19="N/A",IF(NOT(ISNUMBER(W19)),"",WORKDAY(W19,RTSKOffsetFromOUR_WD)),IF(NOT(ISNUMBER(T19)),"",WORKDAY(T19,RTSKOffsetFromOUR_WD))))</f>
        <v>46234</v>
      </c>
      <c r="R19" s="15">
        <v>46246</v>
      </c>
      <c r="S19" s="10" t="s">
        <v>32</v>
      </c>
      <c r="T19" s="12">
        <f>IF(OR(A19="",V19="N/A"),"",IF(NOT(ISNUMBER(W19)),"",WORKDAY(W19,OUROffsetFromSR_WD)))</f>
        <v>46238</v>
      </c>
      <c r="U19" s="15">
        <v>46234</v>
      </c>
      <c r="V19" s="10" t="s">
        <v>32</v>
      </c>
      <c r="W19" s="12">
        <f>IF(OR(A19="",NOT(ISNUMBER(K19))),"",WORKDAY(K19,SROffsetFromStartWD))</f>
        <v>46239</v>
      </c>
      <c r="X19" s="15">
        <v>46234</v>
      </c>
      <c r="Y19" s="10" t="s">
        <v>32</v>
      </c>
      <c r="Z19" s="10" t="s">
        <v>100</v>
      </c>
      <c r="AA19" s="12" t="str">
        <f>IF(OR(Z19="",Z19="N/A"),"",IF(ISNUMBER(Q19),Q19,""))</f>
        <v/>
      </c>
      <c r="AB19" s="15"/>
      <c r="AC19" s="10"/>
      <c r="AD19" s="10"/>
      <c r="AE19" s="10"/>
      <c r="AF19" s="10" t="str">
        <f>IF(Z19="N/A","N/A","")</f>
        <v>N/A</v>
      </c>
      <c r="AG19" s="12">
        <f>IF(NOT(ISNUMBER(Q19)),"",Q19)</f>
        <v>46234</v>
      </c>
      <c r="AH19" s="12">
        <v>46239</v>
      </c>
      <c r="AI19" s="10" t="s">
        <v>32</v>
      </c>
      <c r="AJ19" s="12">
        <f>IF(OR(AL19="N/A",NOT(ISNUMBER(T19))),"",T19)</f>
        <v>46238</v>
      </c>
      <c r="AK19" s="15">
        <v>46239</v>
      </c>
      <c r="AL19" s="10" t="s">
        <v>32</v>
      </c>
      <c r="AM19" s="12">
        <f>IF(NOT(ISNUMBER(W19)),"",W19)</f>
        <v>46239</v>
      </c>
      <c r="AN19" s="15">
        <v>46239</v>
      </c>
      <c r="AO19" s="10" t="s">
        <v>32</v>
      </c>
      <c r="AP19" s="12" t="str">
        <f>IF(OR(Z19="",Z19="N/A"),"",IF(ISNUMBER(AG19),AG19,""))</f>
        <v/>
      </c>
      <c r="AQ19" s="15"/>
      <c r="AR19" s="10"/>
      <c r="AS19" s="10"/>
      <c r="AT19" s="10"/>
      <c r="AU19" s="12">
        <f>IF(NOT(ISNUMBER(Q19)),"",Q19)</f>
        <v>46234</v>
      </c>
      <c r="AV19" s="15"/>
      <c r="AW19" s="10" t="s">
        <v>32</v>
      </c>
      <c r="AX19" s="12">
        <f>IF(OR(AZ19="N/A",NOT(ISNUMBER(T19))),"",T19)</f>
        <v>46238</v>
      </c>
      <c r="AY19" s="15"/>
      <c r="AZ19" s="10"/>
      <c r="BA19" s="12">
        <f>IF(NOT(ISNUMBER(W19)),"",W19)</f>
        <v>46239</v>
      </c>
      <c r="BB19" s="15"/>
      <c r="BC19" s="10"/>
      <c r="BD19" s="12" t="str">
        <f>IF(OR(Z19="",Z19="N/A"),"",IF(ISNUMBER(AU19),AU19,""))</f>
        <v/>
      </c>
      <c r="BE19" s="15"/>
      <c r="BF19" s="10"/>
      <c r="BG19" s="10"/>
      <c r="BH19" s="10"/>
      <c r="BI19" s="12">
        <v>46300</v>
      </c>
      <c r="BJ19" s="10"/>
      <c r="BK19" s="12">
        <f>IF(NOT(ISNUMBER(BI19)),"",IF(WEEKDAY(BI19-CodeReviewCalendarDays,2)&gt;5,BI19-CodeReviewCalendarDays-(WEEKDAY(BI19-CodeReviewCalendarDays,2)-5),BI19-CodeReviewCalendarDays))</f>
        <v>46297</v>
      </c>
      <c r="BL19" s="10"/>
      <c r="BM19" s="12">
        <f>IF(NOT(ISNUMBER(BK19)),"",IF(WEEKDAY(BK19-CodeReviewInviteCalendarDays,2)&gt;5,BK19-CodeReviewInviteCalendarDays-(WEEKDAY(BK19-CodeReviewInviteCalendarDays,2)-5),BK19-CodeReviewInviteCalendarDays))</f>
        <v>46293</v>
      </c>
      <c r="BN19" s="10"/>
      <c r="BO19" s="10"/>
      <c r="BP19" s="16" t="str">
        <f ca="1">IF(A19="","",IF(IF(AND(ISNUMBER(J19),WEEKDAY(J19,2)&lt;&gt;2,WEEKDAY(J19,2)&lt;&gt;4)," | Release must be Tuesday or Thursday","")&amp;IF(AND(ISNUMBER(H19),WEEKDAY(H19,2)&lt;&gt;1)," | Sprint Start is not a Monday - dates still calculated from the date entered","")&amp;IF(AND(A19&lt;&gt;"",NOT(ISNUMBER(H19)),NOT(ISNUMBER(J19)))," | Enter Sprint Start or Release Date","")&amp;IF(AND(ISNUMBER(F19),F19&lt;TODAY(),D19&lt;&gt;"Completed")," | One or more raise-by dates are in the past and not completed","")&amp;IF(AND(ISNUMBER(K19),K19-TODAY()&lt;SprintWarningDays,K19&gt;=TODAY(),OR(D19="Yet to start",D19="Blocked"))," | Sprint starts in under 10 days - raise access requests now","")&amp;IF(AND(ISNUMBER(BM19),BN19&lt;&gt;"Completed",BN19&lt;&gt;"N/A",BM19-TODAY()&lt;CodeReviewInviteCalendarDays)," | Code Review invite should be sent at least 4 days before Code Review","")="","",MID(IF(AND(ISNUMBER(J19),WEEKDAY(J19,2)&lt;&gt;2,WEEKDAY(J19,2)&lt;&gt;4)," | Release must be Tuesday or Thursday","")&amp;IF(AND(ISNUMBER(H19),WEEKDAY(H19,2)&lt;&gt;1)," | Sprint Start is not a Monday - dates still calculated from the date entered","")&amp;IF(AND(A19&lt;&gt;"",NOT(ISNUMBER(H19)),NOT(ISNUMBER(J19)))," | Enter Sprint Start or Release Date","")&amp;IF(AND(ISNUMBER(F19),F19&lt;TODAY(),D19&lt;&gt;"Completed")," | One or more raise-by dates are in the past and not completed","")&amp;IF(AND(ISNUMBER(K19),K19-TODAY()&lt;SprintWarningDays,K19&gt;=TODAY(),OR(D19="Yet to start",D19="Blocked"))," | Sprint starts in under 10 days - raise access requests now","")&amp;IF(AND(ISNUMBER(BM19),BN19&lt;&gt;"Completed",BN19&lt;&gt;"N/A",BM19-TODAY()&lt;CodeReviewInviteCalendarDays),"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19" s="1" t="str">
        <f>IF(AND(ISNUMBER(Q19),S19&lt;&gt;"Completed",S19&lt;&gt;"N/A"),Q19,"")</f>
        <v/>
      </c>
      <c r="BR19" s="1" t="str">
        <f>IF(AND(ISNUMBER(T19),V19&lt;&gt;"Completed",V19&lt;&gt;"N/A"),T19,"")</f>
        <v/>
      </c>
      <c r="BS19" s="1" t="str">
        <f>IF(AND(ISNUMBER(W19),Y19&lt;&gt;"Completed",Y19&lt;&gt;"N/A"),W19,"")</f>
        <v/>
      </c>
      <c r="BT19" s="1" t="str">
        <f>IF(AND(ISNUMBER(AA19),AC19&lt;&gt;"Completed",AC19&lt;&gt;"N/A"),AA19,"")</f>
        <v/>
      </c>
      <c r="BU19" s="1" t="str">
        <f>IF(AND(ISNUMBER(AG19),AI19&lt;&gt;"Completed",AI19&lt;&gt;"N/A"),AG19,"")</f>
        <v/>
      </c>
      <c r="BV19" s="1" t="str">
        <f>IF(AND(ISNUMBER(AJ19),AL19&lt;&gt;"Completed",AL19&lt;&gt;"N/A"),AJ19,"")</f>
        <v/>
      </c>
      <c r="BW19" s="1" t="str">
        <f>IF(AND(ISNUMBER(AM19),AO19&lt;&gt;"Completed",AO19&lt;&gt;"N/A"),AM19,"")</f>
        <v/>
      </c>
      <c r="BX19" s="1" t="str">
        <f>IF(AND(ISNUMBER(AP19),AR19&lt;&gt;"Completed",AR19&lt;&gt;"N/A"),AP19,"")</f>
        <v/>
      </c>
      <c r="BY19" s="1" t="str">
        <f>IF(AND(ISNUMBER(AU19),AW19&lt;&gt;"Completed",AW19&lt;&gt;"N/A"),AU19,"")</f>
        <v/>
      </c>
      <c r="BZ19" s="1">
        <f>IF(AND(ISNUMBER(AX19),AZ19&lt;&gt;"Completed",AZ19&lt;&gt;"N/A"),AX19,"")</f>
        <v>46238</v>
      </c>
      <c r="CA19" s="1">
        <f>IF(AND(ISNUMBER(BA19),BC19&lt;&gt;"Completed",BC19&lt;&gt;"N/A"),BA19,"")</f>
        <v>46239</v>
      </c>
      <c r="CB19" s="1" t="str">
        <f>IF(AND(ISNUMBER(BD19),BF19&lt;&gt;"Completed",BF19&lt;&gt;"N/A"),BD19,"")</f>
        <v/>
      </c>
      <c r="CC19" s="1">
        <f>IF(AND(ISNUMBER(O19),P19&lt;&gt;"Completed",P19&lt;&gt;"N/A"),O19,"")</f>
        <v>46244</v>
      </c>
      <c r="CD19" s="1">
        <f>IF(AND(ISNUMBER(BM19),BN19&lt;&gt;"Completed",BN19&lt;&gt;"N/A"),BM19,"")</f>
        <v>46293</v>
      </c>
      <c r="CE19" s="1">
        <f>IF(AND(ISNUMBER(BK19),BL19&lt;&gt;"Completed",BL19&lt;&gt;"N/A"),BK19,"")</f>
        <v>46297</v>
      </c>
      <c r="CF19" s="1">
        <f>IF(AND(ISNUMBER(BI19),BJ19&lt;&gt;"Completed",BJ19&lt;&gt;"N/A"),BI19,"")</f>
        <v>46300</v>
      </c>
      <c r="CG19" s="1">
        <f ca="1">IF(OR(A19="",D19="Completed"),"",IF(N(G19)&gt;0,1/(N(G19)+ROW()/100000),IF(ISNUMBER(F19),1000+F19+ROW()/100000,TODAY()+400+ROW()/100000)))</f>
        <v>5.8822871979666111E-2</v>
      </c>
    </row>
    <row r="20" spans="1:85" ht="15.95" customHeight="1">
      <c r="A20" s="10" t="s">
        <v>122</v>
      </c>
      <c r="B20" s="10" t="s">
        <v>98</v>
      </c>
      <c r="C20" s="10" t="s">
        <v>117</v>
      </c>
      <c r="D20" s="11" t="str">
        <f>IF(A20="","",IF(((S20="Blocked")+(V20="Blocked")+(Y20="Blocked")+(AC20="Blocked")+(AI20="Blocked")+(AL20="Blocked")+(AO20="Blocked")+(AR20="Blocked")+(AW20="Blocked")+(AZ20="Blocked")+(BC20="Blocked")+(BF20="Blocked")+(P20="Blocked")+(BJ20="Blocked")+(BL20="Blocked")+(BN20="Blocked")+(BO20="Blocked"))&gt;0,"Blocked",IF((ISNUMBER(Q20)+ISNUMBER(T20)+ISNUMBER(W20)+ISNUMBER(AA20)+ISNUMBER(AG20)+ISNUMBER(AJ20)+ISNUMBER(AM20)+ISNUMBER(AP20)+ISNUMBER(AU20)+ISNUMBER(AX20)+ISNUMBER(BA20)+ISNUMBER(BD20)+ISNUMBER(O20)+ISNUMBER(BI20)+ISNUMBER(BK20)+ISNUMBER(BM20))=0,"Yet to start",IF(AND(OR(NOT(ISNUMBER(Q20)),S20="Completed",S20="N/A"),OR(NOT(ISNUMBER(T20)),V20="Completed",V20="N/A"),OR(NOT(ISNUMBER(W20)),Y20="Completed",Y20="N/A"),OR(NOT(ISNUMBER(AA20)),AC20="Completed",AC20="N/A"),OR(NOT(ISNUMBER(AG20)),AI20="Completed",AI20="N/A"),OR(NOT(ISNUMBER(AJ20)),AL20="Completed",AL20="N/A"),OR(NOT(ISNUMBER(AM20)),AO20="Completed",AO20="N/A"),OR(NOT(ISNUMBER(AP20)),AR20="Completed",AR20="N/A"),OR(NOT(ISNUMBER(AU20)),AW20="Completed",AW20="N/A"),OR(NOT(ISNUMBER(AX20)),AZ20="Completed",AZ20="N/A"),OR(NOT(ISNUMBER(BA20)),BC20="Completed",BC20="N/A"),OR(NOT(ISNUMBER(BD20)),BF20="Completed",BF20="N/A"),OR(NOT(ISNUMBER(O20)),P20="Completed",P20="N/A"),OR(NOT(ISNUMBER(BI20)),BJ20="Completed",BJ20="N/A"),OR(NOT(ISNUMBER(BK20)),BL20="Completed",BL20="N/A"),OR(NOT(ISNUMBER(BM20)),BN20="Completed",BN20="N/A"),OR(BO20="Completed",BO20="N/A")),"Completed",IF(((S20="In Progress")+(V20="In Progress")+(Y20="In Progress")+(AC20="In Progress")+(AI20="In Progress")+(AL20="In Progress")+(AO20="In Progress")+(AR20="In Progress")+(AW20="In Progress")+(AZ20="In Progress")+(BC20="In Progress")+(BF20="In Progress")+(P20="In Progress")+(BJ20="In Progress")+(BL20="In Progress")+(BN20="In Progress")+(BO20="In Progress"))&gt;0,"In Progress","Yet to start")))))</f>
        <v>In Progress</v>
      </c>
      <c r="E20" s="11" t="str">
        <f>IF(A20="","",IF(F20="","All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Review","CAB"},MATCH(F20,BQ20:CF20,0))))</f>
        <v>Prod OUR</v>
      </c>
      <c r="F20" s="12">
        <f>IF(A20="","",IF(COUNT(BQ20:CF20)=0,"",MIN(BQ20:CF20)))</f>
        <v>46238</v>
      </c>
      <c r="G20" s="13">
        <f ca="1">IF(A20="","",MAX(0,IF(AND(ISNUMBER(Q20),S20&lt;&gt;"Completed",S20&lt;&gt;"N/A",Q20&lt;TODAY()),TODAY()-Q20,0),IF(AND(ISNUMBER(T20),V20&lt;&gt;"Completed",V20&lt;&gt;"N/A",T20&lt;TODAY()),TODAY()-T20,0),IF(AND(ISNUMBER(W20),Y20&lt;&gt;"Completed",Y20&lt;&gt;"N/A",W20&lt;TODAY()),TODAY()-W20,0),IF(AND(ISNUMBER(AA20),AC20&lt;&gt;"Completed",AC20&lt;&gt;"N/A",AA20&lt;TODAY()),TODAY()-AA20,0),IF(AND(ISNUMBER(AG20),AI20&lt;&gt;"Completed",AI20&lt;&gt;"N/A",AG20&lt;TODAY()),TODAY()-AG20,0),IF(AND(ISNUMBER(AJ20),AL20&lt;&gt;"Completed",AL20&lt;&gt;"N/A",AJ20&lt;TODAY()),TODAY()-AJ20,0),IF(AND(ISNUMBER(AM20),AO20&lt;&gt;"Completed",AO20&lt;&gt;"N/A",AM20&lt;TODAY()),TODAY()-AM20,0),IF(AND(ISNUMBER(AP20),AR20&lt;&gt;"Completed",AR20&lt;&gt;"N/A",AP20&lt;TODAY()),TODAY()-AP20,0),IF(AND(ISNUMBER(AU20),AW20&lt;&gt;"Completed",AW20&lt;&gt;"N/A",AU20&lt;TODAY()),TODAY()-AU20,0),IF(AND(ISNUMBER(AX20),AZ20&lt;&gt;"Completed",AZ20&lt;&gt;"N/A",AX20&lt;TODAY()),TODAY()-AX20,0),IF(AND(ISNUMBER(BA20),BC20&lt;&gt;"Completed",BC20&lt;&gt;"N/A",BA20&lt;TODAY()),TODAY()-BA20,0),IF(AND(ISNUMBER(BD20),BF20&lt;&gt;"Completed",BF20&lt;&gt;"N/A",BD20&lt;TODAY()),TODAY()-BD20,0),IF(AND(ISNUMBER(O20),P20&lt;&gt;"Completed",P20&lt;&gt;"N/A",O20&lt;TODAY()),TODAY()-O20,0),IF(AND(ISNUMBER(BM20),BN20&lt;&gt;"Completed",BN20&lt;&gt;"N/A",BM20&lt;TODAY()),TODAY()-BM20,0),IF(AND(ISNUMBER(BK20),BL20&lt;&gt;"Completed",BL20&lt;&gt;"N/A",BK20&lt;TODAY()),TODAY()-BK20,0),IF(AND(ISNUMBER(BI20),BJ20&lt;&gt;"Completed",BJ20&lt;&gt;"N/A",BI20&lt;TODAY()),TODAY()-BI20,0)))</f>
        <v>17</v>
      </c>
      <c r="H20" s="14">
        <v>46246</v>
      </c>
      <c r="I20" s="14">
        <v>46259</v>
      </c>
      <c r="J20" s="15">
        <v>46300</v>
      </c>
      <c r="K20" s="12">
        <f>IF(ISNUMBER(H20),H20,IF(ISNUMBER(M20),M20-WEEKDAY(M20,2)+1-7,""))</f>
        <v>46246</v>
      </c>
      <c r="L20" s="12">
        <f>IF(ISNUMBER(I20),I20,IF(ISNUMBER(H20),WORKDAY(H20,SprintWorkingDays-1),IF(ISNUMBER(K20),WORKDAY(K20,SprintWorkingDays-1),"")))</f>
        <v>46259</v>
      </c>
      <c r="M20" s="12">
        <f>IF(ISNUMBER(J20),J20,IF(ISNUMBER(I20),I20-IF(OR(WEEKDAY(I20,2)=2,WEEKDAY(I20,2)=4),0,IF(WEEKDAY(I20,2)=3,1,IF(WEEKDAY(I20,2)=1,4,WEEKDAY(I20,2)-4))),IF(ISNUMBER(H20),WORKDAY(H20,SprintWorkingDays-1)-IF(OR(WEEKDAY(WORKDAY(H20,SprintWorkingDays-1),2)=2,WEEKDAY(WORKDAY(H20,SprintWorkingDays-1),2)=4),0,IF(WEEKDAY(WORKDAY(H20,SprintWorkingDays-1),2)=3,1,IF(WEEKDAY(WORKDAY(H20,SprintWorkingDays-1),2)=1,4,WEEKDAY(WORKDAY(H20,SprintWorkingDays-1),2)-4))),"")))</f>
        <v>46300</v>
      </c>
      <c r="N20" s="12">
        <f>IF(NOT(ISNUMBER(K20)),"",WORKDAY(K20,ReadyOffsetWD))</f>
        <v>46245</v>
      </c>
      <c r="O20" s="12">
        <f>IF(NOT(ISNUMBER(K20)),"",WORKDAY(K20,SprintReadinessOffsetWD))</f>
        <v>46244</v>
      </c>
      <c r="P20" s="10" t="s">
        <v>30</v>
      </c>
      <c r="Q20" s="12">
        <f>IF(A20="","",IF(V20="N/A",IF(NOT(ISNUMBER(W20)),"",WORKDAY(W20,RTSKOffsetFromOUR_WD)),IF(NOT(ISNUMBER(T20)),"",WORKDAY(T20,RTSKOffsetFromOUR_WD))))</f>
        <v>46234</v>
      </c>
      <c r="R20" s="15">
        <v>46246</v>
      </c>
      <c r="S20" s="10" t="s">
        <v>32</v>
      </c>
      <c r="T20" s="12">
        <f>IF(OR(A20="",V20="N/A"),"",IF(NOT(ISNUMBER(W20)),"",WORKDAY(W20,OUROffsetFromSR_WD)))</f>
        <v>46238</v>
      </c>
      <c r="U20" s="15">
        <v>46234</v>
      </c>
      <c r="V20" s="10" t="s">
        <v>32</v>
      </c>
      <c r="W20" s="12">
        <f>IF(OR(A20="",NOT(ISNUMBER(K20))),"",WORKDAY(K20,SROffsetFromStartWD))</f>
        <v>46239</v>
      </c>
      <c r="X20" s="15">
        <v>46234</v>
      </c>
      <c r="Y20" s="10" t="s">
        <v>32</v>
      </c>
      <c r="Z20" s="10" t="s">
        <v>100</v>
      </c>
      <c r="AA20" s="12" t="str">
        <f>IF(OR(Z20="",Z20="N/A"),"",IF(ISNUMBER(Q20),Q20,""))</f>
        <v/>
      </c>
      <c r="AB20" s="15"/>
      <c r="AC20" s="10"/>
      <c r="AD20" s="10"/>
      <c r="AE20" s="10"/>
      <c r="AF20" s="10" t="str">
        <f>IF(Z20="N/A","N/A","")</f>
        <v>N/A</v>
      </c>
      <c r="AG20" s="12">
        <f>IF(NOT(ISNUMBER(Q20)),"",Q20)</f>
        <v>46234</v>
      </c>
      <c r="AH20" s="12">
        <v>46239</v>
      </c>
      <c r="AI20" s="10" t="s">
        <v>32</v>
      </c>
      <c r="AJ20" s="12">
        <f>IF(OR(AL20="N/A",NOT(ISNUMBER(T20))),"",T20)</f>
        <v>46238</v>
      </c>
      <c r="AK20" s="15">
        <v>46239</v>
      </c>
      <c r="AL20" s="10" t="s">
        <v>32</v>
      </c>
      <c r="AM20" s="12">
        <f>IF(NOT(ISNUMBER(W20)),"",W20)</f>
        <v>46239</v>
      </c>
      <c r="AN20" s="15">
        <v>46239</v>
      </c>
      <c r="AO20" s="10" t="s">
        <v>32</v>
      </c>
      <c r="AP20" s="12" t="str">
        <f>IF(OR(Z20="",Z20="N/A"),"",IF(ISNUMBER(AG20),AG20,""))</f>
        <v/>
      </c>
      <c r="AQ20" s="15"/>
      <c r="AR20" s="10"/>
      <c r="AS20" s="10"/>
      <c r="AT20" s="10"/>
      <c r="AU20" s="12">
        <f>IF(NOT(ISNUMBER(Q20)),"",Q20)</f>
        <v>46234</v>
      </c>
      <c r="AV20" s="15"/>
      <c r="AW20" s="10" t="s">
        <v>32</v>
      </c>
      <c r="AX20" s="12">
        <f>IF(OR(AZ20="N/A",NOT(ISNUMBER(T20))),"",T20)</f>
        <v>46238</v>
      </c>
      <c r="AY20" s="15"/>
      <c r="AZ20" s="10"/>
      <c r="BA20" s="12">
        <f>IF(NOT(ISNUMBER(W20)),"",W20)</f>
        <v>46239</v>
      </c>
      <c r="BB20" s="15"/>
      <c r="BC20" s="10"/>
      <c r="BD20" s="12" t="str">
        <f>IF(OR(Z20="",Z20="N/A"),"",IF(ISNUMBER(AU20),AU20,""))</f>
        <v/>
      </c>
      <c r="BE20" s="15"/>
      <c r="BF20" s="10"/>
      <c r="BG20" s="10"/>
      <c r="BH20" s="10"/>
      <c r="BI20" s="12">
        <v>46300</v>
      </c>
      <c r="BJ20" s="10"/>
      <c r="BK20" s="12">
        <f>IF(NOT(ISNUMBER(BI20)),"",IF(WEEKDAY(BI20-CodeReviewCalendarDays,2)&gt;5,BI20-CodeReviewCalendarDays-(WEEKDAY(BI20-CodeReviewCalendarDays,2)-5),BI20-CodeReviewCalendarDays))</f>
        <v>46297</v>
      </c>
      <c r="BL20" s="10"/>
      <c r="BM20" s="12">
        <f>IF(NOT(ISNUMBER(BK20)),"",IF(WEEKDAY(BK20-CodeReviewInviteCalendarDays,2)&gt;5,BK20-CodeReviewInviteCalendarDays-(WEEKDAY(BK20-CodeReviewInviteCalendarDays,2)-5),BK20-CodeReviewInviteCalendarDays))</f>
        <v>46293</v>
      </c>
      <c r="BN20" s="10"/>
      <c r="BO20" s="10"/>
      <c r="BP20" s="16" t="str">
        <f ca="1">IF(A20="","",IF(IF(AND(ISNUMBER(J20),WEEKDAY(J20,2)&lt;&gt;2,WEEKDAY(J20,2)&lt;&gt;4)," | Release must be Tuesday or Thursday","")&amp;IF(AND(ISNUMBER(H20),WEEKDAY(H20,2)&lt;&gt;1)," | Sprint Start is not a Monday - dates still calculated from the date entered","")&amp;IF(AND(A20&lt;&gt;"",NOT(ISNUMBER(H20)),NOT(ISNUMBER(J20)))," | Enter Sprint Start or Release Date","")&amp;IF(AND(ISNUMBER(F20),F20&lt;TODAY(),D20&lt;&gt;"Completed")," | One or more raise-by dates are in the past and not completed","")&amp;IF(AND(ISNUMBER(K20),K20-TODAY()&lt;SprintWarningDays,K20&gt;=TODAY(),OR(D20="Yet to start",D20="Blocked"))," | Sprint starts in under 10 days - raise access requests now","")&amp;IF(AND(ISNUMBER(BM20),BN20&lt;&gt;"Completed",BN20&lt;&gt;"N/A",BM20-TODAY()&lt;CodeReviewInviteCalendarDays)," | Code Review invite should be sent at least 4 days before Code Review","")="","",MID(IF(AND(ISNUMBER(J20),WEEKDAY(J20,2)&lt;&gt;2,WEEKDAY(J20,2)&lt;&gt;4)," | Release must be Tuesday or Thursday","")&amp;IF(AND(ISNUMBER(H20),WEEKDAY(H20,2)&lt;&gt;1)," | Sprint Start is not a Monday - dates still calculated from the date entered","")&amp;IF(AND(A20&lt;&gt;"",NOT(ISNUMBER(H20)),NOT(ISNUMBER(J20)))," | Enter Sprint Start or Release Date","")&amp;IF(AND(ISNUMBER(F20),F20&lt;TODAY(),D20&lt;&gt;"Completed")," | One or more raise-by dates are in the past and not completed","")&amp;IF(AND(ISNUMBER(K20),K20-TODAY()&lt;SprintWarningDays,K20&gt;=TODAY(),OR(D20="Yet to start",D20="Blocked"))," | Sprint starts in under 10 days - raise access requests now","")&amp;IF(AND(ISNUMBER(BM20),BN20&lt;&gt;"Completed",BN20&lt;&gt;"N/A",BM20-TODAY()&lt;CodeReviewInviteCalendarDays),"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20" s="1" t="str">
        <f>IF(AND(ISNUMBER(Q20),S20&lt;&gt;"Completed",S20&lt;&gt;"N/A"),Q20,"")</f>
        <v/>
      </c>
      <c r="BR20" s="1" t="str">
        <f>IF(AND(ISNUMBER(T20),V20&lt;&gt;"Completed",V20&lt;&gt;"N/A"),T20,"")</f>
        <v/>
      </c>
      <c r="BS20" s="1" t="str">
        <f>IF(AND(ISNUMBER(W20),Y20&lt;&gt;"Completed",Y20&lt;&gt;"N/A"),W20,"")</f>
        <v/>
      </c>
      <c r="BT20" s="1" t="str">
        <f>IF(AND(ISNUMBER(AA20),AC20&lt;&gt;"Completed",AC20&lt;&gt;"N/A"),AA20,"")</f>
        <v/>
      </c>
      <c r="BU20" s="1" t="str">
        <f>IF(AND(ISNUMBER(AG20),AI20&lt;&gt;"Completed",AI20&lt;&gt;"N/A"),AG20,"")</f>
        <v/>
      </c>
      <c r="BV20" s="1" t="str">
        <f>IF(AND(ISNUMBER(AJ20),AL20&lt;&gt;"Completed",AL20&lt;&gt;"N/A"),AJ20,"")</f>
        <v/>
      </c>
      <c r="BW20" s="1" t="str">
        <f>IF(AND(ISNUMBER(AM20),AO20&lt;&gt;"Completed",AO20&lt;&gt;"N/A"),AM20,"")</f>
        <v/>
      </c>
      <c r="BX20" s="1" t="str">
        <f>IF(AND(ISNUMBER(AP20),AR20&lt;&gt;"Completed",AR20&lt;&gt;"N/A"),AP20,"")</f>
        <v/>
      </c>
      <c r="BY20" s="1" t="str">
        <f>IF(AND(ISNUMBER(AU20),AW20&lt;&gt;"Completed",AW20&lt;&gt;"N/A"),AU20,"")</f>
        <v/>
      </c>
      <c r="BZ20" s="1">
        <f>IF(AND(ISNUMBER(AX20),AZ20&lt;&gt;"Completed",AZ20&lt;&gt;"N/A"),AX20,"")</f>
        <v>46238</v>
      </c>
      <c r="CA20" s="1">
        <f>IF(AND(ISNUMBER(BA20),BC20&lt;&gt;"Completed",BC20&lt;&gt;"N/A"),BA20,"")</f>
        <v>46239</v>
      </c>
      <c r="CB20" s="1" t="str">
        <f>IF(AND(ISNUMBER(BD20),BF20&lt;&gt;"Completed",BF20&lt;&gt;"N/A"),BD20,"")</f>
        <v/>
      </c>
      <c r="CC20" s="1">
        <f>IF(AND(ISNUMBER(O20),P20&lt;&gt;"Completed",P20&lt;&gt;"N/A"),O20,"")</f>
        <v>46244</v>
      </c>
      <c r="CD20" s="1">
        <f>IF(AND(ISNUMBER(BM20),BN20&lt;&gt;"Completed",BN20&lt;&gt;"N/A"),BM20,"")</f>
        <v>46293</v>
      </c>
      <c r="CE20" s="1">
        <f>IF(AND(ISNUMBER(BK20),BL20&lt;&gt;"Completed",BL20&lt;&gt;"N/A"),BK20,"")</f>
        <v>46297</v>
      </c>
      <c r="CF20" s="1">
        <f>IF(AND(ISNUMBER(BI20),BJ20&lt;&gt;"Completed",BJ20&lt;&gt;"N/A"),BI20,"")</f>
        <v>46300</v>
      </c>
      <c r="CG20" s="1">
        <f ca="1">IF(OR(A20="",D20="Completed"),"",IF(N(G20)&gt;0,1/(N(G20)+ROW()/100000),IF(ISNUMBER(F20),1000+F20+ROW()/100000,TODAY()+400+ROW()/100000)))</f>
        <v>5.8822837378383785E-2</v>
      </c>
    </row>
    <row r="21" spans="1:85" ht="15.95" customHeight="1">
      <c r="A21" s="10" t="s">
        <v>123</v>
      </c>
      <c r="B21" s="10" t="s">
        <v>98</v>
      </c>
      <c r="C21" s="10" t="s">
        <v>117</v>
      </c>
      <c r="D21" s="11" t="str">
        <f>IF(A21="","",IF(((S21="Blocked")+(V21="Blocked")+(Y21="Blocked")+(AC21="Blocked")+(AI21="Blocked")+(AL21="Blocked")+(AO21="Blocked")+(AR21="Blocked")+(AW21="Blocked")+(AZ21="Blocked")+(BC21="Blocked")+(BF21="Blocked")+(P21="Blocked")+(BJ21="Blocked")+(BL21="Blocked")+(BN21="Blocked")+(BO21="Blocked"))&gt;0,"Blocked",IF((ISNUMBER(Q21)+ISNUMBER(T21)+ISNUMBER(W21)+ISNUMBER(AA21)+ISNUMBER(AG21)+ISNUMBER(AJ21)+ISNUMBER(AM21)+ISNUMBER(AP21)+ISNUMBER(AU21)+ISNUMBER(AX21)+ISNUMBER(BA21)+ISNUMBER(BD21)+ISNUMBER(O21)+ISNUMBER(BI21)+ISNUMBER(BK21)+ISNUMBER(BM21))=0,"Yet to start",IF(AND(OR(NOT(ISNUMBER(Q21)),S21="Completed",S21="N/A"),OR(NOT(ISNUMBER(T21)),V21="Completed",V21="N/A"),OR(NOT(ISNUMBER(W21)),Y21="Completed",Y21="N/A"),OR(NOT(ISNUMBER(AA21)),AC21="Completed",AC21="N/A"),OR(NOT(ISNUMBER(AG21)),AI21="Completed",AI21="N/A"),OR(NOT(ISNUMBER(AJ21)),AL21="Completed",AL21="N/A"),OR(NOT(ISNUMBER(AM21)),AO21="Completed",AO21="N/A"),OR(NOT(ISNUMBER(AP21)),AR21="Completed",AR21="N/A"),OR(NOT(ISNUMBER(AU21)),AW21="Completed",AW21="N/A"),OR(NOT(ISNUMBER(AX21)),AZ21="Completed",AZ21="N/A"),OR(NOT(ISNUMBER(BA21)),BC21="Completed",BC21="N/A"),OR(NOT(ISNUMBER(BD21)),BF21="Completed",BF21="N/A"),OR(NOT(ISNUMBER(O21)),P21="Completed",P21="N/A"),OR(NOT(ISNUMBER(BI21)),BJ21="Completed",BJ21="N/A"),OR(NOT(ISNUMBER(BK21)),BL21="Completed",BL21="N/A"),OR(NOT(ISNUMBER(BM21)),BN21="Completed",BN21="N/A"),OR(BO21="Completed",BO21="N/A")),"Completed",IF(((S21="In Progress")+(V21="In Progress")+(Y21="In Progress")+(AC21="In Progress")+(AI21="In Progress")+(AL21="In Progress")+(AO21="In Progress")+(AR21="In Progress")+(AW21="In Progress")+(AZ21="In Progress")+(BC21="In Progress")+(BF21="In Progress")+(P21="In Progress")+(BJ21="In Progress")+(BL21="In Progress")+(BN21="In Progress")+(BO21="In Progress"))&gt;0,"In Progress","Yet to start")))))</f>
        <v>In Progress</v>
      </c>
      <c r="E21" s="11" t="str">
        <f>IF(A21="","",IF(F21="","All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Review","CAB"},MATCH(F21,BQ21:CF21,0))))</f>
        <v>Dev File R-Task</v>
      </c>
      <c r="F21" s="12">
        <f>IF(A21="","",IF(COUNT(BQ21:CF21)=0,"",MIN(BQ21:CF21)))</f>
        <v>46234</v>
      </c>
      <c r="G21" s="13">
        <f ca="1">IF(A21="","",MAX(0,IF(AND(ISNUMBER(Q21),S21&lt;&gt;"Completed",S21&lt;&gt;"N/A",Q21&lt;TODAY()),TODAY()-Q21,0),IF(AND(ISNUMBER(T21),V21&lt;&gt;"Completed",V21&lt;&gt;"N/A",T21&lt;TODAY()),TODAY()-T21,0),IF(AND(ISNUMBER(W21),Y21&lt;&gt;"Completed",Y21&lt;&gt;"N/A",W21&lt;TODAY()),TODAY()-W21,0),IF(AND(ISNUMBER(AA21),AC21&lt;&gt;"Completed",AC21&lt;&gt;"N/A",AA21&lt;TODAY()),TODAY()-AA21,0),IF(AND(ISNUMBER(AG21),AI21&lt;&gt;"Completed",AI21&lt;&gt;"N/A",AG21&lt;TODAY()),TODAY()-AG21,0),IF(AND(ISNUMBER(AJ21),AL21&lt;&gt;"Completed",AL21&lt;&gt;"N/A",AJ21&lt;TODAY()),TODAY()-AJ21,0),IF(AND(ISNUMBER(AM21),AO21&lt;&gt;"Completed",AO21&lt;&gt;"N/A",AM21&lt;TODAY()),TODAY()-AM21,0),IF(AND(ISNUMBER(AP21),AR21&lt;&gt;"Completed",AR21&lt;&gt;"N/A",AP21&lt;TODAY()),TODAY()-AP21,0),IF(AND(ISNUMBER(AU21),AW21&lt;&gt;"Completed",AW21&lt;&gt;"N/A",AU21&lt;TODAY()),TODAY()-AU21,0),IF(AND(ISNUMBER(AX21),AZ21&lt;&gt;"Completed",AZ21&lt;&gt;"N/A",AX21&lt;TODAY()),TODAY()-AX21,0),IF(AND(ISNUMBER(BA21),BC21&lt;&gt;"Completed",BC21&lt;&gt;"N/A",BA21&lt;TODAY()),TODAY()-BA21,0),IF(AND(ISNUMBER(BD21),BF21&lt;&gt;"Completed",BF21&lt;&gt;"N/A",BD21&lt;TODAY()),TODAY()-BD21,0),IF(AND(ISNUMBER(O21),P21&lt;&gt;"Completed",P21&lt;&gt;"N/A",O21&lt;TODAY()),TODAY()-O21,0),IF(AND(ISNUMBER(BM21),BN21&lt;&gt;"Completed",BN21&lt;&gt;"N/A",BM21&lt;TODAY()),TODAY()-BM21,0),IF(AND(ISNUMBER(BK21),BL21&lt;&gt;"Completed",BL21&lt;&gt;"N/A",BK21&lt;TODAY()),TODAY()-BK21,0),IF(AND(ISNUMBER(BI21),BJ21&lt;&gt;"Completed",BJ21&lt;&gt;"N/A",BI21&lt;TODAY()),TODAY()-BI21,0)))</f>
        <v>21</v>
      </c>
      <c r="H21" s="14">
        <v>46246</v>
      </c>
      <c r="I21" s="14">
        <v>46259</v>
      </c>
      <c r="J21" s="15">
        <v>46300</v>
      </c>
      <c r="K21" s="12">
        <f>IF(ISNUMBER(H21),H21,IF(ISNUMBER(M21),M21-WEEKDAY(M21,2)+1-7,""))</f>
        <v>46246</v>
      </c>
      <c r="L21" s="12">
        <f>IF(ISNUMBER(I21),I21,IF(ISNUMBER(H21),WORKDAY(H21,SprintWorkingDays-1),IF(ISNUMBER(K21),WORKDAY(K21,SprintWorkingDays-1),"")))</f>
        <v>46259</v>
      </c>
      <c r="M21" s="12">
        <f>IF(ISNUMBER(J21),J21,IF(ISNUMBER(I21),I21-IF(OR(WEEKDAY(I21,2)=2,WEEKDAY(I21,2)=4),0,IF(WEEKDAY(I21,2)=3,1,IF(WEEKDAY(I21,2)=1,4,WEEKDAY(I21,2)-4))),IF(ISNUMBER(H21),WORKDAY(H21,SprintWorkingDays-1)-IF(OR(WEEKDAY(WORKDAY(H21,SprintWorkingDays-1),2)=2,WEEKDAY(WORKDAY(H21,SprintWorkingDays-1),2)=4),0,IF(WEEKDAY(WORKDAY(H21,SprintWorkingDays-1),2)=3,1,IF(WEEKDAY(WORKDAY(H21,SprintWorkingDays-1),2)=1,4,WEEKDAY(WORKDAY(H21,SprintWorkingDays-1),2)-4))),"")))</f>
        <v>46300</v>
      </c>
      <c r="N21" s="12">
        <f>IF(NOT(ISNUMBER(K21)),"",WORKDAY(K21,ReadyOffsetWD))</f>
        <v>46245</v>
      </c>
      <c r="O21" s="12">
        <f>IF(NOT(ISNUMBER(K21)),"",WORKDAY(K21,SprintReadinessOffsetWD))</f>
        <v>46244</v>
      </c>
      <c r="P21" s="10" t="s">
        <v>30</v>
      </c>
      <c r="Q21" s="12">
        <f>IF(A21="","",IF(V21="N/A",IF(NOT(ISNUMBER(W21)),"",WORKDAY(W21,RTSKOffsetFromOUR_WD)),IF(NOT(ISNUMBER(T21)),"",WORKDAY(T21,RTSKOffsetFromOUR_WD))))</f>
        <v>46234</v>
      </c>
      <c r="R21" s="15">
        <v>46246</v>
      </c>
      <c r="S21" s="10" t="s">
        <v>32</v>
      </c>
      <c r="T21" s="12">
        <f>IF(OR(A21="",V21="N/A"),"",IF(NOT(ISNUMBER(W21)),"",WORKDAY(W21,OUROffsetFromSR_WD)))</f>
        <v>46238</v>
      </c>
      <c r="U21" s="15">
        <v>46234</v>
      </c>
      <c r="V21" s="10" t="s">
        <v>32</v>
      </c>
      <c r="W21" s="12">
        <f>IF(OR(A21="",NOT(ISNUMBER(K21))),"",WORKDAY(K21,SROffsetFromStartWD))</f>
        <v>46239</v>
      </c>
      <c r="X21" s="15">
        <v>46234</v>
      </c>
      <c r="Y21" s="10" t="s">
        <v>30</v>
      </c>
      <c r="Z21" s="10" t="s">
        <v>114</v>
      </c>
      <c r="AA21" s="12">
        <f>IF(OR(Z21="",Z21="N/A"),"",IF(ISNUMBER(Q21),Q21,""))</f>
        <v>46234</v>
      </c>
      <c r="AB21" s="15"/>
      <c r="AC21" s="10"/>
      <c r="AD21" s="10"/>
      <c r="AE21" s="10"/>
      <c r="AF21" s="10"/>
      <c r="AG21" s="12">
        <f>IF(NOT(ISNUMBER(Q21)),"",Q21)</f>
        <v>46234</v>
      </c>
      <c r="AH21" s="12">
        <v>46239</v>
      </c>
      <c r="AI21" s="10" t="s">
        <v>32</v>
      </c>
      <c r="AJ21" s="12">
        <f>IF(OR(AL21="N/A",NOT(ISNUMBER(T21))),"",T21)</f>
        <v>46238</v>
      </c>
      <c r="AK21" s="15">
        <v>46239</v>
      </c>
      <c r="AL21" s="10" t="s">
        <v>32</v>
      </c>
      <c r="AM21" s="12">
        <f>IF(NOT(ISNUMBER(W21)),"",W21)</f>
        <v>46239</v>
      </c>
      <c r="AN21" s="15">
        <v>46239</v>
      </c>
      <c r="AO21" s="10" t="s">
        <v>32</v>
      </c>
      <c r="AP21" s="12">
        <f>IF(OR(Z21="",Z21="N/A"),"",IF(ISNUMBER(AG21),AG21,""))</f>
        <v>46234</v>
      </c>
      <c r="AQ21" s="15"/>
      <c r="AR21" s="10"/>
      <c r="AS21" s="10"/>
      <c r="AT21" s="10"/>
      <c r="AU21" s="12">
        <f>IF(NOT(ISNUMBER(Q21)),"",Q21)</f>
        <v>46234</v>
      </c>
      <c r="AV21" s="15"/>
      <c r="AW21" s="10" t="s">
        <v>32</v>
      </c>
      <c r="AX21" s="12">
        <f>IF(OR(AZ21="N/A",NOT(ISNUMBER(T21))),"",T21)</f>
        <v>46238</v>
      </c>
      <c r="AY21" s="15"/>
      <c r="AZ21" s="10"/>
      <c r="BA21" s="12">
        <f>IF(NOT(ISNUMBER(W21)),"",W21)</f>
        <v>46239</v>
      </c>
      <c r="BB21" s="15"/>
      <c r="BC21" s="10"/>
      <c r="BD21" s="12">
        <f>IF(OR(Z21="",Z21="N/A"),"",IF(ISNUMBER(AU21),AU21,""))</f>
        <v>46234</v>
      </c>
      <c r="BE21" s="15"/>
      <c r="BF21" s="10"/>
      <c r="BG21" s="10"/>
      <c r="BH21" s="10"/>
      <c r="BI21" s="12">
        <v>46300</v>
      </c>
      <c r="BJ21" s="10"/>
      <c r="BK21" s="12">
        <f>IF(NOT(ISNUMBER(BI21)),"",IF(WEEKDAY(BI21-CodeReviewCalendarDays,2)&gt;5,BI21-CodeReviewCalendarDays-(WEEKDAY(BI21-CodeReviewCalendarDays,2)-5),BI21-CodeReviewCalendarDays))</f>
        <v>46297</v>
      </c>
      <c r="BL21" s="10"/>
      <c r="BM21" s="12">
        <f>IF(NOT(ISNUMBER(BK21)),"",IF(WEEKDAY(BK21-CodeReviewInviteCalendarDays,2)&gt;5,BK21-CodeReviewInviteCalendarDays-(WEEKDAY(BK21-CodeReviewInviteCalendarDays,2)-5),BK21-CodeReviewInviteCalendarDays))</f>
        <v>46293</v>
      </c>
      <c r="BN21" s="10"/>
      <c r="BO21" s="10"/>
      <c r="BP21" s="16" t="str">
        <f ca="1">IF(A21="","",IF(IF(AND(ISNUMBER(J21),WEEKDAY(J21,2)&lt;&gt;2,WEEKDAY(J21,2)&lt;&gt;4)," | Release must be Tuesday or Thursday","")&amp;IF(AND(ISNUMBER(H21),WEEKDAY(H21,2)&lt;&gt;1)," | Sprint Start is not a Monday - dates still calculated from the date entered","")&amp;IF(AND(A21&lt;&gt;"",NOT(ISNUMBER(H21)),NOT(ISNUMBER(J21)))," | Enter Sprint Start or Release Date","")&amp;IF(AND(ISNUMBER(F21),F21&lt;TODAY(),D21&lt;&gt;"Completed")," | One or more raise-by dates are in the past and not completed","")&amp;IF(AND(ISNUMBER(K21),K21-TODAY()&lt;SprintWarningDays,K21&gt;=TODAY(),OR(D21="Yet to start",D21="Blocked"))," | Sprint starts in under 10 days - raise access requests now","")&amp;IF(AND(ISNUMBER(BM21),BN21&lt;&gt;"Completed",BN21&lt;&gt;"N/A",BM21-TODAY()&lt;CodeReviewInviteCalendarDays)," | Code Review invite should be sent at least 4 days before Code Review","")="","",MID(IF(AND(ISNUMBER(J21),WEEKDAY(J21,2)&lt;&gt;2,WEEKDAY(J21,2)&lt;&gt;4)," | Release must be Tuesday or Thursday","")&amp;IF(AND(ISNUMBER(H21),WEEKDAY(H21,2)&lt;&gt;1)," | Sprint Start is not a Monday - dates still calculated from the date entered","")&amp;IF(AND(A21&lt;&gt;"",NOT(ISNUMBER(H21)),NOT(ISNUMBER(J21)))," | Enter Sprint Start or Release Date","")&amp;IF(AND(ISNUMBER(F21),F21&lt;TODAY(),D21&lt;&gt;"Completed")," | One or more raise-by dates are in the past and not completed","")&amp;IF(AND(ISNUMBER(K21),K21-TODAY()&lt;SprintWarningDays,K21&gt;=TODAY(),OR(D21="Yet to start",D21="Blocked"))," | Sprint starts in under 10 days - raise access requests now","")&amp;IF(AND(ISNUMBER(BM21),BN21&lt;&gt;"Completed",BN21&lt;&gt;"N/A",BM21-TODAY()&lt;CodeReviewInviteCalendarDays),"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21" s="1" t="str">
        <f>IF(AND(ISNUMBER(Q21),S21&lt;&gt;"Completed",S21&lt;&gt;"N/A"),Q21,"")</f>
        <v/>
      </c>
      <c r="BR21" s="1" t="str">
        <f>IF(AND(ISNUMBER(T21),V21&lt;&gt;"Completed",V21&lt;&gt;"N/A"),T21,"")</f>
        <v/>
      </c>
      <c r="BS21" s="1">
        <f>IF(AND(ISNUMBER(W21),Y21&lt;&gt;"Completed",Y21&lt;&gt;"N/A"),W21,"")</f>
        <v>46239</v>
      </c>
      <c r="BT21" s="1">
        <f>IF(AND(ISNUMBER(AA21),AC21&lt;&gt;"Completed",AC21&lt;&gt;"N/A"),AA21,"")</f>
        <v>46234</v>
      </c>
      <c r="BU21" s="1" t="str">
        <f>IF(AND(ISNUMBER(AG21),AI21&lt;&gt;"Completed",AI21&lt;&gt;"N/A"),AG21,"")</f>
        <v/>
      </c>
      <c r="BV21" s="1" t="str">
        <f>IF(AND(ISNUMBER(AJ21),AL21&lt;&gt;"Completed",AL21&lt;&gt;"N/A"),AJ21,"")</f>
        <v/>
      </c>
      <c r="BW21" s="1" t="str">
        <f>IF(AND(ISNUMBER(AM21),AO21&lt;&gt;"Completed",AO21&lt;&gt;"N/A"),AM21,"")</f>
        <v/>
      </c>
      <c r="BX21" s="1">
        <f>IF(AND(ISNUMBER(AP21),AR21&lt;&gt;"Completed",AR21&lt;&gt;"N/A"),AP21,"")</f>
        <v>46234</v>
      </c>
      <c r="BY21" s="1" t="str">
        <f>IF(AND(ISNUMBER(AU21),AW21&lt;&gt;"Completed",AW21&lt;&gt;"N/A"),AU21,"")</f>
        <v/>
      </c>
      <c r="BZ21" s="1">
        <f>IF(AND(ISNUMBER(AX21),AZ21&lt;&gt;"Completed",AZ21&lt;&gt;"N/A"),AX21,"")</f>
        <v>46238</v>
      </c>
      <c r="CA21" s="1">
        <f>IF(AND(ISNUMBER(BA21),BC21&lt;&gt;"Completed",BC21&lt;&gt;"N/A"),BA21,"")</f>
        <v>46239</v>
      </c>
      <c r="CB21" s="1">
        <f>IF(AND(ISNUMBER(BD21),BF21&lt;&gt;"Completed",BF21&lt;&gt;"N/A"),BD21,"")</f>
        <v>46234</v>
      </c>
      <c r="CC21" s="1">
        <f>IF(AND(ISNUMBER(O21),P21&lt;&gt;"Completed",P21&lt;&gt;"N/A"),O21,"")</f>
        <v>46244</v>
      </c>
      <c r="CD21" s="1">
        <f>IF(AND(ISNUMBER(BM21),BN21&lt;&gt;"Completed",BN21&lt;&gt;"N/A"),BM21,"")</f>
        <v>46293</v>
      </c>
      <c r="CE21" s="1">
        <f>IF(AND(ISNUMBER(BK21),BL21&lt;&gt;"Completed",BL21&lt;&gt;"N/A"),BK21,"")</f>
        <v>46297</v>
      </c>
      <c r="CF21" s="1">
        <f>IF(AND(ISNUMBER(BI21),BJ21&lt;&gt;"Completed",BJ21&lt;&gt;"N/A"),BI21,"")</f>
        <v>46300</v>
      </c>
      <c r="CG21" s="1">
        <f ca="1">IF(OR(A21="",D21="Completed"),"",IF(N(G21)&gt;0,1/(N(G21)+ROW()/100000),IF(ISNUMBER(F21),1000+F21+ROW()/100000,TODAY()+400+ROW()/100000)))</f>
        <v>4.7618571433333284E-2</v>
      </c>
    </row>
    <row r="22" spans="1:85" ht="15.95" customHeight="1">
      <c r="A22" s="10" t="s">
        <v>124</v>
      </c>
      <c r="B22" s="10" t="s">
        <v>98</v>
      </c>
      <c r="C22" s="10" t="s">
        <v>117</v>
      </c>
      <c r="D22" s="11" t="str">
        <f>IF(A22="","",IF(((S22="Blocked")+(V22="Blocked")+(Y22="Blocked")+(AC22="Blocked")+(AI22="Blocked")+(AL22="Blocked")+(AO22="Blocked")+(AR22="Blocked")+(AW22="Blocked")+(AZ22="Blocked")+(BC22="Blocked")+(BF22="Blocked")+(P22="Blocked")+(BJ22="Blocked")+(BL22="Blocked")+(BN22="Blocked")+(BO22="Blocked"))&gt;0,"Blocked",IF((ISNUMBER(Q22)+ISNUMBER(T22)+ISNUMBER(W22)+ISNUMBER(AA22)+ISNUMBER(AG22)+ISNUMBER(AJ22)+ISNUMBER(AM22)+ISNUMBER(AP22)+ISNUMBER(AU22)+ISNUMBER(AX22)+ISNUMBER(BA22)+ISNUMBER(BD22)+ISNUMBER(O22)+ISNUMBER(BI22)+ISNUMBER(BK22)+ISNUMBER(BM22))=0,"Yet to start",IF(AND(OR(NOT(ISNUMBER(Q22)),S22="Completed",S22="N/A"),OR(NOT(ISNUMBER(T22)),V22="Completed",V22="N/A"),OR(NOT(ISNUMBER(W22)),Y22="Completed",Y22="N/A"),OR(NOT(ISNUMBER(AA22)),AC22="Completed",AC22="N/A"),OR(NOT(ISNUMBER(AG22)),AI22="Completed",AI22="N/A"),OR(NOT(ISNUMBER(AJ22)),AL22="Completed",AL22="N/A"),OR(NOT(ISNUMBER(AM22)),AO22="Completed",AO22="N/A"),OR(NOT(ISNUMBER(AP22)),AR22="Completed",AR22="N/A"),OR(NOT(ISNUMBER(AU22)),AW22="Completed",AW22="N/A"),OR(NOT(ISNUMBER(AX22)),AZ22="Completed",AZ22="N/A"),OR(NOT(ISNUMBER(BA22)),BC22="Completed",BC22="N/A"),OR(NOT(ISNUMBER(BD22)),BF22="Completed",BF22="N/A"),OR(NOT(ISNUMBER(O22)),P22="Completed",P22="N/A"),OR(NOT(ISNUMBER(BI22)),BJ22="Completed",BJ22="N/A"),OR(NOT(ISNUMBER(BK22)),BL22="Completed",BL22="N/A"),OR(NOT(ISNUMBER(BM22)),BN22="Completed",BN22="N/A"),OR(BO22="Completed",BO22="N/A")),"Completed",IF(((S22="In Progress")+(V22="In Progress")+(Y22="In Progress")+(AC22="In Progress")+(AI22="In Progress")+(AL22="In Progress")+(AO22="In Progress")+(AR22="In Progress")+(AW22="In Progress")+(AZ22="In Progress")+(BC22="In Progress")+(BF22="In Progress")+(P22="In Progress")+(BJ22="In Progress")+(BL22="In Progress")+(BN22="In Progress")+(BO22="In Progress"))&gt;0,"In Progress","Yet to start")))))</f>
        <v>In Progress</v>
      </c>
      <c r="E22" s="11" t="str">
        <f>IF(A22="","",IF(F22="","All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Review","CAB"},MATCH(F22,BQ22:CF22,0))))</f>
        <v>Prod OUR</v>
      </c>
      <c r="F22" s="12">
        <f>IF(A22="","",IF(COUNT(BQ22:CF22)=0,"",MIN(BQ22:CF22)))</f>
        <v>46238</v>
      </c>
      <c r="G22" s="13">
        <f ca="1">IF(A22="","",MAX(0,IF(AND(ISNUMBER(Q22),S22&lt;&gt;"Completed",S22&lt;&gt;"N/A",Q22&lt;TODAY()),TODAY()-Q22,0),IF(AND(ISNUMBER(T22),V22&lt;&gt;"Completed",V22&lt;&gt;"N/A",T22&lt;TODAY()),TODAY()-T22,0),IF(AND(ISNUMBER(W22),Y22&lt;&gt;"Completed",Y22&lt;&gt;"N/A",W22&lt;TODAY()),TODAY()-W22,0),IF(AND(ISNUMBER(AA22),AC22&lt;&gt;"Completed",AC22&lt;&gt;"N/A",AA22&lt;TODAY()),TODAY()-AA22,0),IF(AND(ISNUMBER(AG22),AI22&lt;&gt;"Completed",AI22&lt;&gt;"N/A",AG22&lt;TODAY()),TODAY()-AG22,0),IF(AND(ISNUMBER(AJ22),AL22&lt;&gt;"Completed",AL22&lt;&gt;"N/A",AJ22&lt;TODAY()),TODAY()-AJ22,0),IF(AND(ISNUMBER(AM22),AO22&lt;&gt;"Completed",AO22&lt;&gt;"N/A",AM22&lt;TODAY()),TODAY()-AM22,0),IF(AND(ISNUMBER(AP22),AR22&lt;&gt;"Completed",AR22&lt;&gt;"N/A",AP22&lt;TODAY()),TODAY()-AP22,0),IF(AND(ISNUMBER(AU22),AW22&lt;&gt;"Completed",AW22&lt;&gt;"N/A",AU22&lt;TODAY()),TODAY()-AU22,0),IF(AND(ISNUMBER(AX22),AZ22&lt;&gt;"Completed",AZ22&lt;&gt;"N/A",AX22&lt;TODAY()),TODAY()-AX22,0),IF(AND(ISNUMBER(BA22),BC22&lt;&gt;"Completed",BC22&lt;&gt;"N/A",BA22&lt;TODAY()),TODAY()-BA22,0),IF(AND(ISNUMBER(BD22),BF22&lt;&gt;"Completed",BF22&lt;&gt;"N/A",BD22&lt;TODAY()),TODAY()-BD22,0),IF(AND(ISNUMBER(O22),P22&lt;&gt;"Completed",P22&lt;&gt;"N/A",O22&lt;TODAY()),TODAY()-O22,0),IF(AND(ISNUMBER(BM22),BN22&lt;&gt;"Completed",BN22&lt;&gt;"N/A",BM22&lt;TODAY()),TODAY()-BM22,0),IF(AND(ISNUMBER(BK22),BL22&lt;&gt;"Completed",BL22&lt;&gt;"N/A",BK22&lt;TODAY()),TODAY()-BK22,0),IF(AND(ISNUMBER(BI22),BJ22&lt;&gt;"Completed",BJ22&lt;&gt;"N/A",BI22&lt;TODAY()),TODAY()-BI22,0)))</f>
        <v>17</v>
      </c>
      <c r="H22" s="14">
        <v>46246</v>
      </c>
      <c r="I22" s="14">
        <v>46259</v>
      </c>
      <c r="J22" s="15">
        <v>46300</v>
      </c>
      <c r="K22" s="12">
        <f>IF(ISNUMBER(H22),H22,IF(ISNUMBER(M22),M22-WEEKDAY(M22,2)+1-7,""))</f>
        <v>46246</v>
      </c>
      <c r="L22" s="12">
        <f>IF(ISNUMBER(I22),I22,IF(ISNUMBER(H22),WORKDAY(H22,SprintWorkingDays-1),IF(ISNUMBER(K22),WORKDAY(K22,SprintWorkingDays-1),"")))</f>
        <v>46259</v>
      </c>
      <c r="M22" s="12">
        <f>IF(ISNUMBER(J22),J22,IF(ISNUMBER(I22),I22-IF(OR(WEEKDAY(I22,2)=2,WEEKDAY(I22,2)=4),0,IF(WEEKDAY(I22,2)=3,1,IF(WEEKDAY(I22,2)=1,4,WEEKDAY(I22,2)-4))),IF(ISNUMBER(H22),WORKDAY(H22,SprintWorkingDays-1)-IF(OR(WEEKDAY(WORKDAY(H22,SprintWorkingDays-1),2)=2,WEEKDAY(WORKDAY(H22,SprintWorkingDays-1),2)=4),0,IF(WEEKDAY(WORKDAY(H22,SprintWorkingDays-1),2)=3,1,IF(WEEKDAY(WORKDAY(H22,SprintWorkingDays-1),2)=1,4,WEEKDAY(WORKDAY(H22,SprintWorkingDays-1),2)-4))),"")))</f>
        <v>46300</v>
      </c>
      <c r="N22" s="12">
        <f>IF(NOT(ISNUMBER(K22)),"",WORKDAY(K22,ReadyOffsetWD))</f>
        <v>46245</v>
      </c>
      <c r="O22" s="12">
        <f>IF(NOT(ISNUMBER(K22)),"",WORKDAY(K22,SprintReadinessOffsetWD))</f>
        <v>46244</v>
      </c>
      <c r="P22" s="10" t="s">
        <v>30</v>
      </c>
      <c r="Q22" s="12">
        <f>IF(A22="","",IF(V22="N/A",IF(NOT(ISNUMBER(W22)),"",WORKDAY(W22,RTSKOffsetFromOUR_WD)),IF(NOT(ISNUMBER(T22)),"",WORKDAY(T22,RTSKOffsetFromOUR_WD))))</f>
        <v>46234</v>
      </c>
      <c r="R22" s="15">
        <v>46246</v>
      </c>
      <c r="S22" s="10" t="s">
        <v>32</v>
      </c>
      <c r="T22" s="12">
        <f>IF(OR(A22="",V22="N/A"),"",IF(NOT(ISNUMBER(W22)),"",WORKDAY(W22,OUROffsetFromSR_WD)))</f>
        <v>46238</v>
      </c>
      <c r="U22" s="15">
        <v>46234</v>
      </c>
      <c r="V22" s="10" t="s">
        <v>32</v>
      </c>
      <c r="W22" s="12">
        <f>IF(OR(A22="",NOT(ISNUMBER(K22))),"",WORKDAY(K22,SROffsetFromStartWD))</f>
        <v>46239</v>
      </c>
      <c r="X22" s="15">
        <v>46234</v>
      </c>
      <c r="Y22" s="10" t="s">
        <v>32</v>
      </c>
      <c r="Z22" s="10" t="s">
        <v>100</v>
      </c>
      <c r="AA22" s="12" t="str">
        <f>IF(OR(Z22="",Z22="N/A"),"",IF(ISNUMBER(Q22),Q22,""))</f>
        <v/>
      </c>
      <c r="AB22" s="15"/>
      <c r="AC22" s="10"/>
      <c r="AD22" s="10"/>
      <c r="AE22" s="10"/>
      <c r="AF22" s="10" t="str">
        <f>IF(Z22="N/A","N/A","")</f>
        <v>N/A</v>
      </c>
      <c r="AG22" s="12">
        <f>IF(NOT(ISNUMBER(Q22)),"",Q22)</f>
        <v>46234</v>
      </c>
      <c r="AH22" s="12">
        <v>46239</v>
      </c>
      <c r="AI22" s="10" t="s">
        <v>32</v>
      </c>
      <c r="AJ22" s="12">
        <f>IF(OR(AL22="N/A",NOT(ISNUMBER(T22))),"",T22)</f>
        <v>46238</v>
      </c>
      <c r="AK22" s="15">
        <v>46239</v>
      </c>
      <c r="AL22" s="10" t="s">
        <v>32</v>
      </c>
      <c r="AM22" s="12">
        <f>IF(NOT(ISNUMBER(W22)),"",W22)</f>
        <v>46239</v>
      </c>
      <c r="AN22" s="15">
        <v>46239</v>
      </c>
      <c r="AO22" s="10" t="s">
        <v>32</v>
      </c>
      <c r="AP22" s="12" t="str">
        <f>IF(OR(Z22="",Z22="N/A"),"",IF(ISNUMBER(AG22),AG22,""))</f>
        <v/>
      </c>
      <c r="AQ22" s="15"/>
      <c r="AR22" s="10"/>
      <c r="AS22" s="10"/>
      <c r="AT22" s="10"/>
      <c r="AU22" s="12">
        <f>IF(NOT(ISNUMBER(Q22)),"",Q22)</f>
        <v>46234</v>
      </c>
      <c r="AV22" s="15"/>
      <c r="AW22" s="10" t="s">
        <v>32</v>
      </c>
      <c r="AX22" s="12">
        <f>IF(OR(AZ22="N/A",NOT(ISNUMBER(T22))),"",T22)</f>
        <v>46238</v>
      </c>
      <c r="AY22" s="15"/>
      <c r="AZ22" s="10"/>
      <c r="BA22" s="12">
        <f>IF(NOT(ISNUMBER(W22)),"",W22)</f>
        <v>46239</v>
      </c>
      <c r="BB22" s="15"/>
      <c r="BC22" s="10"/>
      <c r="BD22" s="12" t="str">
        <f>IF(OR(Z22="",Z22="N/A"),"",IF(ISNUMBER(AU22),AU22,""))</f>
        <v/>
      </c>
      <c r="BE22" s="15"/>
      <c r="BF22" s="10"/>
      <c r="BG22" s="10"/>
      <c r="BH22" s="10"/>
      <c r="BI22" s="12">
        <v>46300</v>
      </c>
      <c r="BJ22" s="10"/>
      <c r="BK22" s="12">
        <f>IF(NOT(ISNUMBER(BI22)),"",IF(WEEKDAY(BI22-CodeReviewCalendarDays,2)&gt;5,BI22-CodeReviewCalendarDays-(WEEKDAY(BI22-CodeReviewCalendarDays,2)-5),BI22-CodeReviewCalendarDays))</f>
        <v>46297</v>
      </c>
      <c r="BL22" s="10"/>
      <c r="BM22" s="12">
        <f>IF(NOT(ISNUMBER(BK22)),"",IF(WEEKDAY(BK22-CodeReviewInviteCalendarDays,2)&gt;5,BK22-CodeReviewInviteCalendarDays-(WEEKDAY(BK22-CodeReviewInviteCalendarDays,2)-5),BK22-CodeReviewInviteCalendarDays))</f>
        <v>46293</v>
      </c>
      <c r="BN22" s="10"/>
      <c r="BO22" s="10"/>
      <c r="BP22" s="16" t="str">
        <f ca="1">IF(A22="","",IF(IF(AND(ISNUMBER(J22),WEEKDAY(J22,2)&lt;&gt;2,WEEKDAY(J22,2)&lt;&gt;4)," | Release must be Tuesday or Thursday","")&amp;IF(AND(ISNUMBER(H22),WEEKDAY(H22,2)&lt;&gt;1)," | Sprint Start is not a Monday - dates still calculated from the date entered","")&amp;IF(AND(A22&lt;&gt;"",NOT(ISNUMBER(H22)),NOT(ISNUMBER(J22)))," | Enter Sprint Start or Release Date","")&amp;IF(AND(ISNUMBER(F22),F22&lt;TODAY(),D22&lt;&gt;"Completed")," | One or more raise-by dates are in the past and not completed","")&amp;IF(AND(ISNUMBER(K22),K22-TODAY()&lt;SprintWarningDays,K22&gt;=TODAY(),OR(D22="Yet to start",D22="Blocked"))," | Sprint starts in under 10 days - raise access requests now","")&amp;IF(AND(ISNUMBER(BM22),BN22&lt;&gt;"Completed",BN22&lt;&gt;"N/A",BM22-TODAY()&lt;CodeReviewInviteCalendarDays)," | Code Review invite should be sent at least 4 days before Code Review","")="","",MID(IF(AND(ISNUMBER(J22),WEEKDAY(J22,2)&lt;&gt;2,WEEKDAY(J22,2)&lt;&gt;4)," | Release must be Tuesday or Thursday","")&amp;IF(AND(ISNUMBER(H22),WEEKDAY(H22,2)&lt;&gt;1)," | Sprint Start is not a Monday - dates still calculated from the date entered","")&amp;IF(AND(A22&lt;&gt;"",NOT(ISNUMBER(H22)),NOT(ISNUMBER(J22)))," | Enter Sprint Start or Release Date","")&amp;IF(AND(ISNUMBER(F22),F22&lt;TODAY(),D22&lt;&gt;"Completed")," | One or more raise-by dates are in the past and not completed","")&amp;IF(AND(ISNUMBER(K22),K22-TODAY()&lt;SprintWarningDays,K22&gt;=TODAY(),OR(D22="Yet to start",D22="Blocked"))," | Sprint starts in under 10 days - raise access requests now","")&amp;IF(AND(ISNUMBER(BM22),BN22&lt;&gt;"Completed",BN22&lt;&gt;"N/A",BM22-TODAY()&lt;CodeReviewInviteCalendarDays),"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22" s="1" t="str">
        <f>IF(AND(ISNUMBER(Q22),S22&lt;&gt;"Completed",S22&lt;&gt;"N/A"),Q22,"")</f>
        <v/>
      </c>
      <c r="BR22" s="1" t="str">
        <f>IF(AND(ISNUMBER(T22),V22&lt;&gt;"Completed",V22&lt;&gt;"N/A"),T22,"")</f>
        <v/>
      </c>
      <c r="BS22" s="1" t="str">
        <f>IF(AND(ISNUMBER(W22),Y22&lt;&gt;"Completed",Y22&lt;&gt;"N/A"),W22,"")</f>
        <v/>
      </c>
      <c r="BT22" s="1" t="str">
        <f>IF(AND(ISNUMBER(AA22),AC22&lt;&gt;"Completed",AC22&lt;&gt;"N/A"),AA22,"")</f>
        <v/>
      </c>
      <c r="BU22" s="1" t="str">
        <f>IF(AND(ISNUMBER(AG22),AI22&lt;&gt;"Completed",AI22&lt;&gt;"N/A"),AG22,"")</f>
        <v/>
      </c>
      <c r="BV22" s="1" t="str">
        <f>IF(AND(ISNUMBER(AJ22),AL22&lt;&gt;"Completed",AL22&lt;&gt;"N/A"),AJ22,"")</f>
        <v/>
      </c>
      <c r="BW22" s="1" t="str">
        <f>IF(AND(ISNUMBER(AM22),AO22&lt;&gt;"Completed",AO22&lt;&gt;"N/A"),AM22,"")</f>
        <v/>
      </c>
      <c r="BX22" s="1" t="str">
        <f>IF(AND(ISNUMBER(AP22),AR22&lt;&gt;"Completed",AR22&lt;&gt;"N/A"),AP22,"")</f>
        <v/>
      </c>
      <c r="BY22" s="1" t="str">
        <f>IF(AND(ISNUMBER(AU22),AW22&lt;&gt;"Completed",AW22&lt;&gt;"N/A"),AU22,"")</f>
        <v/>
      </c>
      <c r="BZ22" s="1">
        <f>IF(AND(ISNUMBER(AX22),AZ22&lt;&gt;"Completed",AZ22&lt;&gt;"N/A"),AX22,"")</f>
        <v>46238</v>
      </c>
      <c r="CA22" s="1">
        <f>IF(AND(ISNUMBER(BA22),BC22&lt;&gt;"Completed",BC22&lt;&gt;"N/A"),BA22,"")</f>
        <v>46239</v>
      </c>
      <c r="CB22" s="1" t="str">
        <f>IF(AND(ISNUMBER(BD22),BF22&lt;&gt;"Completed",BF22&lt;&gt;"N/A"),BD22,"")</f>
        <v/>
      </c>
      <c r="CC22" s="1">
        <f>IF(AND(ISNUMBER(O22),P22&lt;&gt;"Completed",P22&lt;&gt;"N/A"),O22,"")</f>
        <v>46244</v>
      </c>
      <c r="CD22" s="1">
        <f>IF(AND(ISNUMBER(BM22),BN22&lt;&gt;"Completed",BN22&lt;&gt;"N/A"),BM22,"")</f>
        <v>46293</v>
      </c>
      <c r="CE22" s="1">
        <f>IF(AND(ISNUMBER(BK22),BL22&lt;&gt;"Completed",BL22&lt;&gt;"N/A"),BK22,"")</f>
        <v>46297</v>
      </c>
      <c r="CF22" s="1">
        <f>IF(AND(ISNUMBER(BI22),BJ22&lt;&gt;"Completed",BJ22&lt;&gt;"N/A"),BI22,"")</f>
        <v>46300</v>
      </c>
      <c r="CG22" s="1">
        <f ca="1">IF(OR(A22="",D22="Completed"),"",IF(N(G22)&gt;0,1/(N(G22)+ROW()/100000),IF(ISNUMBER(F22),1000+F22+ROW()/100000,TODAY()+400+ROW()/100000)))</f>
        <v>5.8822768175941259E-2</v>
      </c>
    </row>
    <row r="23" spans="1:85" ht="15.95" customHeight="1">
      <c r="A23" s="10" t="s">
        <v>125</v>
      </c>
      <c r="B23" s="10" t="s">
        <v>98</v>
      </c>
      <c r="C23" s="10" t="s">
        <v>117</v>
      </c>
      <c r="D23" s="11" t="str">
        <f>IF(A23="","",IF(((S23="Blocked")+(V23="Blocked")+(Y23="Blocked")+(AC23="Blocked")+(AI23="Blocked")+(AL23="Blocked")+(AO23="Blocked")+(AR23="Blocked")+(AW23="Blocked")+(AZ23="Blocked")+(BC23="Blocked")+(BF23="Blocked")+(P23="Blocked")+(BJ23="Blocked")+(BL23="Blocked")+(BN23="Blocked")+(BO23="Blocked"))&gt;0,"Blocked",IF((ISNUMBER(Q23)+ISNUMBER(T23)+ISNUMBER(W23)+ISNUMBER(AA23)+ISNUMBER(AG23)+ISNUMBER(AJ23)+ISNUMBER(AM23)+ISNUMBER(AP23)+ISNUMBER(AU23)+ISNUMBER(AX23)+ISNUMBER(BA23)+ISNUMBER(BD23)+ISNUMBER(O23)+ISNUMBER(BI23)+ISNUMBER(BK23)+ISNUMBER(BM23))=0,"Yet to start",IF(AND(OR(NOT(ISNUMBER(Q23)),S23="Completed",S23="N/A"),OR(NOT(ISNUMBER(T23)),V23="Completed",V23="N/A"),OR(NOT(ISNUMBER(W23)),Y23="Completed",Y23="N/A"),OR(NOT(ISNUMBER(AA23)),AC23="Completed",AC23="N/A"),OR(NOT(ISNUMBER(AG23)),AI23="Completed",AI23="N/A"),OR(NOT(ISNUMBER(AJ23)),AL23="Completed",AL23="N/A"),OR(NOT(ISNUMBER(AM23)),AO23="Completed",AO23="N/A"),OR(NOT(ISNUMBER(AP23)),AR23="Completed",AR23="N/A"),OR(NOT(ISNUMBER(AU23)),AW23="Completed",AW23="N/A"),OR(NOT(ISNUMBER(AX23)),AZ23="Completed",AZ23="N/A"),OR(NOT(ISNUMBER(BA23)),BC23="Completed",BC23="N/A"),OR(NOT(ISNUMBER(BD23)),BF23="Completed",BF23="N/A"),OR(NOT(ISNUMBER(O23)),P23="Completed",P23="N/A"),OR(NOT(ISNUMBER(BI23)),BJ23="Completed",BJ23="N/A"),OR(NOT(ISNUMBER(BK23)),BL23="Completed",BL23="N/A"),OR(NOT(ISNUMBER(BM23)),BN23="Completed",BN23="N/A"),OR(BO23="Completed",BO23="N/A")),"Completed",IF(((S23="In Progress")+(V23="In Progress")+(Y23="In Progress")+(AC23="In Progress")+(AI23="In Progress")+(AL23="In Progress")+(AO23="In Progress")+(AR23="In Progress")+(AW23="In Progress")+(AZ23="In Progress")+(BC23="In Progress")+(BF23="In Progress")+(P23="In Progress")+(BJ23="In Progress")+(BL23="In Progress")+(BN23="In Progress")+(BO23="In Progress"))&gt;0,"In Progress","Yet to start")))))</f>
        <v>In Progress</v>
      </c>
      <c r="E23" s="11" t="str">
        <f>IF(A23="","",IF(F23="","All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Review","CAB"},MATCH(F23,BQ23:CF23,0))))</f>
        <v>Prod OUR</v>
      </c>
      <c r="F23" s="12">
        <f>IF(A23="","",IF(COUNT(BQ23:CF23)=0,"",MIN(BQ23:CF23)))</f>
        <v>46238</v>
      </c>
      <c r="G23" s="13">
        <f ca="1">IF(A23="","",MAX(0,IF(AND(ISNUMBER(Q23),S23&lt;&gt;"Completed",S23&lt;&gt;"N/A",Q23&lt;TODAY()),TODAY()-Q23,0),IF(AND(ISNUMBER(T23),V23&lt;&gt;"Completed",V23&lt;&gt;"N/A",T23&lt;TODAY()),TODAY()-T23,0),IF(AND(ISNUMBER(W23),Y23&lt;&gt;"Completed",Y23&lt;&gt;"N/A",W23&lt;TODAY()),TODAY()-W23,0),IF(AND(ISNUMBER(AA23),AC23&lt;&gt;"Completed",AC23&lt;&gt;"N/A",AA23&lt;TODAY()),TODAY()-AA23,0),IF(AND(ISNUMBER(AG23),AI23&lt;&gt;"Completed",AI23&lt;&gt;"N/A",AG23&lt;TODAY()),TODAY()-AG23,0),IF(AND(ISNUMBER(AJ23),AL23&lt;&gt;"Completed",AL23&lt;&gt;"N/A",AJ23&lt;TODAY()),TODAY()-AJ23,0),IF(AND(ISNUMBER(AM23),AO23&lt;&gt;"Completed",AO23&lt;&gt;"N/A",AM23&lt;TODAY()),TODAY()-AM23,0),IF(AND(ISNUMBER(AP23),AR23&lt;&gt;"Completed",AR23&lt;&gt;"N/A",AP23&lt;TODAY()),TODAY()-AP23,0),IF(AND(ISNUMBER(AU23),AW23&lt;&gt;"Completed",AW23&lt;&gt;"N/A",AU23&lt;TODAY()),TODAY()-AU23,0),IF(AND(ISNUMBER(AX23),AZ23&lt;&gt;"Completed",AZ23&lt;&gt;"N/A",AX23&lt;TODAY()),TODAY()-AX23,0),IF(AND(ISNUMBER(BA23),BC23&lt;&gt;"Completed",BC23&lt;&gt;"N/A",BA23&lt;TODAY()),TODAY()-BA23,0),IF(AND(ISNUMBER(BD23),BF23&lt;&gt;"Completed",BF23&lt;&gt;"N/A",BD23&lt;TODAY()),TODAY()-BD23,0),IF(AND(ISNUMBER(O23),P23&lt;&gt;"Completed",P23&lt;&gt;"N/A",O23&lt;TODAY()),TODAY()-O23,0),IF(AND(ISNUMBER(BM23),BN23&lt;&gt;"Completed",BN23&lt;&gt;"N/A",BM23&lt;TODAY()),TODAY()-BM23,0),IF(AND(ISNUMBER(BK23),BL23&lt;&gt;"Completed",BL23&lt;&gt;"N/A",BK23&lt;TODAY()),TODAY()-BK23,0),IF(AND(ISNUMBER(BI23),BJ23&lt;&gt;"Completed",BJ23&lt;&gt;"N/A",BI23&lt;TODAY()),TODAY()-BI23,0)))</f>
        <v>17</v>
      </c>
      <c r="H23" s="14">
        <v>46246</v>
      </c>
      <c r="I23" s="14">
        <v>46259</v>
      </c>
      <c r="J23" s="15">
        <v>46300</v>
      </c>
      <c r="K23" s="12">
        <f>IF(ISNUMBER(H23),H23,IF(ISNUMBER(M23),M23-WEEKDAY(M23,2)+1-7,""))</f>
        <v>46246</v>
      </c>
      <c r="L23" s="12">
        <f>IF(ISNUMBER(I23),I23,IF(ISNUMBER(H23),WORKDAY(H23,SprintWorkingDays-1),IF(ISNUMBER(K23),WORKDAY(K23,SprintWorkingDays-1),"")))</f>
        <v>46259</v>
      </c>
      <c r="M23" s="12">
        <f>IF(ISNUMBER(J23),J23,IF(ISNUMBER(I23),I23-IF(OR(WEEKDAY(I23,2)=2,WEEKDAY(I23,2)=4),0,IF(WEEKDAY(I23,2)=3,1,IF(WEEKDAY(I23,2)=1,4,WEEKDAY(I23,2)-4))),IF(ISNUMBER(H23),WORKDAY(H23,SprintWorkingDays-1)-IF(OR(WEEKDAY(WORKDAY(H23,SprintWorkingDays-1),2)=2,WEEKDAY(WORKDAY(H23,SprintWorkingDays-1),2)=4),0,IF(WEEKDAY(WORKDAY(H23,SprintWorkingDays-1),2)=3,1,IF(WEEKDAY(WORKDAY(H23,SprintWorkingDays-1),2)=1,4,WEEKDAY(WORKDAY(H23,SprintWorkingDays-1),2)-4))),"")))</f>
        <v>46300</v>
      </c>
      <c r="N23" s="12">
        <f>IF(NOT(ISNUMBER(K23)),"",WORKDAY(K23,ReadyOffsetWD))</f>
        <v>46245</v>
      </c>
      <c r="O23" s="12">
        <f>IF(NOT(ISNUMBER(K23)),"",WORKDAY(K23,SprintReadinessOffsetWD))</f>
        <v>46244</v>
      </c>
      <c r="P23" s="10" t="s">
        <v>30</v>
      </c>
      <c r="Q23" s="12">
        <f>IF(A23="","",IF(V23="N/A",IF(NOT(ISNUMBER(W23)),"",WORKDAY(W23,RTSKOffsetFromOUR_WD)),IF(NOT(ISNUMBER(T23)),"",WORKDAY(T23,RTSKOffsetFromOUR_WD))))</f>
        <v>46234</v>
      </c>
      <c r="R23" s="15">
        <v>46246</v>
      </c>
      <c r="S23" s="10" t="s">
        <v>32</v>
      </c>
      <c r="T23" s="12">
        <f>IF(OR(A23="",V23="N/A"),"",IF(NOT(ISNUMBER(W23)),"",WORKDAY(W23,OUROffsetFromSR_WD)))</f>
        <v>46238</v>
      </c>
      <c r="U23" s="15">
        <v>46234</v>
      </c>
      <c r="V23" s="10" t="s">
        <v>32</v>
      </c>
      <c r="W23" s="12">
        <f>IF(OR(A23="",NOT(ISNUMBER(K23))),"",WORKDAY(K23,SROffsetFromStartWD))</f>
        <v>46239</v>
      </c>
      <c r="X23" s="15">
        <v>46234</v>
      </c>
      <c r="Y23" s="10" t="s">
        <v>32</v>
      </c>
      <c r="Z23" s="10" t="s">
        <v>100</v>
      </c>
      <c r="AA23" s="12" t="str">
        <f>IF(OR(Z23="",Z23="N/A"),"",IF(ISNUMBER(Q23),Q23,""))</f>
        <v/>
      </c>
      <c r="AB23" s="15"/>
      <c r="AC23" s="10"/>
      <c r="AD23" s="10"/>
      <c r="AE23" s="10"/>
      <c r="AF23" s="10" t="str">
        <f>IF(Z23="N/A","N/A","")</f>
        <v>N/A</v>
      </c>
      <c r="AG23" s="12">
        <f>IF(NOT(ISNUMBER(Q23)),"",Q23)</f>
        <v>46234</v>
      </c>
      <c r="AH23" s="12">
        <v>46239</v>
      </c>
      <c r="AI23" s="10" t="s">
        <v>32</v>
      </c>
      <c r="AJ23" s="12">
        <f>IF(OR(AL23="N/A",NOT(ISNUMBER(T23))),"",T23)</f>
        <v>46238</v>
      </c>
      <c r="AK23" s="15">
        <v>46239</v>
      </c>
      <c r="AL23" s="10" t="s">
        <v>32</v>
      </c>
      <c r="AM23" s="12">
        <f>IF(NOT(ISNUMBER(W23)),"",W23)</f>
        <v>46239</v>
      </c>
      <c r="AN23" s="15">
        <v>46239</v>
      </c>
      <c r="AO23" s="10" t="s">
        <v>32</v>
      </c>
      <c r="AP23" s="12" t="str">
        <f>IF(OR(Z23="",Z23="N/A"),"",IF(ISNUMBER(AG23),AG23,""))</f>
        <v/>
      </c>
      <c r="AQ23" s="15"/>
      <c r="AR23" s="10"/>
      <c r="AS23" s="10"/>
      <c r="AT23" s="10"/>
      <c r="AU23" s="12">
        <f>IF(NOT(ISNUMBER(Q23)),"",Q23)</f>
        <v>46234</v>
      </c>
      <c r="AV23" s="15"/>
      <c r="AW23" s="10" t="s">
        <v>32</v>
      </c>
      <c r="AX23" s="12">
        <f>IF(OR(AZ23="N/A",NOT(ISNUMBER(T23))),"",T23)</f>
        <v>46238</v>
      </c>
      <c r="AY23" s="15"/>
      <c r="AZ23" s="10"/>
      <c r="BA23" s="12">
        <f>IF(NOT(ISNUMBER(W23)),"",W23)</f>
        <v>46239</v>
      </c>
      <c r="BB23" s="15"/>
      <c r="BC23" s="10"/>
      <c r="BD23" s="12" t="str">
        <f>IF(OR(Z23="",Z23="N/A"),"",IF(ISNUMBER(AU23),AU23,""))</f>
        <v/>
      </c>
      <c r="BE23" s="15"/>
      <c r="BF23" s="10"/>
      <c r="BG23" s="10"/>
      <c r="BH23" s="10"/>
      <c r="BI23" s="12">
        <v>46300</v>
      </c>
      <c r="BJ23" s="10"/>
      <c r="BK23" s="12">
        <f>IF(NOT(ISNUMBER(BI23)),"",IF(WEEKDAY(BI23-CodeReviewCalendarDays,2)&gt;5,BI23-CodeReviewCalendarDays-(WEEKDAY(BI23-CodeReviewCalendarDays,2)-5),BI23-CodeReviewCalendarDays))</f>
        <v>46297</v>
      </c>
      <c r="BL23" s="10"/>
      <c r="BM23" s="12">
        <f>IF(NOT(ISNUMBER(BK23)),"",IF(WEEKDAY(BK23-CodeReviewInviteCalendarDays,2)&gt;5,BK23-CodeReviewInviteCalendarDays-(WEEKDAY(BK23-CodeReviewInviteCalendarDays,2)-5),BK23-CodeReviewInviteCalendarDays))</f>
        <v>46293</v>
      </c>
      <c r="BN23" s="10"/>
      <c r="BO23" s="10"/>
      <c r="BP23" s="16" t="str">
        <f ca="1">IF(A23="","",IF(IF(AND(ISNUMBER(J23),WEEKDAY(J23,2)&lt;&gt;2,WEEKDAY(J23,2)&lt;&gt;4)," | Release must be Tuesday or Thursday","")&amp;IF(AND(ISNUMBER(H23),WEEKDAY(H23,2)&lt;&gt;1)," | Sprint Start is not a Monday - dates still calculated from the date entered","")&amp;IF(AND(A23&lt;&gt;"",NOT(ISNUMBER(H23)),NOT(ISNUMBER(J23)))," | Enter Sprint Start or Release Date","")&amp;IF(AND(ISNUMBER(F23),F23&lt;TODAY(),D23&lt;&gt;"Completed")," | One or more raise-by dates are in the past and not completed","")&amp;IF(AND(ISNUMBER(K23),K23-TODAY()&lt;SprintWarningDays,K23&gt;=TODAY(),OR(D23="Yet to start",D23="Blocked"))," | Sprint starts in under 10 days - raise access requests now","")&amp;IF(AND(ISNUMBER(BM23),BN23&lt;&gt;"Completed",BN23&lt;&gt;"N/A",BM23-TODAY()&lt;CodeReviewInviteCalendarDays)," | Code Review invite should be sent at least 4 days before Code Review","")="","",MID(IF(AND(ISNUMBER(J23),WEEKDAY(J23,2)&lt;&gt;2,WEEKDAY(J23,2)&lt;&gt;4)," | Release must be Tuesday or Thursday","")&amp;IF(AND(ISNUMBER(H23),WEEKDAY(H23,2)&lt;&gt;1)," | Sprint Start is not a Monday - dates still calculated from the date entered","")&amp;IF(AND(A23&lt;&gt;"",NOT(ISNUMBER(H23)),NOT(ISNUMBER(J23)))," | Enter Sprint Start or Release Date","")&amp;IF(AND(ISNUMBER(F23),F23&lt;TODAY(),D23&lt;&gt;"Completed")," | One or more raise-by dates are in the past and not completed","")&amp;IF(AND(ISNUMBER(K23),K23-TODAY()&lt;SprintWarningDays,K23&gt;=TODAY(),OR(D23="Yet to start",D23="Blocked"))," | Sprint starts in under 10 days - raise access requests now","")&amp;IF(AND(ISNUMBER(BM23),BN23&lt;&gt;"Completed",BN23&lt;&gt;"N/A",BM23-TODAY()&lt;CodeReviewInviteCalendarDays),"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23" s="1" t="str">
        <f>IF(AND(ISNUMBER(Q23),S23&lt;&gt;"Completed",S23&lt;&gt;"N/A"),Q23,"")</f>
        <v/>
      </c>
      <c r="BR23" s="1" t="str">
        <f>IF(AND(ISNUMBER(T23),V23&lt;&gt;"Completed",V23&lt;&gt;"N/A"),T23,"")</f>
        <v/>
      </c>
      <c r="BS23" s="1" t="str">
        <f>IF(AND(ISNUMBER(W23),Y23&lt;&gt;"Completed",Y23&lt;&gt;"N/A"),W23,"")</f>
        <v/>
      </c>
      <c r="BT23" s="1" t="str">
        <f>IF(AND(ISNUMBER(AA23),AC23&lt;&gt;"Completed",AC23&lt;&gt;"N/A"),AA23,"")</f>
        <v/>
      </c>
      <c r="BU23" s="1" t="str">
        <f>IF(AND(ISNUMBER(AG23),AI23&lt;&gt;"Completed",AI23&lt;&gt;"N/A"),AG23,"")</f>
        <v/>
      </c>
      <c r="BV23" s="1" t="str">
        <f>IF(AND(ISNUMBER(AJ23),AL23&lt;&gt;"Completed",AL23&lt;&gt;"N/A"),AJ23,"")</f>
        <v/>
      </c>
      <c r="BW23" s="1" t="str">
        <f>IF(AND(ISNUMBER(AM23),AO23&lt;&gt;"Completed",AO23&lt;&gt;"N/A"),AM23,"")</f>
        <v/>
      </c>
      <c r="BX23" s="1" t="str">
        <f>IF(AND(ISNUMBER(AP23),AR23&lt;&gt;"Completed",AR23&lt;&gt;"N/A"),AP23,"")</f>
        <v/>
      </c>
      <c r="BY23" s="1" t="str">
        <f>IF(AND(ISNUMBER(AU23),AW23&lt;&gt;"Completed",AW23&lt;&gt;"N/A"),AU23,"")</f>
        <v/>
      </c>
      <c r="BZ23" s="1">
        <f>IF(AND(ISNUMBER(AX23),AZ23&lt;&gt;"Completed",AZ23&lt;&gt;"N/A"),AX23,"")</f>
        <v>46238</v>
      </c>
      <c r="CA23" s="1">
        <f>IF(AND(ISNUMBER(BA23),BC23&lt;&gt;"Completed",BC23&lt;&gt;"N/A"),BA23,"")</f>
        <v>46239</v>
      </c>
      <c r="CB23" s="1" t="str">
        <f>IF(AND(ISNUMBER(BD23),BF23&lt;&gt;"Completed",BF23&lt;&gt;"N/A"),BD23,"")</f>
        <v/>
      </c>
      <c r="CC23" s="1">
        <f>IF(AND(ISNUMBER(O23),P23&lt;&gt;"Completed",P23&lt;&gt;"N/A"),O23,"")</f>
        <v>46244</v>
      </c>
      <c r="CD23" s="1">
        <f>IF(AND(ISNUMBER(BM23),BN23&lt;&gt;"Completed",BN23&lt;&gt;"N/A"),BM23,"")</f>
        <v>46293</v>
      </c>
      <c r="CE23" s="1">
        <f>IF(AND(ISNUMBER(BK23),BL23&lt;&gt;"Completed",BL23&lt;&gt;"N/A"),BK23,"")</f>
        <v>46297</v>
      </c>
      <c r="CF23" s="1">
        <f>IF(AND(ISNUMBER(BI23),BJ23&lt;&gt;"Completed",BJ23&lt;&gt;"N/A"),BI23,"")</f>
        <v>46300</v>
      </c>
      <c r="CG23" s="1">
        <f ca="1">IF(OR(A23="",D23="Completed"),"",IF(N(G23)&gt;0,1/(N(G23)+ROW()/100000),IF(ISNUMBER(F23),1000+F23+ROW()/100000,TODAY()+400+ROW()/100000)))</f>
        <v>5.8822733574781051E-2</v>
      </c>
    </row>
    <row r="24" spans="1:85" ht="15.95" customHeight="1">
      <c r="A24" s="10" t="s">
        <v>126</v>
      </c>
      <c r="B24" s="10" t="s">
        <v>98</v>
      </c>
      <c r="C24" s="10" t="s">
        <v>117</v>
      </c>
      <c r="D24" s="11" t="str">
        <f>IF(A24="","",IF(((S24="Blocked")+(V24="Blocked")+(Y24="Blocked")+(AC24="Blocked")+(AI24="Blocked")+(AL24="Blocked")+(AO24="Blocked")+(AR24="Blocked")+(AW24="Blocked")+(AZ24="Blocked")+(BC24="Blocked")+(BF24="Blocked")+(P24="Blocked")+(BJ24="Blocked")+(BL24="Blocked")+(BN24="Blocked")+(BO24="Blocked"))&gt;0,"Blocked",IF((ISNUMBER(Q24)+ISNUMBER(T24)+ISNUMBER(W24)+ISNUMBER(AA24)+ISNUMBER(AG24)+ISNUMBER(AJ24)+ISNUMBER(AM24)+ISNUMBER(AP24)+ISNUMBER(AU24)+ISNUMBER(AX24)+ISNUMBER(BA24)+ISNUMBER(BD24)+ISNUMBER(O24)+ISNUMBER(BI24)+ISNUMBER(BK24)+ISNUMBER(BM24))=0,"Yet to start",IF(AND(OR(NOT(ISNUMBER(Q24)),S24="Completed",S24="N/A"),OR(NOT(ISNUMBER(T24)),V24="Completed",V24="N/A"),OR(NOT(ISNUMBER(W24)),Y24="Completed",Y24="N/A"),OR(NOT(ISNUMBER(AA24)),AC24="Completed",AC24="N/A"),OR(NOT(ISNUMBER(AG24)),AI24="Completed",AI24="N/A"),OR(NOT(ISNUMBER(AJ24)),AL24="Completed",AL24="N/A"),OR(NOT(ISNUMBER(AM24)),AO24="Completed",AO24="N/A"),OR(NOT(ISNUMBER(AP24)),AR24="Completed",AR24="N/A"),OR(NOT(ISNUMBER(AU24)),AW24="Completed",AW24="N/A"),OR(NOT(ISNUMBER(AX24)),AZ24="Completed",AZ24="N/A"),OR(NOT(ISNUMBER(BA24)),BC24="Completed",BC24="N/A"),OR(NOT(ISNUMBER(BD24)),BF24="Completed",BF24="N/A"),OR(NOT(ISNUMBER(O24)),P24="Completed",P24="N/A"),OR(NOT(ISNUMBER(BI24)),BJ24="Completed",BJ24="N/A"),OR(NOT(ISNUMBER(BK24)),BL24="Completed",BL24="N/A"),OR(NOT(ISNUMBER(BM24)),BN24="Completed",BN24="N/A"),OR(BO24="Completed",BO24="N/A")),"Completed",IF(((S24="In Progress")+(V24="In Progress")+(Y24="In Progress")+(AC24="In Progress")+(AI24="In Progress")+(AL24="In Progress")+(AO24="In Progress")+(AR24="In Progress")+(AW24="In Progress")+(AZ24="In Progress")+(BC24="In Progress")+(BF24="In Progress")+(P24="In Progress")+(BJ24="In Progress")+(BL24="In Progress")+(BN24="In Progress")+(BO24="In Progress"))&gt;0,"In Progress","Yet to start")))))</f>
        <v>In Progress</v>
      </c>
      <c r="E24" s="11" t="str">
        <f>IF(A24="","",IF(F24="","All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Review","CAB"},MATCH(F24,BQ24:CF24,0))))</f>
        <v>Prod OUR</v>
      </c>
      <c r="F24" s="12">
        <f>IF(A24="","",IF(COUNT(BQ24:CF24)=0,"",MIN(BQ24:CF24)))</f>
        <v>46238</v>
      </c>
      <c r="G24" s="13">
        <f ca="1">IF(A24="","",MAX(0,IF(AND(ISNUMBER(Q24),S24&lt;&gt;"Completed",S24&lt;&gt;"N/A",Q24&lt;TODAY()),TODAY()-Q24,0),IF(AND(ISNUMBER(T24),V24&lt;&gt;"Completed",V24&lt;&gt;"N/A",T24&lt;TODAY()),TODAY()-T24,0),IF(AND(ISNUMBER(W24),Y24&lt;&gt;"Completed",Y24&lt;&gt;"N/A",W24&lt;TODAY()),TODAY()-W24,0),IF(AND(ISNUMBER(AA24),AC24&lt;&gt;"Completed",AC24&lt;&gt;"N/A",AA24&lt;TODAY()),TODAY()-AA24,0),IF(AND(ISNUMBER(AG24),AI24&lt;&gt;"Completed",AI24&lt;&gt;"N/A",AG24&lt;TODAY()),TODAY()-AG24,0),IF(AND(ISNUMBER(AJ24),AL24&lt;&gt;"Completed",AL24&lt;&gt;"N/A",AJ24&lt;TODAY()),TODAY()-AJ24,0),IF(AND(ISNUMBER(AM24),AO24&lt;&gt;"Completed",AO24&lt;&gt;"N/A",AM24&lt;TODAY()),TODAY()-AM24,0),IF(AND(ISNUMBER(AP24),AR24&lt;&gt;"Completed",AR24&lt;&gt;"N/A",AP24&lt;TODAY()),TODAY()-AP24,0),IF(AND(ISNUMBER(AU24),AW24&lt;&gt;"Completed",AW24&lt;&gt;"N/A",AU24&lt;TODAY()),TODAY()-AU24,0),IF(AND(ISNUMBER(AX24),AZ24&lt;&gt;"Completed",AZ24&lt;&gt;"N/A",AX24&lt;TODAY()),TODAY()-AX24,0),IF(AND(ISNUMBER(BA24),BC24&lt;&gt;"Completed",BC24&lt;&gt;"N/A",BA24&lt;TODAY()),TODAY()-BA24,0),IF(AND(ISNUMBER(BD24),BF24&lt;&gt;"Completed",BF24&lt;&gt;"N/A",BD24&lt;TODAY()),TODAY()-BD24,0),IF(AND(ISNUMBER(O24),P24&lt;&gt;"Completed",P24&lt;&gt;"N/A",O24&lt;TODAY()),TODAY()-O24,0),IF(AND(ISNUMBER(BM24),BN24&lt;&gt;"Completed",BN24&lt;&gt;"N/A",BM24&lt;TODAY()),TODAY()-BM24,0),IF(AND(ISNUMBER(BK24),BL24&lt;&gt;"Completed",BL24&lt;&gt;"N/A",BK24&lt;TODAY()),TODAY()-BK24,0),IF(AND(ISNUMBER(BI24),BJ24&lt;&gt;"Completed",BJ24&lt;&gt;"N/A",BI24&lt;TODAY()),TODAY()-BI24,0)))</f>
        <v>17</v>
      </c>
      <c r="H24" s="14">
        <v>46246</v>
      </c>
      <c r="I24" s="14">
        <v>46259</v>
      </c>
      <c r="J24" s="15">
        <v>46300</v>
      </c>
      <c r="K24" s="12">
        <f>IF(ISNUMBER(H24),H24,IF(ISNUMBER(M24),M24-WEEKDAY(M24,2)+1-7,""))</f>
        <v>46246</v>
      </c>
      <c r="L24" s="12">
        <f>IF(ISNUMBER(I24),I24,IF(ISNUMBER(H24),WORKDAY(H24,SprintWorkingDays-1),IF(ISNUMBER(K24),WORKDAY(K24,SprintWorkingDays-1),"")))</f>
        <v>46259</v>
      </c>
      <c r="M24" s="12">
        <f>IF(ISNUMBER(J24),J24,IF(ISNUMBER(I24),I24-IF(OR(WEEKDAY(I24,2)=2,WEEKDAY(I24,2)=4),0,IF(WEEKDAY(I24,2)=3,1,IF(WEEKDAY(I24,2)=1,4,WEEKDAY(I24,2)-4))),IF(ISNUMBER(H24),WORKDAY(H24,SprintWorkingDays-1)-IF(OR(WEEKDAY(WORKDAY(H24,SprintWorkingDays-1),2)=2,WEEKDAY(WORKDAY(H24,SprintWorkingDays-1),2)=4),0,IF(WEEKDAY(WORKDAY(H24,SprintWorkingDays-1),2)=3,1,IF(WEEKDAY(WORKDAY(H24,SprintWorkingDays-1),2)=1,4,WEEKDAY(WORKDAY(H24,SprintWorkingDays-1),2)-4))),"")))</f>
        <v>46300</v>
      </c>
      <c r="N24" s="12">
        <f>IF(NOT(ISNUMBER(K24)),"",WORKDAY(K24,ReadyOffsetWD))</f>
        <v>46245</v>
      </c>
      <c r="O24" s="12">
        <f>IF(NOT(ISNUMBER(K24)),"",WORKDAY(K24,SprintReadinessOffsetWD))</f>
        <v>46244</v>
      </c>
      <c r="P24" s="10" t="s">
        <v>30</v>
      </c>
      <c r="Q24" s="12">
        <f>IF(A24="","",IF(V24="N/A",IF(NOT(ISNUMBER(W24)),"",WORKDAY(W24,RTSKOffsetFromOUR_WD)),IF(NOT(ISNUMBER(T24)),"",WORKDAY(T24,RTSKOffsetFromOUR_WD))))</f>
        <v>46234</v>
      </c>
      <c r="R24" s="15">
        <v>46246</v>
      </c>
      <c r="S24" s="10" t="s">
        <v>32</v>
      </c>
      <c r="T24" s="12">
        <f>IF(OR(A24="",V24="N/A"),"",IF(NOT(ISNUMBER(W24)),"",WORKDAY(W24,OUROffsetFromSR_WD)))</f>
        <v>46238</v>
      </c>
      <c r="U24" s="15">
        <v>46234</v>
      </c>
      <c r="V24" s="10" t="s">
        <v>32</v>
      </c>
      <c r="W24" s="12">
        <f>IF(OR(A24="",NOT(ISNUMBER(K24))),"",WORKDAY(K24,SROffsetFromStartWD))</f>
        <v>46239</v>
      </c>
      <c r="X24" s="15">
        <v>46234</v>
      </c>
      <c r="Y24" s="10" t="s">
        <v>32</v>
      </c>
      <c r="Z24" s="10" t="s">
        <v>100</v>
      </c>
      <c r="AA24" s="12" t="str">
        <f>IF(OR(Z24="",Z24="N/A"),"",IF(ISNUMBER(Q24),Q24,""))</f>
        <v/>
      </c>
      <c r="AB24" s="15"/>
      <c r="AC24" s="10"/>
      <c r="AD24" s="10"/>
      <c r="AE24" s="10"/>
      <c r="AF24" s="10" t="str">
        <f>IF(Z24="N/A","N/A","")</f>
        <v>N/A</v>
      </c>
      <c r="AG24" s="12">
        <f>IF(NOT(ISNUMBER(Q24)),"",Q24)</f>
        <v>46234</v>
      </c>
      <c r="AH24" s="12">
        <v>46239</v>
      </c>
      <c r="AI24" s="10" t="s">
        <v>32</v>
      </c>
      <c r="AJ24" s="12">
        <f>IF(OR(AL24="N/A",NOT(ISNUMBER(T24))),"",T24)</f>
        <v>46238</v>
      </c>
      <c r="AK24" s="15">
        <v>46239</v>
      </c>
      <c r="AL24" s="10" t="s">
        <v>32</v>
      </c>
      <c r="AM24" s="12">
        <f>IF(NOT(ISNUMBER(W24)),"",W24)</f>
        <v>46239</v>
      </c>
      <c r="AN24" s="15">
        <v>46239</v>
      </c>
      <c r="AO24" s="10" t="s">
        <v>32</v>
      </c>
      <c r="AP24" s="12" t="str">
        <f>IF(OR(Z24="",Z24="N/A"),"",IF(ISNUMBER(AG24),AG24,""))</f>
        <v/>
      </c>
      <c r="AQ24" s="15"/>
      <c r="AR24" s="10"/>
      <c r="AS24" s="10"/>
      <c r="AT24" s="10"/>
      <c r="AU24" s="12">
        <f>IF(NOT(ISNUMBER(Q24)),"",Q24)</f>
        <v>46234</v>
      </c>
      <c r="AV24" s="15"/>
      <c r="AW24" s="10" t="s">
        <v>32</v>
      </c>
      <c r="AX24" s="12">
        <f>IF(OR(AZ24="N/A",NOT(ISNUMBER(T24))),"",T24)</f>
        <v>46238</v>
      </c>
      <c r="AY24" s="15"/>
      <c r="AZ24" s="10"/>
      <c r="BA24" s="12">
        <f>IF(NOT(ISNUMBER(W24)),"",W24)</f>
        <v>46239</v>
      </c>
      <c r="BB24" s="15"/>
      <c r="BC24" s="10"/>
      <c r="BD24" s="12" t="str">
        <f>IF(OR(Z24="",Z24="N/A"),"",IF(ISNUMBER(AU24),AU24,""))</f>
        <v/>
      </c>
      <c r="BE24" s="15"/>
      <c r="BF24" s="10"/>
      <c r="BG24" s="10"/>
      <c r="BH24" s="10"/>
      <c r="BI24" s="12">
        <v>46300</v>
      </c>
      <c r="BJ24" s="10"/>
      <c r="BK24" s="12">
        <f>IF(NOT(ISNUMBER(BI24)),"",IF(WEEKDAY(BI24-CodeReviewCalendarDays,2)&gt;5,BI24-CodeReviewCalendarDays-(WEEKDAY(BI24-CodeReviewCalendarDays,2)-5),BI24-CodeReviewCalendarDays))</f>
        <v>46297</v>
      </c>
      <c r="BL24" s="10"/>
      <c r="BM24" s="12">
        <f>IF(NOT(ISNUMBER(BK24)),"",IF(WEEKDAY(BK24-CodeReviewInviteCalendarDays,2)&gt;5,BK24-CodeReviewInviteCalendarDays-(WEEKDAY(BK24-CodeReviewInviteCalendarDays,2)-5),BK24-CodeReviewInviteCalendarDays))</f>
        <v>46293</v>
      </c>
      <c r="BN24" s="10"/>
      <c r="BO24" s="10"/>
      <c r="BP24" s="16" t="str">
        <f ca="1">IF(A24="","",IF(IF(AND(ISNUMBER(J24),WEEKDAY(J24,2)&lt;&gt;2,WEEKDAY(J24,2)&lt;&gt;4)," | Release must be Tuesday or Thursday","")&amp;IF(AND(ISNUMBER(H24),WEEKDAY(H24,2)&lt;&gt;1)," | Sprint Start is not a Monday - dates still calculated from the date entered","")&amp;IF(AND(A24&lt;&gt;"",NOT(ISNUMBER(H24)),NOT(ISNUMBER(J24)))," | Enter Sprint Start or Release Date","")&amp;IF(AND(ISNUMBER(F24),F24&lt;TODAY(),D24&lt;&gt;"Completed")," | One or more raise-by dates are in the past and not completed","")&amp;IF(AND(ISNUMBER(K24),K24-TODAY()&lt;SprintWarningDays,K24&gt;=TODAY(),OR(D24="Yet to start",D24="Blocked"))," | Sprint starts in under 10 days - raise access requests now","")&amp;IF(AND(ISNUMBER(BM24),BN24&lt;&gt;"Completed",BN24&lt;&gt;"N/A",BM24-TODAY()&lt;CodeReviewInviteCalendarDays)," | Code Review invite should be sent at least 4 days before Code Review","")="","",MID(IF(AND(ISNUMBER(J24),WEEKDAY(J24,2)&lt;&gt;2,WEEKDAY(J24,2)&lt;&gt;4)," | Release must be Tuesday or Thursday","")&amp;IF(AND(ISNUMBER(H24),WEEKDAY(H24,2)&lt;&gt;1)," | Sprint Start is not a Monday - dates still calculated from the date entered","")&amp;IF(AND(A24&lt;&gt;"",NOT(ISNUMBER(H24)),NOT(ISNUMBER(J24)))," | Enter Sprint Start or Release Date","")&amp;IF(AND(ISNUMBER(F24),F24&lt;TODAY(),D24&lt;&gt;"Completed")," | One or more raise-by dates are in the past and not completed","")&amp;IF(AND(ISNUMBER(K24),K24-TODAY()&lt;SprintWarningDays,K24&gt;=TODAY(),OR(D24="Yet to start",D24="Blocked"))," | Sprint starts in under 10 days - raise access requests now","")&amp;IF(AND(ISNUMBER(BM24),BN24&lt;&gt;"Completed",BN24&lt;&gt;"N/A",BM24-TODAY()&lt;CodeReviewInviteCalendarDays),"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24" s="1" t="str">
        <f>IF(AND(ISNUMBER(Q24),S24&lt;&gt;"Completed",S24&lt;&gt;"N/A"),Q24,"")</f>
        <v/>
      </c>
      <c r="BR24" s="1" t="str">
        <f>IF(AND(ISNUMBER(T24),V24&lt;&gt;"Completed",V24&lt;&gt;"N/A"),T24,"")</f>
        <v/>
      </c>
      <c r="BS24" s="1" t="str">
        <f>IF(AND(ISNUMBER(W24),Y24&lt;&gt;"Completed",Y24&lt;&gt;"N/A"),W24,"")</f>
        <v/>
      </c>
      <c r="BT24" s="1" t="str">
        <f>IF(AND(ISNUMBER(AA24),AC24&lt;&gt;"Completed",AC24&lt;&gt;"N/A"),AA24,"")</f>
        <v/>
      </c>
      <c r="BU24" s="1" t="str">
        <f>IF(AND(ISNUMBER(AG24),AI24&lt;&gt;"Completed",AI24&lt;&gt;"N/A"),AG24,"")</f>
        <v/>
      </c>
      <c r="BV24" s="1" t="str">
        <f>IF(AND(ISNUMBER(AJ24),AL24&lt;&gt;"Completed",AL24&lt;&gt;"N/A"),AJ24,"")</f>
        <v/>
      </c>
      <c r="BW24" s="1" t="str">
        <f>IF(AND(ISNUMBER(AM24),AO24&lt;&gt;"Completed",AO24&lt;&gt;"N/A"),AM24,"")</f>
        <v/>
      </c>
      <c r="BX24" s="1" t="str">
        <f>IF(AND(ISNUMBER(AP24),AR24&lt;&gt;"Completed",AR24&lt;&gt;"N/A"),AP24,"")</f>
        <v/>
      </c>
      <c r="BY24" s="1" t="str">
        <f>IF(AND(ISNUMBER(AU24),AW24&lt;&gt;"Completed",AW24&lt;&gt;"N/A"),AU24,"")</f>
        <v/>
      </c>
      <c r="BZ24" s="1">
        <f>IF(AND(ISNUMBER(AX24),AZ24&lt;&gt;"Completed",AZ24&lt;&gt;"N/A"),AX24,"")</f>
        <v>46238</v>
      </c>
      <c r="CA24" s="1">
        <f>IF(AND(ISNUMBER(BA24),BC24&lt;&gt;"Completed",BC24&lt;&gt;"N/A"),BA24,"")</f>
        <v>46239</v>
      </c>
      <c r="CB24" s="1" t="str">
        <f>IF(AND(ISNUMBER(BD24),BF24&lt;&gt;"Completed",BF24&lt;&gt;"N/A"),BD24,"")</f>
        <v/>
      </c>
      <c r="CC24" s="1">
        <f>IF(AND(ISNUMBER(O24),P24&lt;&gt;"Completed",P24&lt;&gt;"N/A"),O24,"")</f>
        <v>46244</v>
      </c>
      <c r="CD24" s="1">
        <f>IF(AND(ISNUMBER(BM24),BN24&lt;&gt;"Completed",BN24&lt;&gt;"N/A"),BM24,"")</f>
        <v>46293</v>
      </c>
      <c r="CE24" s="1">
        <f>IF(AND(ISNUMBER(BK24),BL24&lt;&gt;"Completed",BL24&lt;&gt;"N/A"),BK24,"")</f>
        <v>46297</v>
      </c>
      <c r="CF24" s="1">
        <f>IF(AND(ISNUMBER(BI24),BJ24&lt;&gt;"Completed",BJ24&lt;&gt;"N/A"),BI24,"")</f>
        <v>46300</v>
      </c>
      <c r="CG24" s="1">
        <f ca="1">IF(OR(A24="",D24="Completed"),"",IF(N(G24)&gt;0,1/(N(G24)+ROW()/100000),IF(ISNUMBER(F24),1000+F24+ROW()/100000,TODAY()+400+ROW()/100000)))</f>
        <v>5.882269897366154E-2</v>
      </c>
    </row>
    <row r="25" spans="1:85" ht="15.95" customHeight="1">
      <c r="A25" s="10" t="s">
        <v>127</v>
      </c>
      <c r="B25" s="10" t="s">
        <v>98</v>
      </c>
      <c r="C25" s="10" t="s">
        <v>117</v>
      </c>
      <c r="D25" s="11" t="str">
        <f>IF(A25="","",IF(((S25="Blocked")+(V25="Blocked")+(Y25="Blocked")+(AC25="Blocked")+(AI25="Blocked")+(AL25="Blocked")+(AO25="Blocked")+(AR25="Blocked")+(AW25="Blocked")+(AZ25="Blocked")+(BC25="Blocked")+(BF25="Blocked")+(P25="Blocked")+(BJ25="Blocked")+(BL25="Blocked")+(BN25="Blocked")+(BO25="Blocked"))&gt;0,"Blocked",IF((ISNUMBER(Q25)+ISNUMBER(T25)+ISNUMBER(W25)+ISNUMBER(AA25)+ISNUMBER(AG25)+ISNUMBER(AJ25)+ISNUMBER(AM25)+ISNUMBER(AP25)+ISNUMBER(AU25)+ISNUMBER(AX25)+ISNUMBER(BA25)+ISNUMBER(BD25)+ISNUMBER(O25)+ISNUMBER(BI25)+ISNUMBER(BK25)+ISNUMBER(BM25))=0,"Yet to start",IF(AND(OR(NOT(ISNUMBER(Q25)),S25="Completed",S25="N/A"),OR(NOT(ISNUMBER(T25)),V25="Completed",V25="N/A"),OR(NOT(ISNUMBER(W25)),Y25="Completed",Y25="N/A"),OR(NOT(ISNUMBER(AA25)),AC25="Completed",AC25="N/A"),OR(NOT(ISNUMBER(AG25)),AI25="Completed",AI25="N/A"),OR(NOT(ISNUMBER(AJ25)),AL25="Completed",AL25="N/A"),OR(NOT(ISNUMBER(AM25)),AO25="Completed",AO25="N/A"),OR(NOT(ISNUMBER(AP25)),AR25="Completed",AR25="N/A"),OR(NOT(ISNUMBER(AU25)),AW25="Completed",AW25="N/A"),OR(NOT(ISNUMBER(AX25)),AZ25="Completed",AZ25="N/A"),OR(NOT(ISNUMBER(BA25)),BC25="Completed",BC25="N/A"),OR(NOT(ISNUMBER(BD25)),BF25="Completed",BF25="N/A"),OR(NOT(ISNUMBER(O25)),P25="Completed",P25="N/A"),OR(NOT(ISNUMBER(BI25)),BJ25="Completed",BJ25="N/A"),OR(NOT(ISNUMBER(BK25)),BL25="Completed",BL25="N/A"),OR(NOT(ISNUMBER(BM25)),BN25="Completed",BN25="N/A"),OR(BO25="Completed",BO25="N/A")),"Completed",IF(((S25="In Progress")+(V25="In Progress")+(Y25="In Progress")+(AC25="In Progress")+(AI25="In Progress")+(AL25="In Progress")+(AO25="In Progress")+(AR25="In Progress")+(AW25="In Progress")+(AZ25="In Progress")+(BC25="In Progress")+(BF25="In Progress")+(P25="In Progress")+(BJ25="In Progress")+(BL25="In Progress")+(BN25="In Progress")+(BO25="In Progress"))&gt;0,"In Progress","Yet to start")))))</f>
        <v>In Progress</v>
      </c>
      <c r="E25" s="11" t="str">
        <f>IF(A25="","",IF(F25="","All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Review","CAB"},MATCH(F25,BQ25:CF25,0))))</f>
        <v>Prod OUR</v>
      </c>
      <c r="F25" s="12">
        <f>IF(A25="","",IF(COUNT(BQ25:CF25)=0,"",MIN(BQ25:CF25)))</f>
        <v>46238</v>
      </c>
      <c r="G25" s="13">
        <f ca="1">IF(A25="","",MAX(0,IF(AND(ISNUMBER(Q25),S25&lt;&gt;"Completed",S25&lt;&gt;"N/A",Q25&lt;TODAY()),TODAY()-Q25,0),IF(AND(ISNUMBER(T25),V25&lt;&gt;"Completed",V25&lt;&gt;"N/A",T25&lt;TODAY()),TODAY()-T25,0),IF(AND(ISNUMBER(W25),Y25&lt;&gt;"Completed",Y25&lt;&gt;"N/A",W25&lt;TODAY()),TODAY()-W25,0),IF(AND(ISNUMBER(AA25),AC25&lt;&gt;"Completed",AC25&lt;&gt;"N/A",AA25&lt;TODAY()),TODAY()-AA25,0),IF(AND(ISNUMBER(AG25),AI25&lt;&gt;"Completed",AI25&lt;&gt;"N/A",AG25&lt;TODAY()),TODAY()-AG25,0),IF(AND(ISNUMBER(AJ25),AL25&lt;&gt;"Completed",AL25&lt;&gt;"N/A",AJ25&lt;TODAY()),TODAY()-AJ25,0),IF(AND(ISNUMBER(AM25),AO25&lt;&gt;"Completed",AO25&lt;&gt;"N/A",AM25&lt;TODAY()),TODAY()-AM25,0),IF(AND(ISNUMBER(AP25),AR25&lt;&gt;"Completed",AR25&lt;&gt;"N/A",AP25&lt;TODAY()),TODAY()-AP25,0),IF(AND(ISNUMBER(AU25),AW25&lt;&gt;"Completed",AW25&lt;&gt;"N/A",AU25&lt;TODAY()),TODAY()-AU25,0),IF(AND(ISNUMBER(AX25),AZ25&lt;&gt;"Completed",AZ25&lt;&gt;"N/A",AX25&lt;TODAY()),TODAY()-AX25,0),IF(AND(ISNUMBER(BA25),BC25&lt;&gt;"Completed",BC25&lt;&gt;"N/A",BA25&lt;TODAY()),TODAY()-BA25,0),IF(AND(ISNUMBER(BD25),BF25&lt;&gt;"Completed",BF25&lt;&gt;"N/A",BD25&lt;TODAY()),TODAY()-BD25,0),IF(AND(ISNUMBER(O25),P25&lt;&gt;"Completed",P25&lt;&gt;"N/A",O25&lt;TODAY()),TODAY()-O25,0),IF(AND(ISNUMBER(BM25),BN25&lt;&gt;"Completed",BN25&lt;&gt;"N/A",BM25&lt;TODAY()),TODAY()-BM25,0),IF(AND(ISNUMBER(BK25),BL25&lt;&gt;"Completed",BL25&lt;&gt;"N/A",BK25&lt;TODAY()),TODAY()-BK25,0),IF(AND(ISNUMBER(BI25),BJ25&lt;&gt;"Completed",BJ25&lt;&gt;"N/A",BI25&lt;TODAY()),TODAY()-BI25,0)))</f>
        <v>17</v>
      </c>
      <c r="H25" s="14">
        <v>46246</v>
      </c>
      <c r="I25" s="14">
        <v>46259</v>
      </c>
      <c r="J25" s="15">
        <v>46300</v>
      </c>
      <c r="K25" s="12">
        <f>IF(ISNUMBER(H25),H25,IF(ISNUMBER(M25),M25-WEEKDAY(M25,2)+1-7,""))</f>
        <v>46246</v>
      </c>
      <c r="L25" s="12">
        <f>IF(ISNUMBER(I25),I25,IF(ISNUMBER(H25),WORKDAY(H25,SprintWorkingDays-1),IF(ISNUMBER(K25),WORKDAY(K25,SprintWorkingDays-1),"")))</f>
        <v>46259</v>
      </c>
      <c r="M25" s="12">
        <f>IF(ISNUMBER(J25),J25,IF(ISNUMBER(I25),I25-IF(OR(WEEKDAY(I25,2)=2,WEEKDAY(I25,2)=4),0,IF(WEEKDAY(I25,2)=3,1,IF(WEEKDAY(I25,2)=1,4,WEEKDAY(I25,2)-4))),IF(ISNUMBER(H25),WORKDAY(H25,SprintWorkingDays-1)-IF(OR(WEEKDAY(WORKDAY(H25,SprintWorkingDays-1),2)=2,WEEKDAY(WORKDAY(H25,SprintWorkingDays-1),2)=4),0,IF(WEEKDAY(WORKDAY(H25,SprintWorkingDays-1),2)=3,1,IF(WEEKDAY(WORKDAY(H25,SprintWorkingDays-1),2)=1,4,WEEKDAY(WORKDAY(H25,SprintWorkingDays-1),2)-4))),"")))</f>
        <v>46300</v>
      </c>
      <c r="N25" s="12">
        <f>IF(NOT(ISNUMBER(K25)),"",WORKDAY(K25,ReadyOffsetWD))</f>
        <v>46245</v>
      </c>
      <c r="O25" s="12">
        <f>IF(NOT(ISNUMBER(K25)),"",WORKDAY(K25,SprintReadinessOffsetWD))</f>
        <v>46244</v>
      </c>
      <c r="P25" s="10" t="s">
        <v>30</v>
      </c>
      <c r="Q25" s="12">
        <f>IF(A25="","",IF(V25="N/A",IF(NOT(ISNUMBER(W25)),"",WORKDAY(W25,RTSKOffsetFromOUR_WD)),IF(NOT(ISNUMBER(T25)),"",WORKDAY(T25,RTSKOffsetFromOUR_WD))))</f>
        <v>46234</v>
      </c>
      <c r="R25" s="15">
        <v>46246</v>
      </c>
      <c r="S25" s="10" t="s">
        <v>32</v>
      </c>
      <c r="T25" s="12">
        <f>IF(OR(A25="",V25="N/A"),"",IF(NOT(ISNUMBER(W25)),"",WORKDAY(W25,OUROffsetFromSR_WD)))</f>
        <v>46238</v>
      </c>
      <c r="U25" s="15">
        <v>46234</v>
      </c>
      <c r="V25" s="10" t="s">
        <v>32</v>
      </c>
      <c r="W25" s="12">
        <f>IF(OR(A25="",NOT(ISNUMBER(K25))),"",WORKDAY(K25,SROffsetFromStartWD))</f>
        <v>46239</v>
      </c>
      <c r="X25" s="15">
        <v>46234</v>
      </c>
      <c r="Y25" s="10" t="s">
        <v>32</v>
      </c>
      <c r="Z25" s="10" t="s">
        <v>100</v>
      </c>
      <c r="AA25" s="12" t="str">
        <f>IF(OR(Z25="",Z25="N/A"),"",IF(ISNUMBER(Q25),Q25,""))</f>
        <v/>
      </c>
      <c r="AB25" s="15"/>
      <c r="AC25" s="10"/>
      <c r="AD25" s="10"/>
      <c r="AE25" s="10"/>
      <c r="AF25" s="10" t="str">
        <f>IF(Z25="N/A","N/A","")</f>
        <v>N/A</v>
      </c>
      <c r="AG25" s="12">
        <f>IF(NOT(ISNUMBER(Q25)),"",Q25)</f>
        <v>46234</v>
      </c>
      <c r="AH25" s="12">
        <v>46239</v>
      </c>
      <c r="AI25" s="10" t="s">
        <v>32</v>
      </c>
      <c r="AJ25" s="12">
        <f>IF(OR(AL25="N/A",NOT(ISNUMBER(T25))),"",T25)</f>
        <v>46238</v>
      </c>
      <c r="AK25" s="15">
        <v>46239</v>
      </c>
      <c r="AL25" s="10" t="s">
        <v>32</v>
      </c>
      <c r="AM25" s="12">
        <f>IF(NOT(ISNUMBER(W25)),"",W25)</f>
        <v>46239</v>
      </c>
      <c r="AN25" s="15">
        <v>46239</v>
      </c>
      <c r="AO25" s="10" t="s">
        <v>32</v>
      </c>
      <c r="AP25" s="12" t="str">
        <f>IF(OR(Z25="",Z25="N/A"),"",IF(ISNUMBER(AG25),AG25,""))</f>
        <v/>
      </c>
      <c r="AQ25" s="15"/>
      <c r="AR25" s="10"/>
      <c r="AS25" s="10"/>
      <c r="AT25" s="10"/>
      <c r="AU25" s="12">
        <f>IF(NOT(ISNUMBER(Q25)),"",Q25)</f>
        <v>46234</v>
      </c>
      <c r="AV25" s="15"/>
      <c r="AW25" s="10" t="s">
        <v>32</v>
      </c>
      <c r="AX25" s="12">
        <f>IF(OR(AZ25="N/A",NOT(ISNUMBER(T25))),"",T25)</f>
        <v>46238</v>
      </c>
      <c r="AY25" s="15"/>
      <c r="AZ25" s="10"/>
      <c r="BA25" s="12">
        <f>IF(NOT(ISNUMBER(W25)),"",W25)</f>
        <v>46239</v>
      </c>
      <c r="BB25" s="15"/>
      <c r="BC25" s="10"/>
      <c r="BD25" s="12" t="str">
        <f>IF(OR(Z25="",Z25="N/A"),"",IF(ISNUMBER(AU25),AU25,""))</f>
        <v/>
      </c>
      <c r="BE25" s="15"/>
      <c r="BF25" s="10"/>
      <c r="BG25" s="10"/>
      <c r="BH25" s="10"/>
      <c r="BI25" s="12">
        <v>46300</v>
      </c>
      <c r="BJ25" s="10"/>
      <c r="BK25" s="12">
        <f>IF(NOT(ISNUMBER(BI25)),"",IF(WEEKDAY(BI25-CodeReviewCalendarDays,2)&gt;5,BI25-CodeReviewCalendarDays-(WEEKDAY(BI25-CodeReviewCalendarDays,2)-5),BI25-CodeReviewCalendarDays))</f>
        <v>46297</v>
      </c>
      <c r="BL25" s="10"/>
      <c r="BM25" s="12">
        <f>IF(NOT(ISNUMBER(BK25)),"",IF(WEEKDAY(BK25-CodeReviewInviteCalendarDays,2)&gt;5,BK25-CodeReviewInviteCalendarDays-(WEEKDAY(BK25-CodeReviewInviteCalendarDays,2)-5),BK25-CodeReviewInviteCalendarDays))</f>
        <v>46293</v>
      </c>
      <c r="BN25" s="10"/>
      <c r="BO25" s="10"/>
      <c r="BP25" s="16" t="str">
        <f ca="1">IF(A25="","",IF(IF(AND(ISNUMBER(J25),WEEKDAY(J25,2)&lt;&gt;2,WEEKDAY(J25,2)&lt;&gt;4)," | Release must be Tuesday or Thursday","")&amp;IF(AND(ISNUMBER(H25),WEEKDAY(H25,2)&lt;&gt;1)," | Sprint Start is not a Monday - dates still calculated from the date entered","")&amp;IF(AND(A25&lt;&gt;"",NOT(ISNUMBER(H25)),NOT(ISNUMBER(J25)))," | Enter Sprint Start or Release Date","")&amp;IF(AND(ISNUMBER(F25),F25&lt;TODAY(),D25&lt;&gt;"Completed")," | One or more raise-by dates are in the past and not completed","")&amp;IF(AND(ISNUMBER(K25),K25-TODAY()&lt;SprintWarningDays,K25&gt;=TODAY(),OR(D25="Yet to start",D25="Blocked"))," | Sprint starts in under 10 days - raise access requests now","")&amp;IF(AND(ISNUMBER(BM25),BN25&lt;&gt;"Completed",BN25&lt;&gt;"N/A",BM25-TODAY()&lt;CodeReviewInviteCalendarDays)," | Code Review invite should be sent at least 4 days before Code Review","")="","",MID(IF(AND(ISNUMBER(J25),WEEKDAY(J25,2)&lt;&gt;2,WEEKDAY(J25,2)&lt;&gt;4)," | Release must be Tuesday or Thursday","")&amp;IF(AND(ISNUMBER(H25),WEEKDAY(H25,2)&lt;&gt;1)," | Sprint Start is not a Monday - dates still calculated from the date entered","")&amp;IF(AND(A25&lt;&gt;"",NOT(ISNUMBER(H25)),NOT(ISNUMBER(J25)))," | Enter Sprint Start or Release Date","")&amp;IF(AND(ISNUMBER(F25),F25&lt;TODAY(),D25&lt;&gt;"Completed")," | One or more raise-by dates are in the past and not completed","")&amp;IF(AND(ISNUMBER(K25),K25-TODAY()&lt;SprintWarningDays,K25&gt;=TODAY(),OR(D25="Yet to start",D25="Blocked"))," | Sprint starts in under 10 days - raise access requests now","")&amp;IF(AND(ISNUMBER(BM25),BN25&lt;&gt;"Completed",BN25&lt;&gt;"N/A",BM25-TODAY()&lt;CodeReviewInviteCalendarDays),"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25" s="1" t="str">
        <f>IF(AND(ISNUMBER(Q25),S25&lt;&gt;"Completed",S25&lt;&gt;"N/A"),Q25,"")</f>
        <v/>
      </c>
      <c r="BR25" s="1" t="str">
        <f>IF(AND(ISNUMBER(T25),V25&lt;&gt;"Completed",V25&lt;&gt;"N/A"),T25,"")</f>
        <v/>
      </c>
      <c r="BS25" s="1" t="str">
        <f>IF(AND(ISNUMBER(W25),Y25&lt;&gt;"Completed",Y25&lt;&gt;"N/A"),W25,"")</f>
        <v/>
      </c>
      <c r="BT25" s="1" t="str">
        <f>IF(AND(ISNUMBER(AA25),AC25&lt;&gt;"Completed",AC25&lt;&gt;"N/A"),AA25,"")</f>
        <v/>
      </c>
      <c r="BU25" s="1" t="str">
        <f>IF(AND(ISNUMBER(AG25),AI25&lt;&gt;"Completed",AI25&lt;&gt;"N/A"),AG25,"")</f>
        <v/>
      </c>
      <c r="BV25" s="1" t="str">
        <f>IF(AND(ISNUMBER(AJ25),AL25&lt;&gt;"Completed",AL25&lt;&gt;"N/A"),AJ25,"")</f>
        <v/>
      </c>
      <c r="BW25" s="1" t="str">
        <f>IF(AND(ISNUMBER(AM25),AO25&lt;&gt;"Completed",AO25&lt;&gt;"N/A"),AM25,"")</f>
        <v/>
      </c>
      <c r="BX25" s="1" t="str">
        <f>IF(AND(ISNUMBER(AP25),AR25&lt;&gt;"Completed",AR25&lt;&gt;"N/A"),AP25,"")</f>
        <v/>
      </c>
      <c r="BY25" s="1" t="str">
        <f>IF(AND(ISNUMBER(AU25),AW25&lt;&gt;"Completed",AW25&lt;&gt;"N/A"),AU25,"")</f>
        <v/>
      </c>
      <c r="BZ25" s="1">
        <f>IF(AND(ISNUMBER(AX25),AZ25&lt;&gt;"Completed",AZ25&lt;&gt;"N/A"),AX25,"")</f>
        <v>46238</v>
      </c>
      <c r="CA25" s="1">
        <f>IF(AND(ISNUMBER(BA25),BC25&lt;&gt;"Completed",BC25&lt;&gt;"N/A"),BA25,"")</f>
        <v>46239</v>
      </c>
      <c r="CB25" s="1" t="str">
        <f>IF(AND(ISNUMBER(BD25),BF25&lt;&gt;"Completed",BF25&lt;&gt;"N/A"),BD25,"")</f>
        <v/>
      </c>
      <c r="CC25" s="1">
        <f>IF(AND(ISNUMBER(O25),P25&lt;&gt;"Completed",P25&lt;&gt;"N/A"),O25,"")</f>
        <v>46244</v>
      </c>
      <c r="CD25" s="1">
        <f>IF(AND(ISNUMBER(BM25),BN25&lt;&gt;"Completed",BN25&lt;&gt;"N/A"),BM25,"")</f>
        <v>46293</v>
      </c>
      <c r="CE25" s="1">
        <f>IF(AND(ISNUMBER(BK25),BL25&lt;&gt;"Completed",BL25&lt;&gt;"N/A"),BK25,"")</f>
        <v>46297</v>
      </c>
      <c r="CF25" s="1">
        <f>IF(AND(ISNUMBER(BI25),BJ25&lt;&gt;"Completed",BJ25&lt;&gt;"N/A"),BI25,"")</f>
        <v>46300</v>
      </c>
      <c r="CG25" s="1">
        <f ca="1">IF(OR(A25="",D25="Completed"),"",IF(N(G25)&gt;0,1/(N(G25)+ROW()/100000),IF(ISNUMBER(F25),1000+F25+ROW()/100000,TODAY()+400+ROW()/100000)))</f>
        <v>5.8822664372582753E-2</v>
      </c>
    </row>
    <row r="26" spans="1:85" ht="15.95" customHeight="1">
      <c r="A26" s="10" t="s">
        <v>128</v>
      </c>
      <c r="B26" s="10" t="s">
        <v>98</v>
      </c>
      <c r="C26" s="10" t="s">
        <v>117</v>
      </c>
      <c r="D26" s="11" t="str">
        <f>IF(A26="","",IF(((S26="Blocked")+(V26="Blocked")+(Y26="Blocked")+(AC26="Blocked")+(AI26="Blocked")+(AL26="Blocked")+(AO26="Blocked")+(AR26="Blocked")+(AW26="Blocked")+(AZ26="Blocked")+(BC26="Blocked")+(BF26="Blocked")+(P26="Blocked")+(BJ26="Blocked")+(BL26="Blocked")+(BN26="Blocked")+(BO26="Blocked"))&gt;0,"Blocked",IF((ISNUMBER(Q26)+ISNUMBER(T26)+ISNUMBER(W26)+ISNUMBER(AA26)+ISNUMBER(AG26)+ISNUMBER(AJ26)+ISNUMBER(AM26)+ISNUMBER(AP26)+ISNUMBER(AU26)+ISNUMBER(AX26)+ISNUMBER(BA26)+ISNUMBER(BD26)+ISNUMBER(O26)+ISNUMBER(BI26)+ISNUMBER(BK26)+ISNUMBER(BM26))=0,"Yet to start",IF(AND(OR(NOT(ISNUMBER(Q26)),S26="Completed",S26="N/A"),OR(NOT(ISNUMBER(T26)),V26="Completed",V26="N/A"),OR(NOT(ISNUMBER(W26)),Y26="Completed",Y26="N/A"),OR(NOT(ISNUMBER(AA26)),AC26="Completed",AC26="N/A"),OR(NOT(ISNUMBER(AG26)),AI26="Completed",AI26="N/A"),OR(NOT(ISNUMBER(AJ26)),AL26="Completed",AL26="N/A"),OR(NOT(ISNUMBER(AM26)),AO26="Completed",AO26="N/A"),OR(NOT(ISNUMBER(AP26)),AR26="Completed",AR26="N/A"),OR(NOT(ISNUMBER(AU26)),AW26="Completed",AW26="N/A"),OR(NOT(ISNUMBER(AX26)),AZ26="Completed",AZ26="N/A"),OR(NOT(ISNUMBER(BA26)),BC26="Completed",BC26="N/A"),OR(NOT(ISNUMBER(BD26)),BF26="Completed",BF26="N/A"),OR(NOT(ISNUMBER(O26)),P26="Completed",P26="N/A"),OR(NOT(ISNUMBER(BI26)),BJ26="Completed",BJ26="N/A"),OR(NOT(ISNUMBER(BK26)),BL26="Completed",BL26="N/A"),OR(NOT(ISNUMBER(BM26)),BN26="Completed",BN26="N/A"),OR(BO26="Completed",BO26="N/A")),"Completed",IF(((S26="In Progress")+(V26="In Progress")+(Y26="In Progress")+(AC26="In Progress")+(AI26="In Progress")+(AL26="In Progress")+(AO26="In Progress")+(AR26="In Progress")+(AW26="In Progress")+(AZ26="In Progress")+(BC26="In Progress")+(BF26="In Progress")+(P26="In Progress")+(BJ26="In Progress")+(BL26="In Progress")+(BN26="In Progress")+(BO26="In Progress"))&gt;0,"In Progress","Yet to start")))))</f>
        <v>In Progress</v>
      </c>
      <c r="E26" s="11" t="str">
        <f>IF(A26="","",IF(F26="","All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Review","CAB"},MATCH(F26,BQ26:CF26,0))))</f>
        <v>Prod OUR</v>
      </c>
      <c r="F26" s="12">
        <f>IF(A26="","",IF(COUNT(BQ26:CF26)=0,"",MIN(BQ26:CF26)))</f>
        <v>46238</v>
      </c>
      <c r="G26" s="13">
        <f ca="1">IF(A26="","",MAX(0,IF(AND(ISNUMBER(Q26),S26&lt;&gt;"Completed",S26&lt;&gt;"N/A",Q26&lt;TODAY()),TODAY()-Q26,0),IF(AND(ISNUMBER(T26),V26&lt;&gt;"Completed",V26&lt;&gt;"N/A",T26&lt;TODAY()),TODAY()-T26,0),IF(AND(ISNUMBER(W26),Y26&lt;&gt;"Completed",Y26&lt;&gt;"N/A",W26&lt;TODAY()),TODAY()-W26,0),IF(AND(ISNUMBER(AA26),AC26&lt;&gt;"Completed",AC26&lt;&gt;"N/A",AA26&lt;TODAY()),TODAY()-AA26,0),IF(AND(ISNUMBER(AG26),AI26&lt;&gt;"Completed",AI26&lt;&gt;"N/A",AG26&lt;TODAY()),TODAY()-AG26,0),IF(AND(ISNUMBER(AJ26),AL26&lt;&gt;"Completed",AL26&lt;&gt;"N/A",AJ26&lt;TODAY()),TODAY()-AJ26,0),IF(AND(ISNUMBER(AM26),AO26&lt;&gt;"Completed",AO26&lt;&gt;"N/A",AM26&lt;TODAY()),TODAY()-AM26,0),IF(AND(ISNUMBER(AP26),AR26&lt;&gt;"Completed",AR26&lt;&gt;"N/A",AP26&lt;TODAY()),TODAY()-AP26,0),IF(AND(ISNUMBER(AU26),AW26&lt;&gt;"Completed",AW26&lt;&gt;"N/A",AU26&lt;TODAY()),TODAY()-AU26,0),IF(AND(ISNUMBER(AX26),AZ26&lt;&gt;"Completed",AZ26&lt;&gt;"N/A",AX26&lt;TODAY()),TODAY()-AX26,0),IF(AND(ISNUMBER(BA26),BC26&lt;&gt;"Completed",BC26&lt;&gt;"N/A",BA26&lt;TODAY()),TODAY()-BA26,0),IF(AND(ISNUMBER(BD26),BF26&lt;&gt;"Completed",BF26&lt;&gt;"N/A",BD26&lt;TODAY()),TODAY()-BD26,0),IF(AND(ISNUMBER(O26),P26&lt;&gt;"Completed",P26&lt;&gt;"N/A",O26&lt;TODAY()),TODAY()-O26,0),IF(AND(ISNUMBER(BM26),BN26&lt;&gt;"Completed",BN26&lt;&gt;"N/A",BM26&lt;TODAY()),TODAY()-BM26,0),IF(AND(ISNUMBER(BK26),BL26&lt;&gt;"Completed",BL26&lt;&gt;"N/A",BK26&lt;TODAY()),TODAY()-BK26,0),IF(AND(ISNUMBER(BI26),BJ26&lt;&gt;"Completed",BJ26&lt;&gt;"N/A",BI26&lt;TODAY()),TODAY()-BI26,0)))</f>
        <v>17</v>
      </c>
      <c r="H26" s="14">
        <v>46246</v>
      </c>
      <c r="I26" s="14">
        <v>46259</v>
      </c>
      <c r="J26" s="15">
        <v>46300</v>
      </c>
      <c r="K26" s="12">
        <f>IF(ISNUMBER(H26),H26,IF(ISNUMBER(M26),M26-WEEKDAY(M26,2)+1-7,""))</f>
        <v>46246</v>
      </c>
      <c r="L26" s="12">
        <f>IF(ISNUMBER(I26),I26,IF(ISNUMBER(H26),WORKDAY(H26,SprintWorkingDays-1),IF(ISNUMBER(K26),WORKDAY(K26,SprintWorkingDays-1),"")))</f>
        <v>46259</v>
      </c>
      <c r="M26" s="12">
        <f>IF(ISNUMBER(J26),J26,IF(ISNUMBER(I26),I26-IF(OR(WEEKDAY(I26,2)=2,WEEKDAY(I26,2)=4),0,IF(WEEKDAY(I26,2)=3,1,IF(WEEKDAY(I26,2)=1,4,WEEKDAY(I26,2)-4))),IF(ISNUMBER(H26),WORKDAY(H26,SprintWorkingDays-1)-IF(OR(WEEKDAY(WORKDAY(H26,SprintWorkingDays-1),2)=2,WEEKDAY(WORKDAY(H26,SprintWorkingDays-1),2)=4),0,IF(WEEKDAY(WORKDAY(H26,SprintWorkingDays-1),2)=3,1,IF(WEEKDAY(WORKDAY(H26,SprintWorkingDays-1),2)=1,4,WEEKDAY(WORKDAY(H26,SprintWorkingDays-1),2)-4))),"")))</f>
        <v>46300</v>
      </c>
      <c r="N26" s="12">
        <f>IF(NOT(ISNUMBER(K26)),"",WORKDAY(K26,ReadyOffsetWD))</f>
        <v>46245</v>
      </c>
      <c r="O26" s="12">
        <f>IF(NOT(ISNUMBER(K26)),"",WORKDAY(K26,SprintReadinessOffsetWD))</f>
        <v>46244</v>
      </c>
      <c r="P26" s="10" t="s">
        <v>30</v>
      </c>
      <c r="Q26" s="12">
        <f>IF(A26="","",IF(V26="N/A",IF(NOT(ISNUMBER(W26)),"",WORKDAY(W26,RTSKOffsetFromOUR_WD)),IF(NOT(ISNUMBER(T26)),"",WORKDAY(T26,RTSKOffsetFromOUR_WD))))</f>
        <v>46234</v>
      </c>
      <c r="R26" s="15">
        <v>46246</v>
      </c>
      <c r="S26" s="10" t="s">
        <v>32</v>
      </c>
      <c r="T26" s="12">
        <f>IF(OR(A26="",V26="N/A"),"",IF(NOT(ISNUMBER(W26)),"",WORKDAY(W26,OUROffsetFromSR_WD)))</f>
        <v>46238</v>
      </c>
      <c r="U26" s="15">
        <v>46234</v>
      </c>
      <c r="V26" s="10" t="s">
        <v>32</v>
      </c>
      <c r="W26" s="12">
        <f>IF(OR(A26="",NOT(ISNUMBER(K26))),"",WORKDAY(K26,SROffsetFromStartWD))</f>
        <v>46239</v>
      </c>
      <c r="X26" s="15">
        <v>46234</v>
      </c>
      <c r="Y26" s="10" t="s">
        <v>32</v>
      </c>
      <c r="Z26" s="10" t="s">
        <v>100</v>
      </c>
      <c r="AA26" s="12" t="str">
        <f>IF(OR(Z26="",Z26="N/A"),"",IF(ISNUMBER(Q26),Q26,""))</f>
        <v/>
      </c>
      <c r="AB26" s="15"/>
      <c r="AC26" s="10"/>
      <c r="AD26" s="10"/>
      <c r="AE26" s="10"/>
      <c r="AF26" s="10" t="str">
        <f>IF(Z26="N/A","N/A","")</f>
        <v>N/A</v>
      </c>
      <c r="AG26" s="12">
        <f>IF(NOT(ISNUMBER(Q26)),"",Q26)</f>
        <v>46234</v>
      </c>
      <c r="AH26" s="12">
        <v>46239</v>
      </c>
      <c r="AI26" s="10" t="s">
        <v>32</v>
      </c>
      <c r="AJ26" s="12">
        <f>IF(OR(AL26="N/A",NOT(ISNUMBER(T26))),"",T26)</f>
        <v>46238</v>
      </c>
      <c r="AK26" s="15">
        <v>46239</v>
      </c>
      <c r="AL26" s="10" t="s">
        <v>32</v>
      </c>
      <c r="AM26" s="12">
        <f>IF(NOT(ISNUMBER(W26)),"",W26)</f>
        <v>46239</v>
      </c>
      <c r="AN26" s="15">
        <v>46239</v>
      </c>
      <c r="AO26" s="10" t="s">
        <v>32</v>
      </c>
      <c r="AP26" s="12" t="str">
        <f>IF(OR(Z26="",Z26="N/A"),"",IF(ISNUMBER(AG26),AG26,""))</f>
        <v/>
      </c>
      <c r="AQ26" s="15"/>
      <c r="AR26" s="10"/>
      <c r="AS26" s="10"/>
      <c r="AT26" s="10"/>
      <c r="AU26" s="12">
        <f>IF(NOT(ISNUMBER(Q26)),"",Q26)</f>
        <v>46234</v>
      </c>
      <c r="AV26" s="15"/>
      <c r="AW26" s="10" t="s">
        <v>32</v>
      </c>
      <c r="AX26" s="12">
        <f>IF(OR(AZ26="N/A",NOT(ISNUMBER(T26))),"",T26)</f>
        <v>46238</v>
      </c>
      <c r="AY26" s="15"/>
      <c r="AZ26" s="10"/>
      <c r="BA26" s="12">
        <f>IF(NOT(ISNUMBER(W26)),"",W26)</f>
        <v>46239</v>
      </c>
      <c r="BB26" s="15"/>
      <c r="BC26" s="10"/>
      <c r="BD26" s="12" t="str">
        <f>IF(OR(Z26="",Z26="N/A"),"",IF(ISNUMBER(AU26),AU26,""))</f>
        <v/>
      </c>
      <c r="BE26" s="15"/>
      <c r="BF26" s="10"/>
      <c r="BG26" s="10"/>
      <c r="BH26" s="10"/>
      <c r="BI26" s="12">
        <v>46300</v>
      </c>
      <c r="BJ26" s="10"/>
      <c r="BK26" s="12">
        <f>IF(NOT(ISNUMBER(BI26)),"",IF(WEEKDAY(BI26-CodeReviewCalendarDays,2)&gt;5,BI26-CodeReviewCalendarDays-(WEEKDAY(BI26-CodeReviewCalendarDays,2)-5),BI26-CodeReviewCalendarDays))</f>
        <v>46297</v>
      </c>
      <c r="BL26" s="10"/>
      <c r="BM26" s="12">
        <f>IF(NOT(ISNUMBER(BK26)),"",IF(WEEKDAY(BK26-CodeReviewInviteCalendarDays,2)&gt;5,BK26-CodeReviewInviteCalendarDays-(WEEKDAY(BK26-CodeReviewInviteCalendarDays,2)-5),BK26-CodeReviewInviteCalendarDays))</f>
        <v>46293</v>
      </c>
      <c r="BN26" s="10"/>
      <c r="BO26" s="10"/>
      <c r="BP26" s="16" t="str">
        <f ca="1">IF(A26="","",IF(IF(AND(ISNUMBER(J26),WEEKDAY(J26,2)&lt;&gt;2,WEEKDAY(J26,2)&lt;&gt;4)," | Release must be Tuesday or Thursday","")&amp;IF(AND(ISNUMBER(H26),WEEKDAY(H26,2)&lt;&gt;1)," | Sprint Start is not a Monday - dates still calculated from the date entered","")&amp;IF(AND(A26&lt;&gt;"",NOT(ISNUMBER(H26)),NOT(ISNUMBER(J26)))," | Enter Sprint Start or Release Date","")&amp;IF(AND(ISNUMBER(F26),F26&lt;TODAY(),D26&lt;&gt;"Completed")," | One or more raise-by dates are in the past and not completed","")&amp;IF(AND(ISNUMBER(K26),K26-TODAY()&lt;SprintWarningDays,K26&gt;=TODAY(),OR(D26="Yet to start",D26="Blocked"))," | Sprint starts in under 10 days - raise access requests now","")&amp;IF(AND(ISNUMBER(BM26),BN26&lt;&gt;"Completed",BN26&lt;&gt;"N/A",BM26-TODAY()&lt;CodeReviewInviteCalendarDays)," | Code Review invite should be sent at least 4 days before Code Review","")="","",MID(IF(AND(ISNUMBER(J26),WEEKDAY(J26,2)&lt;&gt;2,WEEKDAY(J26,2)&lt;&gt;4)," | Release must be Tuesday or Thursday","")&amp;IF(AND(ISNUMBER(H26),WEEKDAY(H26,2)&lt;&gt;1)," | Sprint Start is not a Monday - dates still calculated from the date entered","")&amp;IF(AND(A26&lt;&gt;"",NOT(ISNUMBER(H26)),NOT(ISNUMBER(J26)))," | Enter Sprint Start or Release Date","")&amp;IF(AND(ISNUMBER(F26),F26&lt;TODAY(),D26&lt;&gt;"Completed")," | One or more raise-by dates are in the past and not completed","")&amp;IF(AND(ISNUMBER(K26),K26-TODAY()&lt;SprintWarningDays,K26&gt;=TODAY(),OR(D26="Yet to start",D26="Blocked"))," | Sprint starts in under 10 days - raise access requests now","")&amp;IF(AND(ISNUMBER(BM26),BN26&lt;&gt;"Completed",BN26&lt;&gt;"N/A",BM26-TODAY()&lt;CodeReviewInviteCalendarDays),"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26" s="1" t="str">
        <f>IF(AND(ISNUMBER(Q26),S26&lt;&gt;"Completed",S26&lt;&gt;"N/A"),Q26,"")</f>
        <v/>
      </c>
      <c r="BR26" s="1" t="str">
        <f>IF(AND(ISNUMBER(T26),V26&lt;&gt;"Completed",V26&lt;&gt;"N/A"),T26,"")</f>
        <v/>
      </c>
      <c r="BS26" s="1" t="str">
        <f>IF(AND(ISNUMBER(W26),Y26&lt;&gt;"Completed",Y26&lt;&gt;"N/A"),W26,"")</f>
        <v/>
      </c>
      <c r="BT26" s="1" t="str">
        <f>IF(AND(ISNUMBER(AA26),AC26&lt;&gt;"Completed",AC26&lt;&gt;"N/A"),AA26,"")</f>
        <v/>
      </c>
      <c r="BU26" s="1" t="str">
        <f>IF(AND(ISNUMBER(AG26),AI26&lt;&gt;"Completed",AI26&lt;&gt;"N/A"),AG26,"")</f>
        <v/>
      </c>
      <c r="BV26" s="1" t="str">
        <f>IF(AND(ISNUMBER(AJ26),AL26&lt;&gt;"Completed",AL26&lt;&gt;"N/A"),AJ26,"")</f>
        <v/>
      </c>
      <c r="BW26" s="1" t="str">
        <f>IF(AND(ISNUMBER(AM26),AO26&lt;&gt;"Completed",AO26&lt;&gt;"N/A"),AM26,"")</f>
        <v/>
      </c>
      <c r="BX26" s="1" t="str">
        <f>IF(AND(ISNUMBER(AP26),AR26&lt;&gt;"Completed",AR26&lt;&gt;"N/A"),AP26,"")</f>
        <v/>
      </c>
      <c r="BY26" s="1" t="str">
        <f>IF(AND(ISNUMBER(AU26),AW26&lt;&gt;"Completed",AW26&lt;&gt;"N/A"),AU26,"")</f>
        <v/>
      </c>
      <c r="BZ26" s="1">
        <f>IF(AND(ISNUMBER(AX26),AZ26&lt;&gt;"Completed",AZ26&lt;&gt;"N/A"),AX26,"")</f>
        <v>46238</v>
      </c>
      <c r="CA26" s="1">
        <f>IF(AND(ISNUMBER(BA26),BC26&lt;&gt;"Completed",BC26&lt;&gt;"N/A"),BA26,"")</f>
        <v>46239</v>
      </c>
      <c r="CB26" s="1" t="str">
        <f>IF(AND(ISNUMBER(BD26),BF26&lt;&gt;"Completed",BF26&lt;&gt;"N/A"),BD26,"")</f>
        <v/>
      </c>
      <c r="CC26" s="1">
        <f>IF(AND(ISNUMBER(O26),P26&lt;&gt;"Completed",P26&lt;&gt;"N/A"),O26,"")</f>
        <v>46244</v>
      </c>
      <c r="CD26" s="1">
        <f>IF(AND(ISNUMBER(BM26),BN26&lt;&gt;"Completed",BN26&lt;&gt;"N/A"),BM26,"")</f>
        <v>46293</v>
      </c>
      <c r="CE26" s="1">
        <f>IF(AND(ISNUMBER(BK26),BL26&lt;&gt;"Completed",BL26&lt;&gt;"N/A"),BK26,"")</f>
        <v>46297</v>
      </c>
      <c r="CF26" s="1">
        <f>IF(AND(ISNUMBER(BI26),BJ26&lt;&gt;"Completed",BJ26&lt;&gt;"N/A"),BI26,"")</f>
        <v>46300</v>
      </c>
      <c r="CG26" s="1">
        <f ca="1">IF(OR(A26="",D26="Completed"),"",IF(N(G26)&gt;0,1/(N(G26)+ROW()/100000),IF(ISNUMBER(F26),1000+F26+ROW()/100000,TODAY()+400+ROW()/100000)))</f>
        <v>5.882262977154467E-2</v>
      </c>
    </row>
    <row r="27" spans="1:85" ht="15.95" customHeight="1">
      <c r="A27" s="10" t="s">
        <v>129</v>
      </c>
      <c r="B27" s="10" t="s">
        <v>98</v>
      </c>
      <c r="C27" s="10" t="s">
        <v>117</v>
      </c>
      <c r="D27" s="11" t="str">
        <f>IF(A27="","",IF(((S27="Blocked")+(V27="Blocked")+(Y27="Blocked")+(AC27="Blocked")+(AI27="Blocked")+(AL27="Blocked")+(AO27="Blocked")+(AR27="Blocked")+(AW27="Blocked")+(AZ27="Blocked")+(BC27="Blocked")+(BF27="Blocked")+(P27="Blocked")+(BJ27="Blocked")+(BL27="Blocked")+(BN27="Blocked")+(BO27="Blocked"))&gt;0,"Blocked",IF((ISNUMBER(Q27)+ISNUMBER(T27)+ISNUMBER(W27)+ISNUMBER(AA27)+ISNUMBER(AG27)+ISNUMBER(AJ27)+ISNUMBER(AM27)+ISNUMBER(AP27)+ISNUMBER(AU27)+ISNUMBER(AX27)+ISNUMBER(BA27)+ISNUMBER(BD27)+ISNUMBER(O27)+ISNUMBER(BI27)+ISNUMBER(BK27)+ISNUMBER(BM27))=0,"Yet to start",IF(AND(OR(NOT(ISNUMBER(Q27)),S27="Completed",S27="N/A"),OR(NOT(ISNUMBER(T27)),V27="Completed",V27="N/A"),OR(NOT(ISNUMBER(W27)),Y27="Completed",Y27="N/A"),OR(NOT(ISNUMBER(AA27)),AC27="Completed",AC27="N/A"),OR(NOT(ISNUMBER(AG27)),AI27="Completed",AI27="N/A"),OR(NOT(ISNUMBER(AJ27)),AL27="Completed",AL27="N/A"),OR(NOT(ISNUMBER(AM27)),AO27="Completed",AO27="N/A"),OR(NOT(ISNUMBER(AP27)),AR27="Completed",AR27="N/A"),OR(NOT(ISNUMBER(AU27)),AW27="Completed",AW27="N/A"),OR(NOT(ISNUMBER(AX27)),AZ27="Completed",AZ27="N/A"),OR(NOT(ISNUMBER(BA27)),BC27="Completed",BC27="N/A"),OR(NOT(ISNUMBER(BD27)),BF27="Completed",BF27="N/A"),OR(NOT(ISNUMBER(O27)),P27="Completed",P27="N/A"),OR(NOT(ISNUMBER(BI27)),BJ27="Completed",BJ27="N/A"),OR(NOT(ISNUMBER(BK27)),BL27="Completed",BL27="N/A"),OR(NOT(ISNUMBER(BM27)),BN27="Completed",BN27="N/A"),OR(BO27="Completed",BO27="N/A")),"Completed",IF(((S27="In Progress")+(V27="In Progress")+(Y27="In Progress")+(AC27="In Progress")+(AI27="In Progress")+(AL27="In Progress")+(AO27="In Progress")+(AR27="In Progress")+(AW27="In Progress")+(AZ27="In Progress")+(BC27="In Progress")+(BF27="In Progress")+(P27="In Progress")+(BJ27="In Progress")+(BL27="In Progress")+(BN27="In Progress")+(BO27="In Progress"))&gt;0,"In Progress","Yet to start")))))</f>
        <v>In Progress</v>
      </c>
      <c r="E27" s="11" t="str">
        <f>IF(A27="","",IF(F27="","All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Review","CAB"},MATCH(F27,BQ27:CF27,0))))</f>
        <v>Prod OUR</v>
      </c>
      <c r="F27" s="12">
        <f>IF(A27="","",IF(COUNT(BQ27:CF27)=0,"",MIN(BQ27:CF27)))</f>
        <v>46238</v>
      </c>
      <c r="G27" s="13">
        <f ca="1">IF(A27="","",MAX(0,IF(AND(ISNUMBER(Q27),S27&lt;&gt;"Completed",S27&lt;&gt;"N/A",Q27&lt;TODAY()),TODAY()-Q27,0),IF(AND(ISNUMBER(T27),V27&lt;&gt;"Completed",V27&lt;&gt;"N/A",T27&lt;TODAY()),TODAY()-T27,0),IF(AND(ISNUMBER(W27),Y27&lt;&gt;"Completed",Y27&lt;&gt;"N/A",W27&lt;TODAY()),TODAY()-W27,0),IF(AND(ISNUMBER(AA27),AC27&lt;&gt;"Completed",AC27&lt;&gt;"N/A",AA27&lt;TODAY()),TODAY()-AA27,0),IF(AND(ISNUMBER(AG27),AI27&lt;&gt;"Completed",AI27&lt;&gt;"N/A",AG27&lt;TODAY()),TODAY()-AG27,0),IF(AND(ISNUMBER(AJ27),AL27&lt;&gt;"Completed",AL27&lt;&gt;"N/A",AJ27&lt;TODAY()),TODAY()-AJ27,0),IF(AND(ISNUMBER(AM27),AO27&lt;&gt;"Completed",AO27&lt;&gt;"N/A",AM27&lt;TODAY()),TODAY()-AM27,0),IF(AND(ISNUMBER(AP27),AR27&lt;&gt;"Completed",AR27&lt;&gt;"N/A",AP27&lt;TODAY()),TODAY()-AP27,0),IF(AND(ISNUMBER(AU27),AW27&lt;&gt;"Completed",AW27&lt;&gt;"N/A",AU27&lt;TODAY()),TODAY()-AU27,0),IF(AND(ISNUMBER(AX27),AZ27&lt;&gt;"Completed",AZ27&lt;&gt;"N/A",AX27&lt;TODAY()),TODAY()-AX27,0),IF(AND(ISNUMBER(BA27),BC27&lt;&gt;"Completed",BC27&lt;&gt;"N/A",BA27&lt;TODAY()),TODAY()-BA27,0),IF(AND(ISNUMBER(BD27),BF27&lt;&gt;"Completed",BF27&lt;&gt;"N/A",BD27&lt;TODAY()),TODAY()-BD27,0),IF(AND(ISNUMBER(O27),P27&lt;&gt;"Completed",P27&lt;&gt;"N/A",O27&lt;TODAY()),TODAY()-O27,0),IF(AND(ISNUMBER(BM27),BN27&lt;&gt;"Completed",BN27&lt;&gt;"N/A",BM27&lt;TODAY()),TODAY()-BM27,0),IF(AND(ISNUMBER(BK27),BL27&lt;&gt;"Completed",BL27&lt;&gt;"N/A",BK27&lt;TODAY()),TODAY()-BK27,0),IF(AND(ISNUMBER(BI27),BJ27&lt;&gt;"Completed",BJ27&lt;&gt;"N/A",BI27&lt;TODAY()),TODAY()-BI27,0)))</f>
        <v>17</v>
      </c>
      <c r="H27" s="14">
        <v>46246</v>
      </c>
      <c r="I27" s="14">
        <v>46259</v>
      </c>
      <c r="J27" s="15">
        <v>46300</v>
      </c>
      <c r="K27" s="12">
        <f>IF(ISNUMBER(H27),H27,IF(ISNUMBER(M27),M27-WEEKDAY(M27,2)+1-7,""))</f>
        <v>46246</v>
      </c>
      <c r="L27" s="12">
        <f>IF(ISNUMBER(I27),I27,IF(ISNUMBER(H27),WORKDAY(H27,SprintWorkingDays-1),IF(ISNUMBER(K27),WORKDAY(K27,SprintWorkingDays-1),"")))</f>
        <v>46259</v>
      </c>
      <c r="M27" s="12">
        <f>IF(ISNUMBER(J27),J27,IF(ISNUMBER(I27),I27-IF(OR(WEEKDAY(I27,2)=2,WEEKDAY(I27,2)=4),0,IF(WEEKDAY(I27,2)=3,1,IF(WEEKDAY(I27,2)=1,4,WEEKDAY(I27,2)-4))),IF(ISNUMBER(H27),WORKDAY(H27,SprintWorkingDays-1)-IF(OR(WEEKDAY(WORKDAY(H27,SprintWorkingDays-1),2)=2,WEEKDAY(WORKDAY(H27,SprintWorkingDays-1),2)=4),0,IF(WEEKDAY(WORKDAY(H27,SprintWorkingDays-1),2)=3,1,IF(WEEKDAY(WORKDAY(H27,SprintWorkingDays-1),2)=1,4,WEEKDAY(WORKDAY(H27,SprintWorkingDays-1),2)-4))),"")))</f>
        <v>46300</v>
      </c>
      <c r="N27" s="12">
        <f>IF(NOT(ISNUMBER(K27)),"",WORKDAY(K27,ReadyOffsetWD))</f>
        <v>46245</v>
      </c>
      <c r="O27" s="12">
        <f>IF(NOT(ISNUMBER(K27)),"",WORKDAY(K27,SprintReadinessOffsetWD))</f>
        <v>46244</v>
      </c>
      <c r="P27" s="10" t="s">
        <v>30</v>
      </c>
      <c r="Q27" s="12">
        <f>IF(A27="","",IF(V27="N/A",IF(NOT(ISNUMBER(W27)),"",WORKDAY(W27,RTSKOffsetFromOUR_WD)),IF(NOT(ISNUMBER(T27)),"",WORKDAY(T27,RTSKOffsetFromOUR_WD))))</f>
        <v>46234</v>
      </c>
      <c r="R27" s="15">
        <v>46246</v>
      </c>
      <c r="S27" s="10" t="s">
        <v>32</v>
      </c>
      <c r="T27" s="12">
        <f>IF(OR(A27="",V27="N/A"),"",IF(NOT(ISNUMBER(W27)),"",WORKDAY(W27,OUROffsetFromSR_WD)))</f>
        <v>46238</v>
      </c>
      <c r="U27" s="15">
        <v>46234</v>
      </c>
      <c r="V27" s="10" t="s">
        <v>32</v>
      </c>
      <c r="W27" s="12">
        <f>IF(OR(A27="",NOT(ISNUMBER(K27))),"",WORKDAY(K27,SROffsetFromStartWD))</f>
        <v>46239</v>
      </c>
      <c r="X27" s="15">
        <v>46234</v>
      </c>
      <c r="Y27" s="10" t="s">
        <v>32</v>
      </c>
      <c r="Z27" s="10" t="s">
        <v>100</v>
      </c>
      <c r="AA27" s="12" t="str">
        <f>IF(OR(Z27="",Z27="N/A"),"",IF(ISNUMBER(Q27),Q27,""))</f>
        <v/>
      </c>
      <c r="AB27" s="15"/>
      <c r="AC27" s="10"/>
      <c r="AD27" s="10"/>
      <c r="AE27" s="10"/>
      <c r="AF27" s="10" t="str">
        <f>IF(Z27="N/A","N/A","")</f>
        <v>N/A</v>
      </c>
      <c r="AG27" s="12">
        <f>IF(NOT(ISNUMBER(Q27)),"",Q27)</f>
        <v>46234</v>
      </c>
      <c r="AH27" s="12">
        <v>46239</v>
      </c>
      <c r="AI27" s="10" t="s">
        <v>32</v>
      </c>
      <c r="AJ27" s="12">
        <f>IF(OR(AL27="N/A",NOT(ISNUMBER(T27))),"",T27)</f>
        <v>46238</v>
      </c>
      <c r="AK27" s="15">
        <v>46239</v>
      </c>
      <c r="AL27" s="10" t="s">
        <v>32</v>
      </c>
      <c r="AM27" s="12">
        <f>IF(NOT(ISNUMBER(W27)),"",W27)</f>
        <v>46239</v>
      </c>
      <c r="AN27" s="15">
        <v>46239</v>
      </c>
      <c r="AO27" s="10" t="s">
        <v>32</v>
      </c>
      <c r="AP27" s="12" t="str">
        <f>IF(OR(Z27="",Z27="N/A"),"",IF(ISNUMBER(AG27),AG27,""))</f>
        <v/>
      </c>
      <c r="AQ27" s="15"/>
      <c r="AR27" s="10"/>
      <c r="AS27" s="10"/>
      <c r="AT27" s="10"/>
      <c r="AU27" s="12">
        <f>IF(NOT(ISNUMBER(Q27)),"",Q27)</f>
        <v>46234</v>
      </c>
      <c r="AV27" s="15"/>
      <c r="AW27" s="10" t="s">
        <v>32</v>
      </c>
      <c r="AX27" s="12">
        <f>IF(OR(AZ27="N/A",NOT(ISNUMBER(T27))),"",T27)</f>
        <v>46238</v>
      </c>
      <c r="AY27" s="15"/>
      <c r="AZ27" s="10"/>
      <c r="BA27" s="12">
        <f>IF(NOT(ISNUMBER(W27)),"",W27)</f>
        <v>46239</v>
      </c>
      <c r="BB27" s="15"/>
      <c r="BC27" s="10"/>
      <c r="BD27" s="12" t="str">
        <f>IF(OR(Z27="",Z27="N/A"),"",IF(ISNUMBER(AU27),AU27,""))</f>
        <v/>
      </c>
      <c r="BE27" s="15"/>
      <c r="BF27" s="10"/>
      <c r="BG27" s="10"/>
      <c r="BH27" s="10"/>
      <c r="BI27" s="12">
        <v>46300</v>
      </c>
      <c r="BJ27" s="10"/>
      <c r="BK27" s="12">
        <f>IF(NOT(ISNUMBER(BI27)),"",IF(WEEKDAY(BI27-CodeReviewCalendarDays,2)&gt;5,BI27-CodeReviewCalendarDays-(WEEKDAY(BI27-CodeReviewCalendarDays,2)-5),BI27-CodeReviewCalendarDays))</f>
        <v>46297</v>
      </c>
      <c r="BL27" s="10"/>
      <c r="BM27" s="12">
        <f>IF(NOT(ISNUMBER(BK27)),"",IF(WEEKDAY(BK27-CodeReviewInviteCalendarDays,2)&gt;5,BK27-CodeReviewInviteCalendarDays-(WEEKDAY(BK27-CodeReviewInviteCalendarDays,2)-5),BK27-CodeReviewInviteCalendarDays))</f>
        <v>46293</v>
      </c>
      <c r="BN27" s="10"/>
      <c r="BO27" s="10"/>
      <c r="BP27" s="16" t="str">
        <f ca="1">IF(A27="","",IF(IF(AND(ISNUMBER(J27),WEEKDAY(J27,2)&lt;&gt;2,WEEKDAY(J27,2)&lt;&gt;4)," | Release must be Tuesday or Thursday","")&amp;IF(AND(ISNUMBER(H27),WEEKDAY(H27,2)&lt;&gt;1)," | Sprint Start is not a Monday - dates still calculated from the date entered","")&amp;IF(AND(A27&lt;&gt;"",NOT(ISNUMBER(H27)),NOT(ISNUMBER(J27)))," | Enter Sprint Start or Release Date","")&amp;IF(AND(ISNUMBER(F27),F27&lt;TODAY(),D27&lt;&gt;"Completed")," | One or more raise-by dates are in the past and not completed","")&amp;IF(AND(ISNUMBER(K27),K27-TODAY()&lt;SprintWarningDays,K27&gt;=TODAY(),OR(D27="Yet to start",D27="Blocked"))," | Sprint starts in under 10 days - raise access requests now","")&amp;IF(AND(ISNUMBER(BM27),BN27&lt;&gt;"Completed",BN27&lt;&gt;"N/A",BM27-TODAY()&lt;CodeReviewInviteCalendarDays)," | Code Review invite should be sent at least 4 days before Code Review","")="","",MID(IF(AND(ISNUMBER(J27),WEEKDAY(J27,2)&lt;&gt;2,WEEKDAY(J27,2)&lt;&gt;4)," | Release must be Tuesday or Thursday","")&amp;IF(AND(ISNUMBER(H27),WEEKDAY(H27,2)&lt;&gt;1)," | Sprint Start is not a Monday - dates still calculated from the date entered","")&amp;IF(AND(A27&lt;&gt;"",NOT(ISNUMBER(H27)),NOT(ISNUMBER(J27)))," | Enter Sprint Start or Release Date","")&amp;IF(AND(ISNUMBER(F27),F27&lt;TODAY(),D27&lt;&gt;"Completed")," | One or more raise-by dates are in the past and not completed","")&amp;IF(AND(ISNUMBER(K27),K27-TODAY()&lt;SprintWarningDays,K27&gt;=TODAY(),OR(D27="Yet to start",D27="Blocked"))," | Sprint starts in under 10 days - raise access requests now","")&amp;IF(AND(ISNUMBER(BM27),BN27&lt;&gt;"Completed",BN27&lt;&gt;"N/A",BM27-TODAY()&lt;CodeReviewInviteCalendarDays),"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27" s="1" t="str">
        <f>IF(AND(ISNUMBER(Q27),S27&lt;&gt;"Completed",S27&lt;&gt;"N/A"),Q27,"")</f>
        <v/>
      </c>
      <c r="BR27" s="1" t="str">
        <f>IF(AND(ISNUMBER(T27),V27&lt;&gt;"Completed",V27&lt;&gt;"N/A"),T27,"")</f>
        <v/>
      </c>
      <c r="BS27" s="1" t="str">
        <f>IF(AND(ISNUMBER(W27),Y27&lt;&gt;"Completed",Y27&lt;&gt;"N/A"),W27,"")</f>
        <v/>
      </c>
      <c r="BT27" s="1" t="str">
        <f>IF(AND(ISNUMBER(AA27),AC27&lt;&gt;"Completed",AC27&lt;&gt;"N/A"),AA27,"")</f>
        <v/>
      </c>
      <c r="BU27" s="1" t="str">
        <f>IF(AND(ISNUMBER(AG27),AI27&lt;&gt;"Completed",AI27&lt;&gt;"N/A"),AG27,"")</f>
        <v/>
      </c>
      <c r="BV27" s="1" t="str">
        <f>IF(AND(ISNUMBER(AJ27),AL27&lt;&gt;"Completed",AL27&lt;&gt;"N/A"),AJ27,"")</f>
        <v/>
      </c>
      <c r="BW27" s="1" t="str">
        <f>IF(AND(ISNUMBER(AM27),AO27&lt;&gt;"Completed",AO27&lt;&gt;"N/A"),AM27,"")</f>
        <v/>
      </c>
      <c r="BX27" s="1" t="str">
        <f>IF(AND(ISNUMBER(AP27),AR27&lt;&gt;"Completed",AR27&lt;&gt;"N/A"),AP27,"")</f>
        <v/>
      </c>
      <c r="BY27" s="1" t="str">
        <f>IF(AND(ISNUMBER(AU27),AW27&lt;&gt;"Completed",AW27&lt;&gt;"N/A"),AU27,"")</f>
        <v/>
      </c>
      <c r="BZ27" s="1">
        <f>IF(AND(ISNUMBER(AX27),AZ27&lt;&gt;"Completed",AZ27&lt;&gt;"N/A"),AX27,"")</f>
        <v>46238</v>
      </c>
      <c r="CA27" s="1">
        <f>IF(AND(ISNUMBER(BA27),BC27&lt;&gt;"Completed",BC27&lt;&gt;"N/A"),BA27,"")</f>
        <v>46239</v>
      </c>
      <c r="CB27" s="1" t="str">
        <f>IF(AND(ISNUMBER(BD27),BF27&lt;&gt;"Completed",BF27&lt;&gt;"N/A"),BD27,"")</f>
        <v/>
      </c>
      <c r="CC27" s="1">
        <f>IF(AND(ISNUMBER(O27),P27&lt;&gt;"Completed",P27&lt;&gt;"N/A"),O27,"")</f>
        <v>46244</v>
      </c>
      <c r="CD27" s="1">
        <f>IF(AND(ISNUMBER(BM27),BN27&lt;&gt;"Completed",BN27&lt;&gt;"N/A"),BM27,"")</f>
        <v>46293</v>
      </c>
      <c r="CE27" s="1">
        <f>IF(AND(ISNUMBER(BK27),BL27&lt;&gt;"Completed",BL27&lt;&gt;"N/A"),BK27,"")</f>
        <v>46297</v>
      </c>
      <c r="CF27" s="1">
        <f>IF(AND(ISNUMBER(BI27),BJ27&lt;&gt;"Completed",BJ27&lt;&gt;"N/A"),BI27,"")</f>
        <v>46300</v>
      </c>
      <c r="CG27" s="1">
        <f ca="1">IF(OR(A27="",D27="Completed"),"",IF(N(G27)&gt;0,1/(N(G27)+ROW()/100000),IF(ISNUMBER(F27),1000+F27+ROW()/100000,TODAY()+400+ROW()/100000)))</f>
        <v>5.882259517054729E-2</v>
      </c>
    </row>
    <row r="28" spans="1:85" ht="15.95" customHeight="1">
      <c r="A28" s="10" t="s">
        <v>130</v>
      </c>
      <c r="B28" s="10" t="s">
        <v>98</v>
      </c>
      <c r="C28" s="10" t="s">
        <v>117</v>
      </c>
      <c r="D28" s="11" t="str">
        <f>IF(A28="","",IF(((S28="Blocked")+(V28="Blocked")+(Y28="Blocked")+(AC28="Blocked")+(AI28="Blocked")+(AL28="Blocked")+(AO28="Blocked")+(AR28="Blocked")+(AW28="Blocked")+(AZ28="Blocked")+(BC28="Blocked")+(BF28="Blocked")+(P28="Blocked")+(BJ28="Blocked")+(BL28="Blocked")+(BN28="Blocked")+(BO28="Blocked"))&gt;0,"Blocked",IF((ISNUMBER(Q28)+ISNUMBER(T28)+ISNUMBER(W28)+ISNUMBER(AA28)+ISNUMBER(AG28)+ISNUMBER(AJ28)+ISNUMBER(AM28)+ISNUMBER(AP28)+ISNUMBER(AU28)+ISNUMBER(AX28)+ISNUMBER(BA28)+ISNUMBER(BD28)+ISNUMBER(O28)+ISNUMBER(BI28)+ISNUMBER(BK28)+ISNUMBER(BM28))=0,"Yet to start",IF(AND(OR(NOT(ISNUMBER(Q28)),S28="Completed",S28="N/A"),OR(NOT(ISNUMBER(T28)),V28="Completed",V28="N/A"),OR(NOT(ISNUMBER(W28)),Y28="Completed",Y28="N/A"),OR(NOT(ISNUMBER(AA28)),AC28="Completed",AC28="N/A"),OR(NOT(ISNUMBER(AG28)),AI28="Completed",AI28="N/A"),OR(NOT(ISNUMBER(AJ28)),AL28="Completed",AL28="N/A"),OR(NOT(ISNUMBER(AM28)),AO28="Completed",AO28="N/A"),OR(NOT(ISNUMBER(AP28)),AR28="Completed",AR28="N/A"),OR(NOT(ISNUMBER(AU28)),AW28="Completed",AW28="N/A"),OR(NOT(ISNUMBER(AX28)),AZ28="Completed",AZ28="N/A"),OR(NOT(ISNUMBER(BA28)),BC28="Completed",BC28="N/A"),OR(NOT(ISNUMBER(BD28)),BF28="Completed",BF28="N/A"),OR(NOT(ISNUMBER(O28)),P28="Completed",P28="N/A"),OR(NOT(ISNUMBER(BI28)),BJ28="Completed",BJ28="N/A"),OR(NOT(ISNUMBER(BK28)),BL28="Completed",BL28="N/A"),OR(NOT(ISNUMBER(BM28)),BN28="Completed",BN28="N/A"),OR(BO28="Completed",BO28="N/A")),"Completed",IF(((S28="In Progress")+(V28="In Progress")+(Y28="In Progress")+(AC28="In Progress")+(AI28="In Progress")+(AL28="In Progress")+(AO28="In Progress")+(AR28="In Progress")+(AW28="In Progress")+(AZ28="In Progress")+(BC28="In Progress")+(BF28="In Progress")+(P28="In Progress")+(BJ28="In Progress")+(BL28="In Progress")+(BN28="In Progress")+(BO28="In Progress"))&gt;0,"In Progress","Yet to start")))))</f>
        <v>In Progress</v>
      </c>
      <c r="E28" s="11" t="str">
        <f>IF(A28="","",IF(F28="","All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Review","CAB"},MATCH(F28,BQ28:CF28,0))))</f>
        <v>Prod OUR</v>
      </c>
      <c r="F28" s="12">
        <f>IF(A28="","",IF(COUNT(BQ28:CF28)=0,"",MIN(BQ28:CF28)))</f>
        <v>46238</v>
      </c>
      <c r="G28" s="13">
        <f ca="1">IF(A28="","",MAX(0,IF(AND(ISNUMBER(Q28),S28&lt;&gt;"Completed",S28&lt;&gt;"N/A",Q28&lt;TODAY()),TODAY()-Q28,0),IF(AND(ISNUMBER(T28),V28&lt;&gt;"Completed",V28&lt;&gt;"N/A",T28&lt;TODAY()),TODAY()-T28,0),IF(AND(ISNUMBER(W28),Y28&lt;&gt;"Completed",Y28&lt;&gt;"N/A",W28&lt;TODAY()),TODAY()-W28,0),IF(AND(ISNUMBER(AA28),AC28&lt;&gt;"Completed",AC28&lt;&gt;"N/A",AA28&lt;TODAY()),TODAY()-AA28,0),IF(AND(ISNUMBER(AG28),AI28&lt;&gt;"Completed",AI28&lt;&gt;"N/A",AG28&lt;TODAY()),TODAY()-AG28,0),IF(AND(ISNUMBER(AJ28),AL28&lt;&gt;"Completed",AL28&lt;&gt;"N/A",AJ28&lt;TODAY()),TODAY()-AJ28,0),IF(AND(ISNUMBER(AM28),AO28&lt;&gt;"Completed",AO28&lt;&gt;"N/A",AM28&lt;TODAY()),TODAY()-AM28,0),IF(AND(ISNUMBER(AP28),AR28&lt;&gt;"Completed",AR28&lt;&gt;"N/A",AP28&lt;TODAY()),TODAY()-AP28,0),IF(AND(ISNUMBER(AU28),AW28&lt;&gt;"Completed",AW28&lt;&gt;"N/A",AU28&lt;TODAY()),TODAY()-AU28,0),IF(AND(ISNUMBER(AX28),AZ28&lt;&gt;"Completed",AZ28&lt;&gt;"N/A",AX28&lt;TODAY()),TODAY()-AX28,0),IF(AND(ISNUMBER(BA28),BC28&lt;&gt;"Completed",BC28&lt;&gt;"N/A",BA28&lt;TODAY()),TODAY()-BA28,0),IF(AND(ISNUMBER(BD28),BF28&lt;&gt;"Completed",BF28&lt;&gt;"N/A",BD28&lt;TODAY()),TODAY()-BD28,0),IF(AND(ISNUMBER(O28),P28&lt;&gt;"Completed",P28&lt;&gt;"N/A",O28&lt;TODAY()),TODAY()-O28,0),IF(AND(ISNUMBER(BM28),BN28&lt;&gt;"Completed",BN28&lt;&gt;"N/A",BM28&lt;TODAY()),TODAY()-BM28,0),IF(AND(ISNUMBER(BK28),BL28&lt;&gt;"Completed",BL28&lt;&gt;"N/A",BK28&lt;TODAY()),TODAY()-BK28,0),IF(AND(ISNUMBER(BI28),BJ28&lt;&gt;"Completed",BJ28&lt;&gt;"N/A",BI28&lt;TODAY()),TODAY()-BI28,0)))</f>
        <v>17</v>
      </c>
      <c r="H28" s="14">
        <v>46246</v>
      </c>
      <c r="I28" s="14">
        <v>46259</v>
      </c>
      <c r="J28" s="15">
        <v>46300</v>
      </c>
      <c r="K28" s="12">
        <f>IF(ISNUMBER(H28),H28,IF(ISNUMBER(M28),M28-WEEKDAY(M28,2)+1-7,""))</f>
        <v>46246</v>
      </c>
      <c r="L28" s="12">
        <f>IF(ISNUMBER(I28),I28,IF(ISNUMBER(H28),WORKDAY(H28,SprintWorkingDays-1),IF(ISNUMBER(K28),WORKDAY(K28,SprintWorkingDays-1),"")))</f>
        <v>46259</v>
      </c>
      <c r="M28" s="12">
        <f>IF(ISNUMBER(J28),J28,IF(ISNUMBER(I28),I28-IF(OR(WEEKDAY(I28,2)=2,WEEKDAY(I28,2)=4),0,IF(WEEKDAY(I28,2)=3,1,IF(WEEKDAY(I28,2)=1,4,WEEKDAY(I28,2)-4))),IF(ISNUMBER(H28),WORKDAY(H28,SprintWorkingDays-1)-IF(OR(WEEKDAY(WORKDAY(H28,SprintWorkingDays-1),2)=2,WEEKDAY(WORKDAY(H28,SprintWorkingDays-1),2)=4),0,IF(WEEKDAY(WORKDAY(H28,SprintWorkingDays-1),2)=3,1,IF(WEEKDAY(WORKDAY(H28,SprintWorkingDays-1),2)=1,4,WEEKDAY(WORKDAY(H28,SprintWorkingDays-1),2)-4))),"")))</f>
        <v>46300</v>
      </c>
      <c r="N28" s="12">
        <f>IF(NOT(ISNUMBER(K28)),"",WORKDAY(K28,ReadyOffsetWD))</f>
        <v>46245</v>
      </c>
      <c r="O28" s="12">
        <f>IF(NOT(ISNUMBER(K28)),"",WORKDAY(K28,SprintReadinessOffsetWD))</f>
        <v>46244</v>
      </c>
      <c r="P28" s="10" t="s">
        <v>30</v>
      </c>
      <c r="Q28" s="12">
        <f>IF(A28="","",IF(V28="N/A",IF(NOT(ISNUMBER(W28)),"",WORKDAY(W28,RTSKOffsetFromOUR_WD)),IF(NOT(ISNUMBER(T28)),"",WORKDAY(T28,RTSKOffsetFromOUR_WD))))</f>
        <v>46234</v>
      </c>
      <c r="R28" s="15">
        <v>46246</v>
      </c>
      <c r="S28" s="10" t="s">
        <v>32</v>
      </c>
      <c r="T28" s="12">
        <f>IF(OR(A28="",V28="N/A"),"",IF(NOT(ISNUMBER(W28)),"",WORKDAY(W28,OUROffsetFromSR_WD)))</f>
        <v>46238</v>
      </c>
      <c r="U28" s="15">
        <v>46234</v>
      </c>
      <c r="V28" s="10" t="s">
        <v>32</v>
      </c>
      <c r="W28" s="12">
        <f>IF(OR(A28="",NOT(ISNUMBER(K28))),"",WORKDAY(K28,SROffsetFromStartWD))</f>
        <v>46239</v>
      </c>
      <c r="X28" s="15">
        <v>46234</v>
      </c>
      <c r="Y28" s="10" t="s">
        <v>32</v>
      </c>
      <c r="Z28" s="10" t="s">
        <v>100</v>
      </c>
      <c r="AA28" s="12" t="str">
        <f>IF(OR(Z28="",Z28="N/A"),"",IF(ISNUMBER(Q28),Q28,""))</f>
        <v/>
      </c>
      <c r="AB28" s="15"/>
      <c r="AC28" s="10"/>
      <c r="AD28" s="10"/>
      <c r="AE28" s="10"/>
      <c r="AF28" s="10" t="str">
        <f>IF(Z28="N/A","N/A","")</f>
        <v>N/A</v>
      </c>
      <c r="AG28" s="12">
        <f>IF(NOT(ISNUMBER(Q28)),"",Q28)</f>
        <v>46234</v>
      </c>
      <c r="AH28" s="12">
        <v>46239</v>
      </c>
      <c r="AI28" s="10" t="s">
        <v>32</v>
      </c>
      <c r="AJ28" s="12">
        <f>IF(OR(AL28="N/A",NOT(ISNUMBER(T28))),"",T28)</f>
        <v>46238</v>
      </c>
      <c r="AK28" s="15">
        <v>46239</v>
      </c>
      <c r="AL28" s="10" t="s">
        <v>32</v>
      </c>
      <c r="AM28" s="12">
        <f>IF(NOT(ISNUMBER(W28)),"",W28)</f>
        <v>46239</v>
      </c>
      <c r="AN28" s="15">
        <v>46239</v>
      </c>
      <c r="AO28" s="10" t="s">
        <v>32</v>
      </c>
      <c r="AP28" s="12" t="str">
        <f>IF(OR(Z28="",Z28="N/A"),"",IF(ISNUMBER(AG28),AG28,""))</f>
        <v/>
      </c>
      <c r="AQ28" s="15"/>
      <c r="AR28" s="10"/>
      <c r="AS28" s="10"/>
      <c r="AT28" s="10"/>
      <c r="AU28" s="12">
        <f>IF(NOT(ISNUMBER(Q28)),"",Q28)</f>
        <v>46234</v>
      </c>
      <c r="AV28" s="15"/>
      <c r="AW28" s="10" t="s">
        <v>32</v>
      </c>
      <c r="AX28" s="12">
        <f>IF(OR(AZ28="N/A",NOT(ISNUMBER(T28))),"",T28)</f>
        <v>46238</v>
      </c>
      <c r="AY28" s="15"/>
      <c r="AZ28" s="10"/>
      <c r="BA28" s="12">
        <f>IF(NOT(ISNUMBER(W28)),"",W28)</f>
        <v>46239</v>
      </c>
      <c r="BB28" s="15"/>
      <c r="BC28" s="10"/>
      <c r="BD28" s="12" t="str">
        <f>IF(OR(Z28="",Z28="N/A"),"",IF(ISNUMBER(AU28),AU28,""))</f>
        <v/>
      </c>
      <c r="BE28" s="15"/>
      <c r="BF28" s="10"/>
      <c r="BG28" s="10"/>
      <c r="BH28" s="10"/>
      <c r="BI28" s="12">
        <v>46300</v>
      </c>
      <c r="BJ28" s="10"/>
      <c r="BK28" s="12">
        <f>IF(NOT(ISNUMBER(BI28)),"",IF(WEEKDAY(BI28-CodeReviewCalendarDays,2)&gt;5,BI28-CodeReviewCalendarDays-(WEEKDAY(BI28-CodeReviewCalendarDays,2)-5),BI28-CodeReviewCalendarDays))</f>
        <v>46297</v>
      </c>
      <c r="BL28" s="10"/>
      <c r="BM28" s="12">
        <f>IF(NOT(ISNUMBER(BK28)),"",IF(WEEKDAY(BK28-CodeReviewInviteCalendarDays,2)&gt;5,BK28-CodeReviewInviteCalendarDays-(WEEKDAY(BK28-CodeReviewInviteCalendarDays,2)-5),BK28-CodeReviewInviteCalendarDays))</f>
        <v>46293</v>
      </c>
      <c r="BN28" s="10"/>
      <c r="BO28" s="10"/>
      <c r="BP28" s="16" t="str">
        <f ca="1">IF(A28="","",IF(IF(AND(ISNUMBER(J28),WEEKDAY(J28,2)&lt;&gt;2,WEEKDAY(J28,2)&lt;&gt;4)," | Release must be Tuesday or Thursday","")&amp;IF(AND(ISNUMBER(H28),WEEKDAY(H28,2)&lt;&gt;1)," | Sprint Start is not a Monday - dates still calculated from the date entered","")&amp;IF(AND(A28&lt;&gt;"",NOT(ISNUMBER(H28)),NOT(ISNUMBER(J28)))," | Enter Sprint Start or Release Date","")&amp;IF(AND(ISNUMBER(F28),F28&lt;TODAY(),D28&lt;&gt;"Completed")," | One or more raise-by dates are in the past and not completed","")&amp;IF(AND(ISNUMBER(K28),K28-TODAY()&lt;SprintWarningDays,K28&gt;=TODAY(),OR(D28="Yet to start",D28="Blocked"))," | Sprint starts in under 10 days - raise access requests now","")&amp;IF(AND(ISNUMBER(BM28),BN28&lt;&gt;"Completed",BN28&lt;&gt;"N/A",BM28-TODAY()&lt;CodeReviewInviteCalendarDays)," | Code Review invite should be sent at least 4 days before Code Review","")="","",MID(IF(AND(ISNUMBER(J28),WEEKDAY(J28,2)&lt;&gt;2,WEEKDAY(J28,2)&lt;&gt;4)," | Release must be Tuesday or Thursday","")&amp;IF(AND(ISNUMBER(H28),WEEKDAY(H28,2)&lt;&gt;1)," | Sprint Start is not a Monday - dates still calculated from the date entered","")&amp;IF(AND(A28&lt;&gt;"",NOT(ISNUMBER(H28)),NOT(ISNUMBER(J28)))," | Enter Sprint Start or Release Date","")&amp;IF(AND(ISNUMBER(F28),F28&lt;TODAY(),D28&lt;&gt;"Completed")," | One or more raise-by dates are in the past and not completed","")&amp;IF(AND(ISNUMBER(K28),K28-TODAY()&lt;SprintWarningDays,K28&gt;=TODAY(),OR(D28="Yet to start",D28="Blocked"))," | Sprint starts in under 10 days - raise access requests now","")&amp;IF(AND(ISNUMBER(BM28),BN28&lt;&gt;"Completed",BN28&lt;&gt;"N/A",BM28-TODAY()&lt;CodeReviewInviteCalendarDays),"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28" s="1" t="str">
        <f>IF(AND(ISNUMBER(Q28),S28&lt;&gt;"Completed",S28&lt;&gt;"N/A"),Q28,"")</f>
        <v/>
      </c>
      <c r="BR28" s="1" t="str">
        <f>IF(AND(ISNUMBER(T28),V28&lt;&gt;"Completed",V28&lt;&gt;"N/A"),T28,"")</f>
        <v/>
      </c>
      <c r="BS28" s="1" t="str">
        <f>IF(AND(ISNUMBER(W28),Y28&lt;&gt;"Completed",Y28&lt;&gt;"N/A"),W28,"")</f>
        <v/>
      </c>
      <c r="BT28" s="1" t="str">
        <f>IF(AND(ISNUMBER(AA28),AC28&lt;&gt;"Completed",AC28&lt;&gt;"N/A"),AA28,"")</f>
        <v/>
      </c>
      <c r="BU28" s="1" t="str">
        <f>IF(AND(ISNUMBER(AG28),AI28&lt;&gt;"Completed",AI28&lt;&gt;"N/A"),AG28,"")</f>
        <v/>
      </c>
      <c r="BV28" s="1" t="str">
        <f>IF(AND(ISNUMBER(AJ28),AL28&lt;&gt;"Completed",AL28&lt;&gt;"N/A"),AJ28,"")</f>
        <v/>
      </c>
      <c r="BW28" s="1" t="str">
        <f>IF(AND(ISNUMBER(AM28),AO28&lt;&gt;"Completed",AO28&lt;&gt;"N/A"),AM28,"")</f>
        <v/>
      </c>
      <c r="BX28" s="1" t="str">
        <f>IF(AND(ISNUMBER(AP28),AR28&lt;&gt;"Completed",AR28&lt;&gt;"N/A"),AP28,"")</f>
        <v/>
      </c>
      <c r="BY28" s="1" t="str">
        <f>IF(AND(ISNUMBER(AU28),AW28&lt;&gt;"Completed",AW28&lt;&gt;"N/A"),AU28,"")</f>
        <v/>
      </c>
      <c r="BZ28" s="1">
        <f>IF(AND(ISNUMBER(AX28),AZ28&lt;&gt;"Completed",AZ28&lt;&gt;"N/A"),AX28,"")</f>
        <v>46238</v>
      </c>
      <c r="CA28" s="1">
        <f>IF(AND(ISNUMBER(BA28),BC28&lt;&gt;"Completed",BC28&lt;&gt;"N/A"),BA28,"")</f>
        <v>46239</v>
      </c>
      <c r="CB28" s="1" t="str">
        <f>IF(AND(ISNUMBER(BD28),BF28&lt;&gt;"Completed",BF28&lt;&gt;"N/A"),BD28,"")</f>
        <v/>
      </c>
      <c r="CC28" s="1">
        <f>IF(AND(ISNUMBER(O28),P28&lt;&gt;"Completed",P28&lt;&gt;"N/A"),O28,"")</f>
        <v>46244</v>
      </c>
      <c r="CD28" s="1">
        <f>IF(AND(ISNUMBER(BM28),BN28&lt;&gt;"Completed",BN28&lt;&gt;"N/A"),BM28,"")</f>
        <v>46293</v>
      </c>
      <c r="CE28" s="1">
        <f>IF(AND(ISNUMBER(BK28),BL28&lt;&gt;"Completed",BL28&lt;&gt;"N/A"),BK28,"")</f>
        <v>46297</v>
      </c>
      <c r="CF28" s="1">
        <f>IF(AND(ISNUMBER(BI28),BJ28&lt;&gt;"Completed",BJ28&lt;&gt;"N/A"),BI28,"")</f>
        <v>46300</v>
      </c>
      <c r="CG28" s="1">
        <f ca="1">IF(OR(A28="",D28="Completed"),"",IF(N(G28)&gt;0,1/(N(G28)+ROW()/100000),IF(ISNUMBER(F28),1000+F28+ROW()/100000,TODAY()+400+ROW()/100000)))</f>
        <v>5.8822560569590621E-2</v>
      </c>
    </row>
    <row r="29" spans="1:85" ht="15.95" customHeight="1">
      <c r="A29" s="10" t="s">
        <v>131</v>
      </c>
      <c r="B29" s="10" t="s">
        <v>98</v>
      </c>
      <c r="C29" s="10" t="s">
        <v>117</v>
      </c>
      <c r="D29" s="11" t="str">
        <f>IF(A29="","",IF(((S29="Blocked")+(V29="Blocked")+(Y29="Blocked")+(AC29="Blocked")+(AI29="Blocked")+(AL29="Blocked")+(AO29="Blocked")+(AR29="Blocked")+(AW29="Blocked")+(AZ29="Blocked")+(BC29="Blocked")+(BF29="Blocked")+(P29="Blocked")+(BJ29="Blocked")+(BL29="Blocked")+(BN29="Blocked")+(BO29="Blocked"))&gt;0,"Blocked",IF((ISNUMBER(Q29)+ISNUMBER(T29)+ISNUMBER(W29)+ISNUMBER(AA29)+ISNUMBER(AG29)+ISNUMBER(AJ29)+ISNUMBER(AM29)+ISNUMBER(AP29)+ISNUMBER(AU29)+ISNUMBER(AX29)+ISNUMBER(BA29)+ISNUMBER(BD29)+ISNUMBER(O29)+ISNUMBER(BI29)+ISNUMBER(BK29)+ISNUMBER(BM29))=0,"Yet to start",IF(AND(OR(NOT(ISNUMBER(Q29)),S29="Completed",S29="N/A"),OR(NOT(ISNUMBER(T29)),V29="Completed",V29="N/A"),OR(NOT(ISNUMBER(W29)),Y29="Completed",Y29="N/A"),OR(NOT(ISNUMBER(AA29)),AC29="Completed",AC29="N/A"),OR(NOT(ISNUMBER(AG29)),AI29="Completed",AI29="N/A"),OR(NOT(ISNUMBER(AJ29)),AL29="Completed",AL29="N/A"),OR(NOT(ISNUMBER(AM29)),AO29="Completed",AO29="N/A"),OR(NOT(ISNUMBER(AP29)),AR29="Completed",AR29="N/A"),OR(NOT(ISNUMBER(AU29)),AW29="Completed",AW29="N/A"),OR(NOT(ISNUMBER(AX29)),AZ29="Completed",AZ29="N/A"),OR(NOT(ISNUMBER(BA29)),BC29="Completed",BC29="N/A"),OR(NOT(ISNUMBER(BD29)),BF29="Completed",BF29="N/A"),OR(NOT(ISNUMBER(O29)),P29="Completed",P29="N/A"),OR(NOT(ISNUMBER(BI29)),BJ29="Completed",BJ29="N/A"),OR(NOT(ISNUMBER(BK29)),BL29="Completed",BL29="N/A"),OR(NOT(ISNUMBER(BM29)),BN29="Completed",BN29="N/A"),OR(BO29="Completed",BO29="N/A")),"Completed",IF(((S29="In Progress")+(V29="In Progress")+(Y29="In Progress")+(AC29="In Progress")+(AI29="In Progress")+(AL29="In Progress")+(AO29="In Progress")+(AR29="In Progress")+(AW29="In Progress")+(AZ29="In Progress")+(BC29="In Progress")+(BF29="In Progress")+(P29="In Progress")+(BJ29="In Progress")+(BL29="In Progress")+(BN29="In Progress")+(BO29="In Progress"))&gt;0,"In Progress","Yet to start")))))</f>
        <v>In Progress</v>
      </c>
      <c r="E29" s="11" t="str">
        <f>IF(A29="","",IF(F29="","All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Review","CAB"},MATCH(F29,BQ29:CF29,0))))</f>
        <v>Dev File R-Task</v>
      </c>
      <c r="F29" s="12">
        <f>IF(A29="","",IF(COUNT(BQ29:CF29)=0,"",MIN(BQ29:CF29)))</f>
        <v>46234</v>
      </c>
      <c r="G29" s="13">
        <f ca="1">IF(A29="","",MAX(0,IF(AND(ISNUMBER(Q29),S29&lt;&gt;"Completed",S29&lt;&gt;"N/A",Q29&lt;TODAY()),TODAY()-Q29,0),IF(AND(ISNUMBER(T29),V29&lt;&gt;"Completed",V29&lt;&gt;"N/A",T29&lt;TODAY()),TODAY()-T29,0),IF(AND(ISNUMBER(W29),Y29&lt;&gt;"Completed",Y29&lt;&gt;"N/A",W29&lt;TODAY()),TODAY()-W29,0),IF(AND(ISNUMBER(AA29),AC29&lt;&gt;"Completed",AC29&lt;&gt;"N/A",AA29&lt;TODAY()),TODAY()-AA29,0),IF(AND(ISNUMBER(AG29),AI29&lt;&gt;"Completed",AI29&lt;&gt;"N/A",AG29&lt;TODAY()),TODAY()-AG29,0),IF(AND(ISNUMBER(AJ29),AL29&lt;&gt;"Completed",AL29&lt;&gt;"N/A",AJ29&lt;TODAY()),TODAY()-AJ29,0),IF(AND(ISNUMBER(AM29),AO29&lt;&gt;"Completed",AO29&lt;&gt;"N/A",AM29&lt;TODAY()),TODAY()-AM29,0),IF(AND(ISNUMBER(AP29),AR29&lt;&gt;"Completed",AR29&lt;&gt;"N/A",AP29&lt;TODAY()),TODAY()-AP29,0),IF(AND(ISNUMBER(AU29),AW29&lt;&gt;"Completed",AW29&lt;&gt;"N/A",AU29&lt;TODAY()),TODAY()-AU29,0),IF(AND(ISNUMBER(AX29),AZ29&lt;&gt;"Completed",AZ29&lt;&gt;"N/A",AX29&lt;TODAY()),TODAY()-AX29,0),IF(AND(ISNUMBER(BA29),BC29&lt;&gt;"Completed",BC29&lt;&gt;"N/A",BA29&lt;TODAY()),TODAY()-BA29,0),IF(AND(ISNUMBER(BD29),BF29&lt;&gt;"Completed",BF29&lt;&gt;"N/A",BD29&lt;TODAY()),TODAY()-BD29,0),IF(AND(ISNUMBER(O29),P29&lt;&gt;"Completed",P29&lt;&gt;"N/A",O29&lt;TODAY()),TODAY()-O29,0),IF(AND(ISNUMBER(BM29),BN29&lt;&gt;"Completed",BN29&lt;&gt;"N/A",BM29&lt;TODAY()),TODAY()-BM29,0),IF(AND(ISNUMBER(BK29),BL29&lt;&gt;"Completed",BL29&lt;&gt;"N/A",BK29&lt;TODAY()),TODAY()-BK29,0),IF(AND(ISNUMBER(BI29),BJ29&lt;&gt;"Completed",BJ29&lt;&gt;"N/A",BI29&lt;TODAY()),TODAY()-BI29,0)))</f>
        <v>21</v>
      </c>
      <c r="H29" s="14">
        <v>46246</v>
      </c>
      <c r="I29" s="14">
        <v>46259</v>
      </c>
      <c r="J29" s="15">
        <v>46300</v>
      </c>
      <c r="K29" s="12">
        <f>IF(ISNUMBER(H29),H29,IF(ISNUMBER(M29),M29-WEEKDAY(M29,2)+1-7,""))</f>
        <v>46246</v>
      </c>
      <c r="L29" s="12">
        <f>IF(ISNUMBER(I29),I29,IF(ISNUMBER(H29),WORKDAY(H29,SprintWorkingDays-1),IF(ISNUMBER(K29),WORKDAY(K29,SprintWorkingDays-1),"")))</f>
        <v>46259</v>
      </c>
      <c r="M29" s="12">
        <f>IF(ISNUMBER(J29),J29,IF(ISNUMBER(I29),I29-IF(OR(WEEKDAY(I29,2)=2,WEEKDAY(I29,2)=4),0,IF(WEEKDAY(I29,2)=3,1,IF(WEEKDAY(I29,2)=1,4,WEEKDAY(I29,2)-4))),IF(ISNUMBER(H29),WORKDAY(H29,SprintWorkingDays-1)-IF(OR(WEEKDAY(WORKDAY(H29,SprintWorkingDays-1),2)=2,WEEKDAY(WORKDAY(H29,SprintWorkingDays-1),2)=4),0,IF(WEEKDAY(WORKDAY(H29,SprintWorkingDays-1),2)=3,1,IF(WEEKDAY(WORKDAY(H29,SprintWorkingDays-1),2)=1,4,WEEKDAY(WORKDAY(H29,SprintWorkingDays-1),2)-4))),"")))</f>
        <v>46300</v>
      </c>
      <c r="N29" s="12">
        <f>IF(NOT(ISNUMBER(K29)),"",WORKDAY(K29,ReadyOffsetWD))</f>
        <v>46245</v>
      </c>
      <c r="O29" s="12">
        <f>IF(NOT(ISNUMBER(K29)),"",WORKDAY(K29,SprintReadinessOffsetWD))</f>
        <v>46244</v>
      </c>
      <c r="P29" s="10" t="s">
        <v>30</v>
      </c>
      <c r="Q29" s="12">
        <f>IF(A29="","",IF(V29="N/A",IF(NOT(ISNUMBER(W29)),"",WORKDAY(W29,RTSKOffsetFromOUR_WD)),IF(NOT(ISNUMBER(T29)),"",WORKDAY(T29,RTSKOffsetFromOUR_WD))))</f>
        <v>46234</v>
      </c>
      <c r="R29" s="15">
        <v>46246</v>
      </c>
      <c r="S29" s="10" t="s">
        <v>32</v>
      </c>
      <c r="T29" s="12">
        <f>IF(OR(A29="",V29="N/A"),"",IF(NOT(ISNUMBER(W29)),"",WORKDAY(W29,OUROffsetFromSR_WD)))</f>
        <v>46238</v>
      </c>
      <c r="U29" s="15">
        <v>46234</v>
      </c>
      <c r="V29" s="10" t="s">
        <v>32</v>
      </c>
      <c r="W29" s="12">
        <f>IF(OR(A29="",NOT(ISNUMBER(K29))),"",WORKDAY(K29,SROffsetFromStartWD))</f>
        <v>46239</v>
      </c>
      <c r="X29" s="15">
        <v>46234</v>
      </c>
      <c r="Y29" s="10" t="s">
        <v>32</v>
      </c>
      <c r="Z29" s="10" t="s">
        <v>114</v>
      </c>
      <c r="AA29" s="12">
        <f>IF(OR(Z29="",Z29="N/A"),"",IF(ISNUMBER(Q29),Q29,""))</f>
        <v>46234</v>
      </c>
      <c r="AB29" s="15"/>
      <c r="AC29" s="10"/>
      <c r="AD29" s="10"/>
      <c r="AE29" s="10"/>
      <c r="AF29" s="10"/>
      <c r="AG29" s="12">
        <f>IF(NOT(ISNUMBER(Q29)),"",Q29)</f>
        <v>46234</v>
      </c>
      <c r="AH29" s="12">
        <v>46239</v>
      </c>
      <c r="AI29" s="10" t="s">
        <v>32</v>
      </c>
      <c r="AJ29" s="12">
        <f>IF(OR(AL29="N/A",NOT(ISNUMBER(T29))),"",T29)</f>
        <v>46238</v>
      </c>
      <c r="AK29" s="15">
        <v>46239</v>
      </c>
      <c r="AL29" s="10" t="s">
        <v>32</v>
      </c>
      <c r="AM29" s="12">
        <f>IF(NOT(ISNUMBER(W29)),"",W29)</f>
        <v>46239</v>
      </c>
      <c r="AN29" s="15">
        <v>46239</v>
      </c>
      <c r="AO29" s="10" t="s">
        <v>32</v>
      </c>
      <c r="AP29" s="12">
        <f>IF(OR(Z29="",Z29="N/A"),"",IF(ISNUMBER(AG29),AG29,""))</f>
        <v>46234</v>
      </c>
      <c r="AQ29" s="15"/>
      <c r="AR29" s="10"/>
      <c r="AS29" s="10"/>
      <c r="AT29" s="10"/>
      <c r="AU29" s="12">
        <f>IF(NOT(ISNUMBER(Q29)),"",Q29)</f>
        <v>46234</v>
      </c>
      <c r="AV29" s="15"/>
      <c r="AW29" s="10" t="s">
        <v>32</v>
      </c>
      <c r="AX29" s="12">
        <f>IF(OR(AZ29="N/A",NOT(ISNUMBER(T29))),"",T29)</f>
        <v>46238</v>
      </c>
      <c r="AY29" s="15"/>
      <c r="AZ29" s="10"/>
      <c r="BA29" s="12">
        <f>IF(NOT(ISNUMBER(W29)),"",W29)</f>
        <v>46239</v>
      </c>
      <c r="BB29" s="15"/>
      <c r="BC29" s="10"/>
      <c r="BD29" s="12">
        <f>IF(OR(Z29="",Z29="N/A"),"",IF(ISNUMBER(AU29),AU29,""))</f>
        <v>46234</v>
      </c>
      <c r="BE29" s="15"/>
      <c r="BF29" s="10"/>
      <c r="BG29" s="10"/>
      <c r="BH29" s="10"/>
      <c r="BI29" s="12">
        <v>46300</v>
      </c>
      <c r="BJ29" s="10"/>
      <c r="BK29" s="12">
        <f>IF(NOT(ISNUMBER(BI29)),"",IF(WEEKDAY(BI29-CodeReviewCalendarDays,2)&gt;5,BI29-CodeReviewCalendarDays-(WEEKDAY(BI29-CodeReviewCalendarDays,2)-5),BI29-CodeReviewCalendarDays))</f>
        <v>46297</v>
      </c>
      <c r="BL29" s="10"/>
      <c r="BM29" s="12">
        <f>IF(NOT(ISNUMBER(BK29)),"",IF(WEEKDAY(BK29-CodeReviewInviteCalendarDays,2)&gt;5,BK29-CodeReviewInviteCalendarDays-(WEEKDAY(BK29-CodeReviewInviteCalendarDays,2)-5),BK29-CodeReviewInviteCalendarDays))</f>
        <v>46293</v>
      </c>
      <c r="BN29" s="10"/>
      <c r="BO29" s="10"/>
      <c r="BP29" s="16" t="str">
        <f ca="1">IF(A29="","",IF(IF(AND(ISNUMBER(J29),WEEKDAY(J29,2)&lt;&gt;2,WEEKDAY(J29,2)&lt;&gt;4)," | Release must be Tuesday or Thursday","")&amp;IF(AND(ISNUMBER(H29),WEEKDAY(H29,2)&lt;&gt;1)," | Sprint Start is not a Monday - dates still calculated from the date entered","")&amp;IF(AND(A29&lt;&gt;"",NOT(ISNUMBER(H29)),NOT(ISNUMBER(J29)))," | Enter Sprint Start or Release Date","")&amp;IF(AND(ISNUMBER(F29),F29&lt;TODAY(),D29&lt;&gt;"Completed")," | One or more raise-by dates are in the past and not completed","")&amp;IF(AND(ISNUMBER(K29),K29-TODAY()&lt;SprintWarningDays,K29&gt;=TODAY(),OR(D29="Yet to start",D29="Blocked"))," | Sprint starts in under 10 days - raise access requests now","")&amp;IF(AND(ISNUMBER(BM29),BN29&lt;&gt;"Completed",BN29&lt;&gt;"N/A",BM29-TODAY()&lt;CodeReviewInviteCalendarDays)," | Code Review invite should be sent at least 4 days before Code Review","")="","",MID(IF(AND(ISNUMBER(J29),WEEKDAY(J29,2)&lt;&gt;2,WEEKDAY(J29,2)&lt;&gt;4)," | Release must be Tuesday or Thursday","")&amp;IF(AND(ISNUMBER(H29),WEEKDAY(H29,2)&lt;&gt;1)," | Sprint Start is not a Monday - dates still calculated from the date entered","")&amp;IF(AND(A29&lt;&gt;"",NOT(ISNUMBER(H29)),NOT(ISNUMBER(J29)))," | Enter Sprint Start or Release Date","")&amp;IF(AND(ISNUMBER(F29),F29&lt;TODAY(),D29&lt;&gt;"Completed")," | One or more raise-by dates are in the past and not completed","")&amp;IF(AND(ISNUMBER(K29),K29-TODAY()&lt;SprintWarningDays,K29&gt;=TODAY(),OR(D29="Yet to start",D29="Blocked"))," | Sprint starts in under 10 days - raise access requests now","")&amp;IF(AND(ISNUMBER(BM29),BN29&lt;&gt;"Completed",BN29&lt;&gt;"N/A",BM29-TODAY()&lt;CodeReviewInviteCalendarDays),"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29" s="1" t="str">
        <f>IF(AND(ISNUMBER(Q29),S29&lt;&gt;"Completed",S29&lt;&gt;"N/A"),Q29,"")</f>
        <v/>
      </c>
      <c r="BR29" s="1" t="str">
        <f>IF(AND(ISNUMBER(T29),V29&lt;&gt;"Completed",V29&lt;&gt;"N/A"),T29,"")</f>
        <v/>
      </c>
      <c r="BS29" s="1" t="str">
        <f>IF(AND(ISNUMBER(W29),Y29&lt;&gt;"Completed",Y29&lt;&gt;"N/A"),W29,"")</f>
        <v/>
      </c>
      <c r="BT29" s="1">
        <f>IF(AND(ISNUMBER(AA29),AC29&lt;&gt;"Completed",AC29&lt;&gt;"N/A"),AA29,"")</f>
        <v>46234</v>
      </c>
      <c r="BU29" s="1" t="str">
        <f>IF(AND(ISNUMBER(AG29),AI29&lt;&gt;"Completed",AI29&lt;&gt;"N/A"),AG29,"")</f>
        <v/>
      </c>
      <c r="BV29" s="1" t="str">
        <f>IF(AND(ISNUMBER(AJ29),AL29&lt;&gt;"Completed",AL29&lt;&gt;"N/A"),AJ29,"")</f>
        <v/>
      </c>
      <c r="BW29" s="1" t="str">
        <f>IF(AND(ISNUMBER(AM29),AO29&lt;&gt;"Completed",AO29&lt;&gt;"N/A"),AM29,"")</f>
        <v/>
      </c>
      <c r="BX29" s="1">
        <f>IF(AND(ISNUMBER(AP29),AR29&lt;&gt;"Completed",AR29&lt;&gt;"N/A"),AP29,"")</f>
        <v>46234</v>
      </c>
      <c r="BY29" s="1" t="str">
        <f>IF(AND(ISNUMBER(AU29),AW29&lt;&gt;"Completed",AW29&lt;&gt;"N/A"),AU29,"")</f>
        <v/>
      </c>
      <c r="BZ29" s="1">
        <f>IF(AND(ISNUMBER(AX29),AZ29&lt;&gt;"Completed",AZ29&lt;&gt;"N/A"),AX29,"")</f>
        <v>46238</v>
      </c>
      <c r="CA29" s="1">
        <f>IF(AND(ISNUMBER(BA29),BC29&lt;&gt;"Completed",BC29&lt;&gt;"N/A"),BA29,"")</f>
        <v>46239</v>
      </c>
      <c r="CB29" s="1">
        <f>IF(AND(ISNUMBER(BD29),BF29&lt;&gt;"Completed",BF29&lt;&gt;"N/A"),BD29,"")</f>
        <v>46234</v>
      </c>
      <c r="CC29" s="1">
        <f>IF(AND(ISNUMBER(O29),P29&lt;&gt;"Completed",P29&lt;&gt;"N/A"),O29,"")</f>
        <v>46244</v>
      </c>
      <c r="CD29" s="1">
        <f>IF(AND(ISNUMBER(BM29),BN29&lt;&gt;"Completed",BN29&lt;&gt;"N/A"),BM29,"")</f>
        <v>46293</v>
      </c>
      <c r="CE29" s="1">
        <f>IF(AND(ISNUMBER(BK29),BL29&lt;&gt;"Completed",BL29&lt;&gt;"N/A"),BK29,"")</f>
        <v>46297</v>
      </c>
      <c r="CF29" s="1">
        <f>IF(AND(ISNUMBER(BI29),BJ29&lt;&gt;"Completed",BJ29&lt;&gt;"N/A"),BI29,"")</f>
        <v>46300</v>
      </c>
      <c r="CG29" s="1">
        <f ca="1">IF(OR(A29="",D29="Completed"),"",IF(N(G29)&gt;0,1/(N(G29)+ROW()/100000),IF(ISNUMBER(F29),1000+F29+ROW()/100000,TODAY()+400+ROW()/100000)))</f>
        <v>4.7618390031756705E-2</v>
      </c>
    </row>
    <row r="30" spans="1:85" ht="15.95" customHeight="1">
      <c r="A30" s="10" t="s">
        <v>132</v>
      </c>
      <c r="B30" s="10" t="s">
        <v>98</v>
      </c>
      <c r="C30" s="10" t="s">
        <v>117</v>
      </c>
      <c r="D30" s="11" t="str">
        <f>IF(A30="","",IF(((S30="Blocked")+(V30="Blocked")+(Y30="Blocked")+(AC30="Blocked")+(AI30="Blocked")+(AL30="Blocked")+(AO30="Blocked")+(AR30="Blocked")+(AW30="Blocked")+(AZ30="Blocked")+(BC30="Blocked")+(BF30="Blocked")+(P30="Blocked")+(BJ30="Blocked")+(BL30="Blocked")+(BN30="Blocked")+(BO30="Blocked"))&gt;0,"Blocked",IF((ISNUMBER(Q30)+ISNUMBER(T30)+ISNUMBER(W30)+ISNUMBER(AA30)+ISNUMBER(AG30)+ISNUMBER(AJ30)+ISNUMBER(AM30)+ISNUMBER(AP30)+ISNUMBER(AU30)+ISNUMBER(AX30)+ISNUMBER(BA30)+ISNUMBER(BD30)+ISNUMBER(O30)+ISNUMBER(BI30)+ISNUMBER(BK30)+ISNUMBER(BM30))=0,"Yet to start",IF(AND(OR(NOT(ISNUMBER(Q30)),S30="Completed",S30="N/A"),OR(NOT(ISNUMBER(T30)),V30="Completed",V30="N/A"),OR(NOT(ISNUMBER(W30)),Y30="Completed",Y30="N/A"),OR(NOT(ISNUMBER(AA30)),AC30="Completed",AC30="N/A"),OR(NOT(ISNUMBER(AG30)),AI30="Completed",AI30="N/A"),OR(NOT(ISNUMBER(AJ30)),AL30="Completed",AL30="N/A"),OR(NOT(ISNUMBER(AM30)),AO30="Completed",AO30="N/A"),OR(NOT(ISNUMBER(AP30)),AR30="Completed",AR30="N/A"),OR(NOT(ISNUMBER(AU30)),AW30="Completed",AW30="N/A"),OR(NOT(ISNUMBER(AX30)),AZ30="Completed",AZ30="N/A"),OR(NOT(ISNUMBER(BA30)),BC30="Completed",BC30="N/A"),OR(NOT(ISNUMBER(BD30)),BF30="Completed",BF30="N/A"),OR(NOT(ISNUMBER(O30)),P30="Completed",P30="N/A"),OR(NOT(ISNUMBER(BI30)),BJ30="Completed",BJ30="N/A"),OR(NOT(ISNUMBER(BK30)),BL30="Completed",BL30="N/A"),OR(NOT(ISNUMBER(BM30)),BN30="Completed",BN30="N/A"),OR(BO30="Completed",BO30="N/A")),"Completed",IF(((S30="In Progress")+(V30="In Progress")+(Y30="In Progress")+(AC30="In Progress")+(AI30="In Progress")+(AL30="In Progress")+(AO30="In Progress")+(AR30="In Progress")+(AW30="In Progress")+(AZ30="In Progress")+(BC30="In Progress")+(BF30="In Progress")+(P30="In Progress")+(BJ30="In Progress")+(BL30="In Progress")+(BN30="In Progress")+(BO30="In Progress"))&gt;0,"In Progress","Yet to start")))))</f>
        <v>In Progress</v>
      </c>
      <c r="E30" s="11" t="str">
        <f>IF(A30="","",IF(F30="","All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Review","CAB"},MATCH(F30,BQ30:CF30,0))))</f>
        <v>Prod OUR</v>
      </c>
      <c r="F30" s="12">
        <f>IF(A30="","",IF(COUNT(BQ30:CF30)=0,"",MIN(BQ30:CF30)))</f>
        <v>46238</v>
      </c>
      <c r="G30" s="13">
        <f ca="1">IF(A30="","",MAX(0,IF(AND(ISNUMBER(Q30),S30&lt;&gt;"Completed",S30&lt;&gt;"N/A",Q30&lt;TODAY()),TODAY()-Q30,0),IF(AND(ISNUMBER(T30),V30&lt;&gt;"Completed",V30&lt;&gt;"N/A",T30&lt;TODAY()),TODAY()-T30,0),IF(AND(ISNUMBER(W30),Y30&lt;&gt;"Completed",Y30&lt;&gt;"N/A",W30&lt;TODAY()),TODAY()-W30,0),IF(AND(ISNUMBER(AA30),AC30&lt;&gt;"Completed",AC30&lt;&gt;"N/A",AA30&lt;TODAY()),TODAY()-AA30,0),IF(AND(ISNUMBER(AG30),AI30&lt;&gt;"Completed",AI30&lt;&gt;"N/A",AG30&lt;TODAY()),TODAY()-AG30,0),IF(AND(ISNUMBER(AJ30),AL30&lt;&gt;"Completed",AL30&lt;&gt;"N/A",AJ30&lt;TODAY()),TODAY()-AJ30,0),IF(AND(ISNUMBER(AM30),AO30&lt;&gt;"Completed",AO30&lt;&gt;"N/A",AM30&lt;TODAY()),TODAY()-AM30,0),IF(AND(ISNUMBER(AP30),AR30&lt;&gt;"Completed",AR30&lt;&gt;"N/A",AP30&lt;TODAY()),TODAY()-AP30,0),IF(AND(ISNUMBER(AU30),AW30&lt;&gt;"Completed",AW30&lt;&gt;"N/A",AU30&lt;TODAY()),TODAY()-AU30,0),IF(AND(ISNUMBER(AX30),AZ30&lt;&gt;"Completed",AZ30&lt;&gt;"N/A",AX30&lt;TODAY()),TODAY()-AX30,0),IF(AND(ISNUMBER(BA30),BC30&lt;&gt;"Completed",BC30&lt;&gt;"N/A",BA30&lt;TODAY()),TODAY()-BA30,0),IF(AND(ISNUMBER(BD30),BF30&lt;&gt;"Completed",BF30&lt;&gt;"N/A",BD30&lt;TODAY()),TODAY()-BD30,0),IF(AND(ISNUMBER(O30),P30&lt;&gt;"Completed",P30&lt;&gt;"N/A",O30&lt;TODAY()),TODAY()-O30,0),IF(AND(ISNUMBER(BM30),BN30&lt;&gt;"Completed",BN30&lt;&gt;"N/A",BM30&lt;TODAY()),TODAY()-BM30,0),IF(AND(ISNUMBER(BK30),BL30&lt;&gt;"Completed",BL30&lt;&gt;"N/A",BK30&lt;TODAY()),TODAY()-BK30,0),IF(AND(ISNUMBER(BI30),BJ30&lt;&gt;"Completed",BJ30&lt;&gt;"N/A",BI30&lt;TODAY()),TODAY()-BI30,0)))</f>
        <v>17</v>
      </c>
      <c r="H30" s="14">
        <v>46246</v>
      </c>
      <c r="I30" s="14">
        <v>46259</v>
      </c>
      <c r="J30" s="15">
        <v>46300</v>
      </c>
      <c r="K30" s="12">
        <f>IF(ISNUMBER(H30),H30,IF(ISNUMBER(M30),M30-WEEKDAY(M30,2)+1-7,""))</f>
        <v>46246</v>
      </c>
      <c r="L30" s="12">
        <f>IF(ISNUMBER(I30),I30,IF(ISNUMBER(H30),WORKDAY(H30,SprintWorkingDays-1),IF(ISNUMBER(K30),WORKDAY(K30,SprintWorkingDays-1),"")))</f>
        <v>46259</v>
      </c>
      <c r="M30" s="12">
        <f>IF(ISNUMBER(J30),J30,IF(ISNUMBER(I30),I30-IF(OR(WEEKDAY(I30,2)=2,WEEKDAY(I30,2)=4),0,IF(WEEKDAY(I30,2)=3,1,IF(WEEKDAY(I30,2)=1,4,WEEKDAY(I30,2)-4))),IF(ISNUMBER(H30),WORKDAY(H30,SprintWorkingDays-1)-IF(OR(WEEKDAY(WORKDAY(H30,SprintWorkingDays-1),2)=2,WEEKDAY(WORKDAY(H30,SprintWorkingDays-1),2)=4),0,IF(WEEKDAY(WORKDAY(H30,SprintWorkingDays-1),2)=3,1,IF(WEEKDAY(WORKDAY(H30,SprintWorkingDays-1),2)=1,4,WEEKDAY(WORKDAY(H30,SprintWorkingDays-1),2)-4))),"")))</f>
        <v>46300</v>
      </c>
      <c r="N30" s="12">
        <f>IF(NOT(ISNUMBER(K30)),"",WORKDAY(K30,ReadyOffsetWD))</f>
        <v>46245</v>
      </c>
      <c r="O30" s="12">
        <f>IF(NOT(ISNUMBER(K30)),"",WORKDAY(K30,SprintReadinessOffsetWD))</f>
        <v>46244</v>
      </c>
      <c r="P30" s="10" t="s">
        <v>30</v>
      </c>
      <c r="Q30" s="12">
        <f>IF(A30="","",IF(V30="N/A",IF(NOT(ISNUMBER(W30)),"",WORKDAY(W30,RTSKOffsetFromOUR_WD)),IF(NOT(ISNUMBER(T30)),"",WORKDAY(T30,RTSKOffsetFromOUR_WD))))</f>
        <v>46234</v>
      </c>
      <c r="R30" s="15">
        <v>46246</v>
      </c>
      <c r="S30" s="10" t="s">
        <v>32</v>
      </c>
      <c r="T30" s="12">
        <f>IF(OR(A30="",V30="N/A"),"",IF(NOT(ISNUMBER(W30)),"",WORKDAY(W30,OUROffsetFromSR_WD)))</f>
        <v>46238</v>
      </c>
      <c r="U30" s="15">
        <v>46234</v>
      </c>
      <c r="V30" s="10" t="s">
        <v>32</v>
      </c>
      <c r="W30" s="12">
        <f>IF(OR(A30="",NOT(ISNUMBER(K30))),"",WORKDAY(K30,SROffsetFromStartWD))</f>
        <v>46239</v>
      </c>
      <c r="X30" s="15">
        <v>46234</v>
      </c>
      <c r="Y30" s="10" t="s">
        <v>32</v>
      </c>
      <c r="Z30" s="10" t="s">
        <v>100</v>
      </c>
      <c r="AA30" s="12" t="str">
        <f>IF(OR(Z30="",Z30="N/A"),"",IF(ISNUMBER(Q30),Q30,""))</f>
        <v/>
      </c>
      <c r="AB30" s="15"/>
      <c r="AC30" s="10"/>
      <c r="AD30" s="10"/>
      <c r="AE30" s="10"/>
      <c r="AF30" s="10" t="str">
        <f>IF(Z30="N/A","N/A","")</f>
        <v>N/A</v>
      </c>
      <c r="AG30" s="12">
        <f>IF(NOT(ISNUMBER(Q30)),"",Q30)</f>
        <v>46234</v>
      </c>
      <c r="AH30" s="12">
        <v>46239</v>
      </c>
      <c r="AI30" s="10" t="s">
        <v>32</v>
      </c>
      <c r="AJ30" s="12">
        <f>IF(OR(AL30="N/A",NOT(ISNUMBER(T30))),"",T30)</f>
        <v>46238</v>
      </c>
      <c r="AK30" s="15">
        <v>46239</v>
      </c>
      <c r="AL30" s="10" t="s">
        <v>32</v>
      </c>
      <c r="AM30" s="12">
        <f>IF(NOT(ISNUMBER(W30)),"",W30)</f>
        <v>46239</v>
      </c>
      <c r="AN30" s="15">
        <v>46239</v>
      </c>
      <c r="AO30" s="10" t="s">
        <v>32</v>
      </c>
      <c r="AP30" s="12" t="str">
        <f>IF(OR(Z30="",Z30="N/A"),"",IF(ISNUMBER(AG30),AG30,""))</f>
        <v/>
      </c>
      <c r="AQ30" s="15"/>
      <c r="AR30" s="10"/>
      <c r="AS30" s="10"/>
      <c r="AT30" s="10"/>
      <c r="AU30" s="12">
        <f>IF(NOT(ISNUMBER(Q30)),"",Q30)</f>
        <v>46234</v>
      </c>
      <c r="AV30" s="15"/>
      <c r="AW30" s="10" t="s">
        <v>32</v>
      </c>
      <c r="AX30" s="12">
        <f>IF(OR(AZ30="N/A",NOT(ISNUMBER(T30))),"",T30)</f>
        <v>46238</v>
      </c>
      <c r="AY30" s="15"/>
      <c r="AZ30" s="10"/>
      <c r="BA30" s="12">
        <f>IF(NOT(ISNUMBER(W30)),"",W30)</f>
        <v>46239</v>
      </c>
      <c r="BB30" s="15"/>
      <c r="BC30" s="10"/>
      <c r="BD30" s="12" t="str">
        <f>IF(OR(Z30="",Z30="N/A"),"",IF(ISNUMBER(AU30),AU30,""))</f>
        <v/>
      </c>
      <c r="BE30" s="15"/>
      <c r="BF30" s="10"/>
      <c r="BG30" s="10"/>
      <c r="BH30" s="10"/>
      <c r="BI30" s="12">
        <v>46300</v>
      </c>
      <c r="BJ30" s="10"/>
      <c r="BK30" s="12">
        <f>IF(NOT(ISNUMBER(BI30)),"",IF(WEEKDAY(BI30-CodeReviewCalendarDays,2)&gt;5,BI30-CodeReviewCalendarDays-(WEEKDAY(BI30-CodeReviewCalendarDays,2)-5),BI30-CodeReviewCalendarDays))</f>
        <v>46297</v>
      </c>
      <c r="BL30" s="10"/>
      <c r="BM30" s="12">
        <f>IF(NOT(ISNUMBER(BK30)),"",IF(WEEKDAY(BK30-CodeReviewInviteCalendarDays,2)&gt;5,BK30-CodeReviewInviteCalendarDays-(WEEKDAY(BK30-CodeReviewInviteCalendarDays,2)-5),BK30-CodeReviewInviteCalendarDays))</f>
        <v>46293</v>
      </c>
      <c r="BN30" s="10"/>
      <c r="BO30" s="10"/>
      <c r="BP30" s="16" t="str">
        <f ca="1">IF(A30="","",IF(IF(AND(ISNUMBER(J30),WEEKDAY(J30,2)&lt;&gt;2,WEEKDAY(J30,2)&lt;&gt;4)," | Release must be Tuesday or Thursday","")&amp;IF(AND(ISNUMBER(H30),WEEKDAY(H30,2)&lt;&gt;1)," | Sprint Start is not a Monday - dates still calculated from the date entered","")&amp;IF(AND(A30&lt;&gt;"",NOT(ISNUMBER(H30)),NOT(ISNUMBER(J30)))," | Enter Sprint Start or Release Date","")&amp;IF(AND(ISNUMBER(F30),F30&lt;TODAY(),D30&lt;&gt;"Completed")," | One or more raise-by dates are in the past and not completed","")&amp;IF(AND(ISNUMBER(K30),K30-TODAY()&lt;SprintWarningDays,K30&gt;=TODAY(),OR(D30="Yet to start",D30="Blocked"))," | Sprint starts in under 10 days - raise access requests now","")&amp;IF(AND(ISNUMBER(BM30),BN30&lt;&gt;"Completed",BN30&lt;&gt;"N/A",BM30-TODAY()&lt;CodeReviewInviteCalendarDays)," | Code Review invite should be sent at least 4 days before Code Review","")="","",MID(IF(AND(ISNUMBER(J30),WEEKDAY(J30,2)&lt;&gt;2,WEEKDAY(J30,2)&lt;&gt;4)," | Release must be Tuesday or Thursday","")&amp;IF(AND(ISNUMBER(H30),WEEKDAY(H30,2)&lt;&gt;1)," | Sprint Start is not a Monday - dates still calculated from the date entered","")&amp;IF(AND(A30&lt;&gt;"",NOT(ISNUMBER(H30)),NOT(ISNUMBER(J30)))," | Enter Sprint Start or Release Date","")&amp;IF(AND(ISNUMBER(F30),F30&lt;TODAY(),D30&lt;&gt;"Completed")," | One or more raise-by dates are in the past and not completed","")&amp;IF(AND(ISNUMBER(K30),K30-TODAY()&lt;SprintWarningDays,K30&gt;=TODAY(),OR(D30="Yet to start",D30="Blocked"))," | Sprint starts in under 10 days - raise access requests now","")&amp;IF(AND(ISNUMBER(BM30),BN30&lt;&gt;"Completed",BN30&lt;&gt;"N/A",BM30-TODAY()&lt;CodeReviewInviteCalendarDays),"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30" s="1" t="str">
        <f>IF(AND(ISNUMBER(Q30),S30&lt;&gt;"Completed",S30&lt;&gt;"N/A"),Q30,"")</f>
        <v/>
      </c>
      <c r="BR30" s="1" t="str">
        <f>IF(AND(ISNUMBER(T30),V30&lt;&gt;"Completed",V30&lt;&gt;"N/A"),T30,"")</f>
        <v/>
      </c>
      <c r="BS30" s="1" t="str">
        <f>IF(AND(ISNUMBER(W30),Y30&lt;&gt;"Completed",Y30&lt;&gt;"N/A"),W30,"")</f>
        <v/>
      </c>
      <c r="BT30" s="1" t="str">
        <f>IF(AND(ISNUMBER(AA30),AC30&lt;&gt;"Completed",AC30&lt;&gt;"N/A"),AA30,"")</f>
        <v/>
      </c>
      <c r="BU30" s="1" t="str">
        <f>IF(AND(ISNUMBER(AG30),AI30&lt;&gt;"Completed",AI30&lt;&gt;"N/A"),AG30,"")</f>
        <v/>
      </c>
      <c r="BV30" s="1" t="str">
        <f>IF(AND(ISNUMBER(AJ30),AL30&lt;&gt;"Completed",AL30&lt;&gt;"N/A"),AJ30,"")</f>
        <v/>
      </c>
      <c r="BW30" s="1" t="str">
        <f>IF(AND(ISNUMBER(AM30),AO30&lt;&gt;"Completed",AO30&lt;&gt;"N/A"),AM30,"")</f>
        <v/>
      </c>
      <c r="BX30" s="1" t="str">
        <f>IF(AND(ISNUMBER(AP30),AR30&lt;&gt;"Completed",AR30&lt;&gt;"N/A"),AP30,"")</f>
        <v/>
      </c>
      <c r="BY30" s="1" t="str">
        <f>IF(AND(ISNUMBER(AU30),AW30&lt;&gt;"Completed",AW30&lt;&gt;"N/A"),AU30,"")</f>
        <v/>
      </c>
      <c r="BZ30" s="1">
        <f>IF(AND(ISNUMBER(AX30),AZ30&lt;&gt;"Completed",AZ30&lt;&gt;"N/A"),AX30,"")</f>
        <v>46238</v>
      </c>
      <c r="CA30" s="1">
        <f>IF(AND(ISNUMBER(BA30),BC30&lt;&gt;"Completed",BC30&lt;&gt;"N/A"),BA30,"")</f>
        <v>46239</v>
      </c>
      <c r="CB30" s="1" t="str">
        <f>IF(AND(ISNUMBER(BD30),BF30&lt;&gt;"Completed",BF30&lt;&gt;"N/A"),BD30,"")</f>
        <v/>
      </c>
      <c r="CC30" s="1">
        <f>IF(AND(ISNUMBER(O30),P30&lt;&gt;"Completed",P30&lt;&gt;"N/A"),O30,"")</f>
        <v>46244</v>
      </c>
      <c r="CD30" s="1">
        <f>IF(AND(ISNUMBER(BM30),BN30&lt;&gt;"Completed",BN30&lt;&gt;"N/A"),BM30,"")</f>
        <v>46293</v>
      </c>
      <c r="CE30" s="1">
        <f>IF(AND(ISNUMBER(BK30),BL30&lt;&gt;"Completed",BL30&lt;&gt;"N/A"),BK30,"")</f>
        <v>46297</v>
      </c>
      <c r="CF30" s="1">
        <f>IF(AND(ISNUMBER(BI30),BJ30&lt;&gt;"Completed",BJ30&lt;&gt;"N/A"),BI30,"")</f>
        <v>46300</v>
      </c>
      <c r="CG30" s="1">
        <f ca="1">IF(OR(A30="",D30="Completed"),"",IF(N(G30)&gt;0,1/(N(G30)+ROW()/100000),IF(ISNUMBER(F30),1000+F30+ROW()/100000,TODAY()+400+ROW()/100000)))</f>
        <v>5.8822491367799393E-2</v>
      </c>
    </row>
    <row r="31" spans="1:85" ht="15.95" customHeight="1">
      <c r="A31" s="10" t="s">
        <v>133</v>
      </c>
      <c r="B31" s="10" t="s">
        <v>98</v>
      </c>
      <c r="C31" s="10" t="s">
        <v>117</v>
      </c>
      <c r="D31" s="11" t="str">
        <f>IF(A31="","",IF(((S31="Blocked")+(V31="Blocked")+(Y31="Blocked")+(AC31="Blocked")+(AI31="Blocked")+(AL31="Blocked")+(AO31="Blocked")+(AR31="Blocked")+(AW31="Blocked")+(AZ31="Blocked")+(BC31="Blocked")+(BF31="Blocked")+(P31="Blocked")+(BJ31="Blocked")+(BL31="Blocked")+(BN31="Blocked")+(BO31="Blocked"))&gt;0,"Blocked",IF((ISNUMBER(Q31)+ISNUMBER(T31)+ISNUMBER(W31)+ISNUMBER(AA31)+ISNUMBER(AG31)+ISNUMBER(AJ31)+ISNUMBER(AM31)+ISNUMBER(AP31)+ISNUMBER(AU31)+ISNUMBER(AX31)+ISNUMBER(BA31)+ISNUMBER(BD31)+ISNUMBER(O31)+ISNUMBER(BI31)+ISNUMBER(BK31)+ISNUMBER(BM31))=0,"Yet to start",IF(AND(OR(NOT(ISNUMBER(Q31)),S31="Completed",S31="N/A"),OR(NOT(ISNUMBER(T31)),V31="Completed",V31="N/A"),OR(NOT(ISNUMBER(W31)),Y31="Completed",Y31="N/A"),OR(NOT(ISNUMBER(AA31)),AC31="Completed",AC31="N/A"),OR(NOT(ISNUMBER(AG31)),AI31="Completed",AI31="N/A"),OR(NOT(ISNUMBER(AJ31)),AL31="Completed",AL31="N/A"),OR(NOT(ISNUMBER(AM31)),AO31="Completed",AO31="N/A"),OR(NOT(ISNUMBER(AP31)),AR31="Completed",AR31="N/A"),OR(NOT(ISNUMBER(AU31)),AW31="Completed",AW31="N/A"),OR(NOT(ISNUMBER(AX31)),AZ31="Completed",AZ31="N/A"),OR(NOT(ISNUMBER(BA31)),BC31="Completed",BC31="N/A"),OR(NOT(ISNUMBER(BD31)),BF31="Completed",BF31="N/A"),OR(NOT(ISNUMBER(O31)),P31="Completed",P31="N/A"),OR(NOT(ISNUMBER(BI31)),BJ31="Completed",BJ31="N/A"),OR(NOT(ISNUMBER(BK31)),BL31="Completed",BL31="N/A"),OR(NOT(ISNUMBER(BM31)),BN31="Completed",BN31="N/A"),OR(BO31="Completed",BO31="N/A")),"Completed",IF(((S31="In Progress")+(V31="In Progress")+(Y31="In Progress")+(AC31="In Progress")+(AI31="In Progress")+(AL31="In Progress")+(AO31="In Progress")+(AR31="In Progress")+(AW31="In Progress")+(AZ31="In Progress")+(BC31="In Progress")+(BF31="In Progress")+(P31="In Progress")+(BJ31="In Progress")+(BL31="In Progress")+(BN31="In Progress")+(BO31="In Progress"))&gt;0,"In Progress","Yet to start")))))</f>
        <v>In Progress</v>
      </c>
      <c r="E31" s="11" t="str">
        <f>IF(A31="","",IF(F31="","All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Review","CAB"},MATCH(F31,BQ31:CF31,0))))</f>
        <v>Prod OUR</v>
      </c>
      <c r="F31" s="12">
        <f>IF(A31="","",IF(COUNT(BQ31:CF31)=0,"",MIN(BQ31:CF31)))</f>
        <v>46238</v>
      </c>
      <c r="G31" s="13">
        <f ca="1">IF(A31="","",MAX(0,IF(AND(ISNUMBER(Q31),S31&lt;&gt;"Completed",S31&lt;&gt;"N/A",Q31&lt;TODAY()),TODAY()-Q31,0),IF(AND(ISNUMBER(T31),V31&lt;&gt;"Completed",V31&lt;&gt;"N/A",T31&lt;TODAY()),TODAY()-T31,0),IF(AND(ISNUMBER(W31),Y31&lt;&gt;"Completed",Y31&lt;&gt;"N/A",W31&lt;TODAY()),TODAY()-W31,0),IF(AND(ISNUMBER(AA31),AC31&lt;&gt;"Completed",AC31&lt;&gt;"N/A",AA31&lt;TODAY()),TODAY()-AA31,0),IF(AND(ISNUMBER(AG31),AI31&lt;&gt;"Completed",AI31&lt;&gt;"N/A",AG31&lt;TODAY()),TODAY()-AG31,0),IF(AND(ISNUMBER(AJ31),AL31&lt;&gt;"Completed",AL31&lt;&gt;"N/A",AJ31&lt;TODAY()),TODAY()-AJ31,0),IF(AND(ISNUMBER(AM31),AO31&lt;&gt;"Completed",AO31&lt;&gt;"N/A",AM31&lt;TODAY()),TODAY()-AM31,0),IF(AND(ISNUMBER(AP31),AR31&lt;&gt;"Completed",AR31&lt;&gt;"N/A",AP31&lt;TODAY()),TODAY()-AP31,0),IF(AND(ISNUMBER(AU31),AW31&lt;&gt;"Completed",AW31&lt;&gt;"N/A",AU31&lt;TODAY()),TODAY()-AU31,0),IF(AND(ISNUMBER(AX31),AZ31&lt;&gt;"Completed",AZ31&lt;&gt;"N/A",AX31&lt;TODAY()),TODAY()-AX31,0),IF(AND(ISNUMBER(BA31),BC31&lt;&gt;"Completed",BC31&lt;&gt;"N/A",BA31&lt;TODAY()),TODAY()-BA31,0),IF(AND(ISNUMBER(BD31),BF31&lt;&gt;"Completed",BF31&lt;&gt;"N/A",BD31&lt;TODAY()),TODAY()-BD31,0),IF(AND(ISNUMBER(O31),P31&lt;&gt;"Completed",P31&lt;&gt;"N/A",O31&lt;TODAY()),TODAY()-O31,0),IF(AND(ISNUMBER(BM31),BN31&lt;&gt;"Completed",BN31&lt;&gt;"N/A",BM31&lt;TODAY()),TODAY()-BM31,0),IF(AND(ISNUMBER(BK31),BL31&lt;&gt;"Completed",BL31&lt;&gt;"N/A",BK31&lt;TODAY()),TODAY()-BK31,0),IF(AND(ISNUMBER(BI31),BJ31&lt;&gt;"Completed",BJ31&lt;&gt;"N/A",BI31&lt;TODAY()),TODAY()-BI31,0)))</f>
        <v>17</v>
      </c>
      <c r="H31" s="14">
        <v>46246</v>
      </c>
      <c r="I31" s="14">
        <v>46259</v>
      </c>
      <c r="J31" s="15">
        <v>46300</v>
      </c>
      <c r="K31" s="12">
        <f>IF(ISNUMBER(H31),H31,IF(ISNUMBER(M31),M31-WEEKDAY(M31,2)+1-7,""))</f>
        <v>46246</v>
      </c>
      <c r="L31" s="12">
        <f>IF(ISNUMBER(I31),I31,IF(ISNUMBER(H31),WORKDAY(H31,SprintWorkingDays-1),IF(ISNUMBER(K31),WORKDAY(K31,SprintWorkingDays-1),"")))</f>
        <v>46259</v>
      </c>
      <c r="M31" s="12">
        <f>IF(ISNUMBER(J31),J31,IF(ISNUMBER(I31),I31-IF(OR(WEEKDAY(I31,2)=2,WEEKDAY(I31,2)=4),0,IF(WEEKDAY(I31,2)=3,1,IF(WEEKDAY(I31,2)=1,4,WEEKDAY(I31,2)-4))),IF(ISNUMBER(H31),WORKDAY(H31,SprintWorkingDays-1)-IF(OR(WEEKDAY(WORKDAY(H31,SprintWorkingDays-1),2)=2,WEEKDAY(WORKDAY(H31,SprintWorkingDays-1),2)=4),0,IF(WEEKDAY(WORKDAY(H31,SprintWorkingDays-1),2)=3,1,IF(WEEKDAY(WORKDAY(H31,SprintWorkingDays-1),2)=1,4,WEEKDAY(WORKDAY(H31,SprintWorkingDays-1),2)-4))),"")))</f>
        <v>46300</v>
      </c>
      <c r="N31" s="12">
        <f>IF(NOT(ISNUMBER(K31)),"",WORKDAY(K31,ReadyOffsetWD))</f>
        <v>46245</v>
      </c>
      <c r="O31" s="12">
        <f>IF(NOT(ISNUMBER(K31)),"",WORKDAY(K31,SprintReadinessOffsetWD))</f>
        <v>46244</v>
      </c>
      <c r="P31" s="10" t="s">
        <v>30</v>
      </c>
      <c r="Q31" s="12">
        <f>IF(A31="","",IF(V31="N/A",IF(NOT(ISNUMBER(W31)),"",WORKDAY(W31,RTSKOffsetFromOUR_WD)),IF(NOT(ISNUMBER(T31)),"",WORKDAY(T31,RTSKOffsetFromOUR_WD))))</f>
        <v>46234</v>
      </c>
      <c r="R31" s="15">
        <v>46246</v>
      </c>
      <c r="S31" s="10" t="s">
        <v>32</v>
      </c>
      <c r="T31" s="12">
        <f>IF(OR(A31="",V31="N/A"),"",IF(NOT(ISNUMBER(W31)),"",WORKDAY(W31,OUROffsetFromSR_WD)))</f>
        <v>46238</v>
      </c>
      <c r="U31" s="15">
        <v>46234</v>
      </c>
      <c r="V31" s="10" t="s">
        <v>32</v>
      </c>
      <c r="W31" s="12">
        <f>IF(OR(A31="",NOT(ISNUMBER(K31))),"",WORKDAY(K31,SROffsetFromStartWD))</f>
        <v>46239</v>
      </c>
      <c r="X31" s="15">
        <v>46234</v>
      </c>
      <c r="Y31" s="10" t="s">
        <v>32</v>
      </c>
      <c r="Z31" s="10" t="s">
        <v>100</v>
      </c>
      <c r="AA31" s="12" t="str">
        <f>IF(OR(Z31="",Z31="N/A"),"",IF(ISNUMBER(Q31),Q31,""))</f>
        <v/>
      </c>
      <c r="AB31" s="15"/>
      <c r="AC31" s="10"/>
      <c r="AD31" s="10"/>
      <c r="AE31" s="10"/>
      <c r="AF31" s="10" t="str">
        <f>IF(Z31="N/A","N/A","")</f>
        <v>N/A</v>
      </c>
      <c r="AG31" s="12">
        <f>IF(NOT(ISNUMBER(Q31)),"",Q31)</f>
        <v>46234</v>
      </c>
      <c r="AH31" s="12">
        <v>46239</v>
      </c>
      <c r="AI31" s="10" t="s">
        <v>32</v>
      </c>
      <c r="AJ31" s="12">
        <f>IF(OR(AL31="N/A",NOT(ISNUMBER(T31))),"",T31)</f>
        <v>46238</v>
      </c>
      <c r="AK31" s="15">
        <v>46239</v>
      </c>
      <c r="AL31" s="10" t="s">
        <v>32</v>
      </c>
      <c r="AM31" s="12">
        <f>IF(NOT(ISNUMBER(W31)),"",W31)</f>
        <v>46239</v>
      </c>
      <c r="AN31" s="15">
        <v>46239</v>
      </c>
      <c r="AO31" s="10" t="s">
        <v>32</v>
      </c>
      <c r="AP31" s="12" t="str">
        <f>IF(OR(Z31="",Z31="N/A"),"",IF(ISNUMBER(AG31),AG31,""))</f>
        <v/>
      </c>
      <c r="AQ31" s="15"/>
      <c r="AR31" s="10"/>
      <c r="AS31" s="10"/>
      <c r="AT31" s="10"/>
      <c r="AU31" s="12">
        <f>IF(NOT(ISNUMBER(Q31)),"",Q31)</f>
        <v>46234</v>
      </c>
      <c r="AV31" s="15"/>
      <c r="AW31" s="10" t="s">
        <v>32</v>
      </c>
      <c r="AX31" s="12">
        <f>IF(OR(AZ31="N/A",NOT(ISNUMBER(T31))),"",T31)</f>
        <v>46238</v>
      </c>
      <c r="AY31" s="15"/>
      <c r="AZ31" s="10"/>
      <c r="BA31" s="12">
        <f>IF(NOT(ISNUMBER(W31)),"",W31)</f>
        <v>46239</v>
      </c>
      <c r="BB31" s="15"/>
      <c r="BC31" s="10"/>
      <c r="BD31" s="12" t="str">
        <f>IF(OR(Z31="",Z31="N/A"),"",IF(ISNUMBER(AU31),AU31,""))</f>
        <v/>
      </c>
      <c r="BE31" s="15"/>
      <c r="BF31" s="10"/>
      <c r="BG31" s="10"/>
      <c r="BH31" s="10"/>
      <c r="BI31" s="12">
        <v>46300</v>
      </c>
      <c r="BJ31" s="10"/>
      <c r="BK31" s="12">
        <f>IF(NOT(ISNUMBER(BI31)),"",IF(WEEKDAY(BI31-CodeReviewCalendarDays,2)&gt;5,BI31-CodeReviewCalendarDays-(WEEKDAY(BI31-CodeReviewCalendarDays,2)-5),BI31-CodeReviewCalendarDays))</f>
        <v>46297</v>
      </c>
      <c r="BL31" s="10"/>
      <c r="BM31" s="12">
        <f>IF(NOT(ISNUMBER(BK31)),"",IF(WEEKDAY(BK31-CodeReviewInviteCalendarDays,2)&gt;5,BK31-CodeReviewInviteCalendarDays-(WEEKDAY(BK31-CodeReviewInviteCalendarDays,2)-5),BK31-CodeReviewInviteCalendarDays))</f>
        <v>46293</v>
      </c>
      <c r="BN31" s="10"/>
      <c r="BO31" s="10"/>
      <c r="BP31" s="16" t="str">
        <f ca="1">IF(A31="","",IF(IF(AND(ISNUMBER(J31),WEEKDAY(J31,2)&lt;&gt;2,WEEKDAY(J31,2)&lt;&gt;4)," | Release must be Tuesday or Thursday","")&amp;IF(AND(ISNUMBER(H31),WEEKDAY(H31,2)&lt;&gt;1)," | Sprint Start is not a Monday - dates still calculated from the date entered","")&amp;IF(AND(A31&lt;&gt;"",NOT(ISNUMBER(H31)),NOT(ISNUMBER(J31)))," | Enter Sprint Start or Release Date","")&amp;IF(AND(ISNUMBER(F31),F31&lt;TODAY(),D31&lt;&gt;"Completed")," | One or more raise-by dates are in the past and not completed","")&amp;IF(AND(ISNUMBER(K31),K31-TODAY()&lt;SprintWarningDays,K31&gt;=TODAY(),OR(D31="Yet to start",D31="Blocked"))," | Sprint starts in under 10 days - raise access requests now","")&amp;IF(AND(ISNUMBER(BM31),BN31&lt;&gt;"Completed",BN31&lt;&gt;"N/A",BM31-TODAY()&lt;CodeReviewInviteCalendarDays)," | Code Review invite should be sent at least 4 days before Code Review","")="","",MID(IF(AND(ISNUMBER(J31),WEEKDAY(J31,2)&lt;&gt;2,WEEKDAY(J31,2)&lt;&gt;4)," | Release must be Tuesday or Thursday","")&amp;IF(AND(ISNUMBER(H31),WEEKDAY(H31,2)&lt;&gt;1)," | Sprint Start is not a Monday - dates still calculated from the date entered","")&amp;IF(AND(A31&lt;&gt;"",NOT(ISNUMBER(H31)),NOT(ISNUMBER(J31)))," | Enter Sprint Start or Release Date","")&amp;IF(AND(ISNUMBER(F31),F31&lt;TODAY(),D31&lt;&gt;"Completed")," | One or more raise-by dates are in the past and not completed","")&amp;IF(AND(ISNUMBER(K31),K31-TODAY()&lt;SprintWarningDays,K31&gt;=TODAY(),OR(D31="Yet to start",D31="Blocked"))," | Sprint starts in under 10 days - raise access requests now","")&amp;IF(AND(ISNUMBER(BM31),BN31&lt;&gt;"Completed",BN31&lt;&gt;"N/A",BM31-TODAY()&lt;CodeReviewInviteCalendarDays),"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31" s="1" t="str">
        <f>IF(AND(ISNUMBER(Q31),S31&lt;&gt;"Completed",S31&lt;&gt;"N/A"),Q31,"")</f>
        <v/>
      </c>
      <c r="BR31" s="1" t="str">
        <f>IF(AND(ISNUMBER(T31),V31&lt;&gt;"Completed",V31&lt;&gt;"N/A"),T31,"")</f>
        <v/>
      </c>
      <c r="BS31" s="1" t="str">
        <f>IF(AND(ISNUMBER(W31),Y31&lt;&gt;"Completed",Y31&lt;&gt;"N/A"),W31,"")</f>
        <v/>
      </c>
      <c r="BT31" s="1" t="str">
        <f>IF(AND(ISNUMBER(AA31),AC31&lt;&gt;"Completed",AC31&lt;&gt;"N/A"),AA31,"")</f>
        <v/>
      </c>
      <c r="BU31" s="1" t="str">
        <f>IF(AND(ISNUMBER(AG31),AI31&lt;&gt;"Completed",AI31&lt;&gt;"N/A"),AG31,"")</f>
        <v/>
      </c>
      <c r="BV31" s="1" t="str">
        <f>IF(AND(ISNUMBER(AJ31),AL31&lt;&gt;"Completed",AL31&lt;&gt;"N/A"),AJ31,"")</f>
        <v/>
      </c>
      <c r="BW31" s="1" t="str">
        <f>IF(AND(ISNUMBER(AM31),AO31&lt;&gt;"Completed",AO31&lt;&gt;"N/A"),AM31,"")</f>
        <v/>
      </c>
      <c r="BX31" s="1" t="str">
        <f>IF(AND(ISNUMBER(AP31),AR31&lt;&gt;"Completed",AR31&lt;&gt;"N/A"),AP31,"")</f>
        <v/>
      </c>
      <c r="BY31" s="1" t="str">
        <f>IF(AND(ISNUMBER(AU31),AW31&lt;&gt;"Completed",AW31&lt;&gt;"N/A"),AU31,"")</f>
        <v/>
      </c>
      <c r="BZ31" s="1">
        <f>IF(AND(ISNUMBER(AX31),AZ31&lt;&gt;"Completed",AZ31&lt;&gt;"N/A"),AX31,"")</f>
        <v>46238</v>
      </c>
      <c r="CA31" s="1">
        <f>IF(AND(ISNUMBER(BA31),BC31&lt;&gt;"Completed",BC31&lt;&gt;"N/A"),BA31,"")</f>
        <v>46239</v>
      </c>
      <c r="CB31" s="1" t="str">
        <f>IF(AND(ISNUMBER(BD31),BF31&lt;&gt;"Completed",BF31&lt;&gt;"N/A"),BD31,"")</f>
        <v/>
      </c>
      <c r="CC31" s="1">
        <f>IF(AND(ISNUMBER(O31),P31&lt;&gt;"Completed",P31&lt;&gt;"N/A"),O31,"")</f>
        <v>46244</v>
      </c>
      <c r="CD31" s="1">
        <f>IF(AND(ISNUMBER(BM31),BN31&lt;&gt;"Completed",BN31&lt;&gt;"N/A"),BM31,"")</f>
        <v>46293</v>
      </c>
      <c r="CE31" s="1">
        <f>IF(AND(ISNUMBER(BK31),BL31&lt;&gt;"Completed",BL31&lt;&gt;"N/A"),BK31,"")</f>
        <v>46297</v>
      </c>
      <c r="CF31" s="1">
        <f>IF(AND(ISNUMBER(BI31),BJ31&lt;&gt;"Completed",BJ31&lt;&gt;"N/A"),BI31,"")</f>
        <v>46300</v>
      </c>
      <c r="CG31" s="1">
        <f ca="1">IF(OR(A31="",D31="Completed"),"",IF(N(G31)&gt;0,1/(N(G31)+ROW()/100000),IF(ISNUMBER(F31),1000+F31+ROW()/100000,TODAY()+400+ROW()/100000)))</f>
        <v>5.8822456766964841E-2</v>
      </c>
    </row>
    <row r="32" spans="1:85" ht="15.95" customHeight="1">
      <c r="A32" s="10" t="s">
        <v>134</v>
      </c>
      <c r="B32" s="10" t="s">
        <v>98</v>
      </c>
      <c r="C32" s="10" t="s">
        <v>117</v>
      </c>
      <c r="D32" s="11" t="str">
        <f>IF(A32="","",IF(((S32="Blocked")+(V32="Blocked")+(Y32="Blocked")+(AC32="Blocked")+(AI32="Blocked")+(AL32="Blocked")+(AO32="Blocked")+(AR32="Blocked")+(AW32="Blocked")+(AZ32="Blocked")+(BC32="Blocked")+(BF32="Blocked")+(P32="Blocked")+(BJ32="Blocked")+(BL32="Blocked")+(BN32="Blocked")+(BO32="Blocked"))&gt;0,"Blocked",IF((ISNUMBER(Q32)+ISNUMBER(T32)+ISNUMBER(W32)+ISNUMBER(AA32)+ISNUMBER(AG32)+ISNUMBER(AJ32)+ISNUMBER(AM32)+ISNUMBER(AP32)+ISNUMBER(AU32)+ISNUMBER(AX32)+ISNUMBER(BA32)+ISNUMBER(BD32)+ISNUMBER(O32)+ISNUMBER(BI32)+ISNUMBER(BK32)+ISNUMBER(BM32))=0,"Yet to start",IF(AND(OR(NOT(ISNUMBER(Q32)),S32="Completed",S32="N/A"),OR(NOT(ISNUMBER(T32)),V32="Completed",V32="N/A"),OR(NOT(ISNUMBER(W32)),Y32="Completed",Y32="N/A"),OR(NOT(ISNUMBER(AA32)),AC32="Completed",AC32="N/A"),OR(NOT(ISNUMBER(AG32)),AI32="Completed",AI32="N/A"),OR(NOT(ISNUMBER(AJ32)),AL32="Completed",AL32="N/A"),OR(NOT(ISNUMBER(AM32)),AO32="Completed",AO32="N/A"),OR(NOT(ISNUMBER(AP32)),AR32="Completed",AR32="N/A"),OR(NOT(ISNUMBER(AU32)),AW32="Completed",AW32="N/A"),OR(NOT(ISNUMBER(AX32)),AZ32="Completed",AZ32="N/A"),OR(NOT(ISNUMBER(BA32)),BC32="Completed",BC32="N/A"),OR(NOT(ISNUMBER(BD32)),BF32="Completed",BF32="N/A"),OR(NOT(ISNUMBER(O32)),P32="Completed",P32="N/A"),OR(NOT(ISNUMBER(BI32)),BJ32="Completed",BJ32="N/A"),OR(NOT(ISNUMBER(BK32)),BL32="Completed",BL32="N/A"),OR(NOT(ISNUMBER(BM32)),BN32="Completed",BN32="N/A"),OR(BO32="Completed",BO32="N/A")),"Completed",IF(((S32="In Progress")+(V32="In Progress")+(Y32="In Progress")+(AC32="In Progress")+(AI32="In Progress")+(AL32="In Progress")+(AO32="In Progress")+(AR32="In Progress")+(AW32="In Progress")+(AZ32="In Progress")+(BC32="In Progress")+(BF32="In Progress")+(P32="In Progress")+(BJ32="In Progress")+(BL32="In Progress")+(BN32="In Progress")+(BO32="In Progress"))&gt;0,"In Progress","Yet to start")))))</f>
        <v>Yet to start</v>
      </c>
      <c r="E32" s="11" t="str">
        <f>IF(A32="","",IF(F32="","All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Review","CAB"},MATCH(F32,BQ32:CF32,0))))</f>
        <v>Dev File R-Task</v>
      </c>
      <c r="F32" s="12">
        <f>IF(A32="","",IF(COUNT(BQ32:CF32)=0,"",MIN(BQ32:CF32)))</f>
        <v>46234</v>
      </c>
      <c r="G32" s="13">
        <f ca="1">IF(A32="","",MAX(0,IF(AND(ISNUMBER(Q32),S32&lt;&gt;"Completed",S32&lt;&gt;"N/A",Q32&lt;TODAY()),TODAY()-Q32,0),IF(AND(ISNUMBER(T32),V32&lt;&gt;"Completed",V32&lt;&gt;"N/A",T32&lt;TODAY()),TODAY()-T32,0),IF(AND(ISNUMBER(W32),Y32&lt;&gt;"Completed",Y32&lt;&gt;"N/A",W32&lt;TODAY()),TODAY()-W32,0),IF(AND(ISNUMBER(AA32),AC32&lt;&gt;"Completed",AC32&lt;&gt;"N/A",AA32&lt;TODAY()),TODAY()-AA32,0),IF(AND(ISNUMBER(AG32),AI32&lt;&gt;"Completed",AI32&lt;&gt;"N/A",AG32&lt;TODAY()),TODAY()-AG32,0),IF(AND(ISNUMBER(AJ32),AL32&lt;&gt;"Completed",AL32&lt;&gt;"N/A",AJ32&lt;TODAY()),TODAY()-AJ32,0),IF(AND(ISNUMBER(AM32),AO32&lt;&gt;"Completed",AO32&lt;&gt;"N/A",AM32&lt;TODAY()),TODAY()-AM32,0),IF(AND(ISNUMBER(AP32),AR32&lt;&gt;"Completed",AR32&lt;&gt;"N/A",AP32&lt;TODAY()),TODAY()-AP32,0),IF(AND(ISNUMBER(AU32),AW32&lt;&gt;"Completed",AW32&lt;&gt;"N/A",AU32&lt;TODAY()),TODAY()-AU32,0),IF(AND(ISNUMBER(AX32),AZ32&lt;&gt;"Completed",AZ32&lt;&gt;"N/A",AX32&lt;TODAY()),TODAY()-AX32,0),IF(AND(ISNUMBER(BA32),BC32&lt;&gt;"Completed",BC32&lt;&gt;"N/A",BA32&lt;TODAY()),TODAY()-BA32,0),IF(AND(ISNUMBER(BD32),BF32&lt;&gt;"Completed",BF32&lt;&gt;"N/A",BD32&lt;TODAY()),TODAY()-BD32,0),IF(AND(ISNUMBER(O32),P32&lt;&gt;"Completed",P32&lt;&gt;"N/A",O32&lt;TODAY()),TODAY()-O32,0),IF(AND(ISNUMBER(BM32),BN32&lt;&gt;"Completed",BN32&lt;&gt;"N/A",BM32&lt;TODAY()),TODAY()-BM32,0),IF(AND(ISNUMBER(BK32),BL32&lt;&gt;"Completed",BL32&lt;&gt;"N/A",BK32&lt;TODAY()),TODAY()-BK32,0),IF(AND(ISNUMBER(BI32),BJ32&lt;&gt;"Completed",BJ32&lt;&gt;"N/A",BI32&lt;TODAY()),TODAY()-BI32,0)))</f>
        <v>21</v>
      </c>
      <c r="H32" s="14">
        <v>46246</v>
      </c>
      <c r="I32" s="14">
        <v>46259</v>
      </c>
      <c r="J32" s="15">
        <v>46300</v>
      </c>
      <c r="K32" s="12">
        <f>IF(ISNUMBER(H32),H32,IF(ISNUMBER(M32),M32-WEEKDAY(M32,2)+1-7,""))</f>
        <v>46246</v>
      </c>
      <c r="L32" s="12">
        <f>IF(ISNUMBER(I32),I32,IF(ISNUMBER(H32),WORKDAY(H32,SprintWorkingDays-1),IF(ISNUMBER(K32),WORKDAY(K32,SprintWorkingDays-1),"")))</f>
        <v>46259</v>
      </c>
      <c r="M32" s="12">
        <f>IF(ISNUMBER(J32),J32,IF(ISNUMBER(I32),I32-IF(OR(WEEKDAY(I32,2)=2,WEEKDAY(I32,2)=4),0,IF(WEEKDAY(I32,2)=3,1,IF(WEEKDAY(I32,2)=1,4,WEEKDAY(I32,2)-4))),IF(ISNUMBER(H32),WORKDAY(H32,SprintWorkingDays-1)-IF(OR(WEEKDAY(WORKDAY(H32,SprintWorkingDays-1),2)=2,WEEKDAY(WORKDAY(H32,SprintWorkingDays-1),2)=4),0,IF(WEEKDAY(WORKDAY(H32,SprintWorkingDays-1),2)=3,1,IF(WEEKDAY(WORKDAY(H32,SprintWorkingDays-1),2)=1,4,WEEKDAY(WORKDAY(H32,SprintWorkingDays-1),2)-4))),"")))</f>
        <v>46300</v>
      </c>
      <c r="N32" s="12">
        <f>IF(NOT(ISNUMBER(K32)),"",WORKDAY(K32,ReadyOffsetWD))</f>
        <v>46245</v>
      </c>
      <c r="O32" s="12">
        <f>IF(NOT(ISNUMBER(K32)),"",WORKDAY(K32,SprintReadinessOffsetWD))</f>
        <v>46244</v>
      </c>
      <c r="P32" s="10" t="s">
        <v>107</v>
      </c>
      <c r="Q32" s="12">
        <f>IF(A32="","",IF(V32="N/A",IF(NOT(ISNUMBER(W32)),"",WORKDAY(W32,RTSKOffsetFromOUR_WD)),IF(NOT(ISNUMBER(T32)),"",WORKDAY(T32,RTSKOffsetFromOUR_WD))))</f>
        <v>46234</v>
      </c>
      <c r="R32" s="15">
        <v>46252</v>
      </c>
      <c r="S32" s="10" t="s">
        <v>32</v>
      </c>
      <c r="T32" s="12">
        <f>IF(OR(A32="",V32="N/A"),"",IF(NOT(ISNUMBER(W32)),"",WORKDAY(W32,OUROffsetFromSR_WD)))</f>
        <v>46238</v>
      </c>
      <c r="U32" s="15">
        <v>46248</v>
      </c>
      <c r="V32" s="10" t="s">
        <v>32</v>
      </c>
      <c r="W32" s="12">
        <f>IF(OR(A32="",NOT(ISNUMBER(K32))),"",WORKDAY(K32,SROffsetFromStartWD))</f>
        <v>46239</v>
      </c>
      <c r="X32" s="15">
        <v>46248</v>
      </c>
      <c r="Y32" s="10" t="s">
        <v>32</v>
      </c>
      <c r="Z32" s="10" t="s">
        <v>114</v>
      </c>
      <c r="AA32" s="12">
        <f>IF(OR(Z32="",Z32="N/A"),"",IF(ISNUMBER(Q32),Q32,""))</f>
        <v>46234</v>
      </c>
      <c r="AB32" s="15"/>
      <c r="AC32" s="10"/>
      <c r="AD32" s="10"/>
      <c r="AE32" s="10"/>
      <c r="AF32" s="10"/>
      <c r="AG32" s="12">
        <f>IF(NOT(ISNUMBER(Q32)),"",Q32)</f>
        <v>46234</v>
      </c>
      <c r="AH32" s="12">
        <v>46253</v>
      </c>
      <c r="AI32" s="10" t="s">
        <v>32</v>
      </c>
      <c r="AJ32" s="12">
        <f>IF(OR(AL32="N/A",NOT(ISNUMBER(T32))),"",T32)</f>
        <v>46238</v>
      </c>
      <c r="AK32" s="15">
        <v>46253</v>
      </c>
      <c r="AL32" s="10" t="s">
        <v>32</v>
      </c>
      <c r="AM32" s="12">
        <f>IF(NOT(ISNUMBER(W32)),"",W32)</f>
        <v>46239</v>
      </c>
      <c r="AN32" s="15">
        <v>46253</v>
      </c>
      <c r="AO32" s="10" t="s">
        <v>32</v>
      </c>
      <c r="AP32" s="12">
        <f>IF(OR(Z32="",Z32="N/A"),"",IF(ISNUMBER(AG32),AG32,""))</f>
        <v>46234</v>
      </c>
      <c r="AQ32" s="15"/>
      <c r="AR32" s="10"/>
      <c r="AS32" s="10"/>
      <c r="AT32" s="10"/>
      <c r="AU32" s="12">
        <f>IF(NOT(ISNUMBER(Q32)),"",Q32)</f>
        <v>46234</v>
      </c>
      <c r="AV32" s="15"/>
      <c r="AW32" s="10" t="s">
        <v>32</v>
      </c>
      <c r="AX32" s="12">
        <f>IF(OR(AZ32="N/A",NOT(ISNUMBER(T32))),"",T32)</f>
        <v>46238</v>
      </c>
      <c r="AY32" s="15"/>
      <c r="AZ32" s="10"/>
      <c r="BA32" s="12">
        <f>IF(NOT(ISNUMBER(W32)),"",W32)</f>
        <v>46239</v>
      </c>
      <c r="BB32" s="15"/>
      <c r="BC32" s="10"/>
      <c r="BD32" s="12">
        <f>IF(OR(Z32="",Z32="N/A"),"",IF(ISNUMBER(AU32),AU32,""))</f>
        <v>46234</v>
      </c>
      <c r="BE32" s="15"/>
      <c r="BF32" s="10"/>
      <c r="BG32" s="10"/>
      <c r="BH32" s="10"/>
      <c r="BI32" s="12">
        <v>46300</v>
      </c>
      <c r="BJ32" s="10"/>
      <c r="BK32" s="12">
        <f>IF(NOT(ISNUMBER(BI32)),"",IF(WEEKDAY(BI32-CodeReviewCalendarDays,2)&gt;5,BI32-CodeReviewCalendarDays-(WEEKDAY(BI32-CodeReviewCalendarDays,2)-5),BI32-CodeReviewCalendarDays))</f>
        <v>46297</v>
      </c>
      <c r="BL32" s="10"/>
      <c r="BM32" s="12">
        <f>IF(NOT(ISNUMBER(BK32)),"",IF(WEEKDAY(BK32-CodeReviewInviteCalendarDays,2)&gt;5,BK32-CodeReviewInviteCalendarDays-(WEEKDAY(BK32-CodeReviewInviteCalendarDays,2)-5),BK32-CodeReviewInviteCalendarDays))</f>
        <v>46293</v>
      </c>
      <c r="BN32" s="10"/>
      <c r="BO32" s="10"/>
      <c r="BP32" s="16" t="str">
        <f ca="1">IF(A32="","",IF(IF(AND(ISNUMBER(J32),WEEKDAY(J32,2)&lt;&gt;2,WEEKDAY(J32,2)&lt;&gt;4)," | Release must be Tuesday or Thursday","")&amp;IF(AND(ISNUMBER(H32),WEEKDAY(H32,2)&lt;&gt;1)," | Sprint Start is not a Monday - dates still calculated from the date entered","")&amp;IF(AND(A32&lt;&gt;"",NOT(ISNUMBER(H32)),NOT(ISNUMBER(J32)))," | Enter Sprint Start or Release Date","")&amp;IF(AND(ISNUMBER(F32),F32&lt;TODAY(),D32&lt;&gt;"Completed")," | One or more raise-by dates are in the past and not completed","")&amp;IF(AND(ISNUMBER(K32),K32-TODAY()&lt;SprintWarningDays,K32&gt;=TODAY(),OR(D32="Yet to start",D32="Blocked"))," | Sprint starts in under 10 days - raise access requests now","")&amp;IF(AND(ISNUMBER(BM32),BN32&lt;&gt;"Completed",BN32&lt;&gt;"N/A",BM32-TODAY()&lt;CodeReviewInviteCalendarDays)," | Code Review invite should be sent at least 4 days before Code Review","")="","",MID(IF(AND(ISNUMBER(J32),WEEKDAY(J32,2)&lt;&gt;2,WEEKDAY(J32,2)&lt;&gt;4)," | Release must be Tuesday or Thursday","")&amp;IF(AND(ISNUMBER(H32),WEEKDAY(H32,2)&lt;&gt;1)," | Sprint Start is not a Monday - dates still calculated from the date entered","")&amp;IF(AND(A32&lt;&gt;"",NOT(ISNUMBER(H32)),NOT(ISNUMBER(J32)))," | Enter Sprint Start or Release Date","")&amp;IF(AND(ISNUMBER(F32),F32&lt;TODAY(),D32&lt;&gt;"Completed")," | One or more raise-by dates are in the past and not completed","")&amp;IF(AND(ISNUMBER(K32),K32-TODAY()&lt;SprintWarningDays,K32&gt;=TODAY(),OR(D32="Yet to start",D32="Blocked"))," | Sprint starts in under 10 days - raise access requests now","")&amp;IF(AND(ISNUMBER(BM32),BN32&lt;&gt;"Completed",BN32&lt;&gt;"N/A",BM32-TODAY()&lt;CodeReviewInviteCalendarDays),"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</v>
      </c>
      <c r="BQ32" s="1" t="str">
        <f>IF(AND(ISNUMBER(Q32),S32&lt;&gt;"Completed",S32&lt;&gt;"N/A"),Q32,"")</f>
        <v/>
      </c>
      <c r="BR32" s="1" t="str">
        <f>IF(AND(ISNUMBER(T32),V32&lt;&gt;"Completed",V32&lt;&gt;"N/A"),T32,"")</f>
        <v/>
      </c>
      <c r="BS32" s="1" t="str">
        <f>IF(AND(ISNUMBER(W32),Y32&lt;&gt;"Completed",Y32&lt;&gt;"N/A"),W32,"")</f>
        <v/>
      </c>
      <c r="BT32" s="1">
        <f>IF(AND(ISNUMBER(AA32),AC32&lt;&gt;"Completed",AC32&lt;&gt;"N/A"),AA32,"")</f>
        <v>46234</v>
      </c>
      <c r="BU32" s="1" t="str">
        <f>IF(AND(ISNUMBER(AG32),AI32&lt;&gt;"Completed",AI32&lt;&gt;"N/A"),AG32,"")</f>
        <v/>
      </c>
      <c r="BV32" s="1" t="str">
        <f>IF(AND(ISNUMBER(AJ32),AL32&lt;&gt;"Completed",AL32&lt;&gt;"N/A"),AJ32,"")</f>
        <v/>
      </c>
      <c r="BW32" s="1" t="str">
        <f>IF(AND(ISNUMBER(AM32),AO32&lt;&gt;"Completed",AO32&lt;&gt;"N/A"),AM32,"")</f>
        <v/>
      </c>
      <c r="BX32" s="1">
        <f>IF(AND(ISNUMBER(AP32),AR32&lt;&gt;"Completed",AR32&lt;&gt;"N/A"),AP32,"")</f>
        <v>46234</v>
      </c>
      <c r="BY32" s="1" t="str">
        <f>IF(AND(ISNUMBER(AU32),AW32&lt;&gt;"Completed",AW32&lt;&gt;"N/A"),AU32,"")</f>
        <v/>
      </c>
      <c r="BZ32" s="1">
        <f>IF(AND(ISNUMBER(AX32),AZ32&lt;&gt;"Completed",AZ32&lt;&gt;"N/A"),AX32,"")</f>
        <v>46238</v>
      </c>
      <c r="CA32" s="1">
        <f>IF(AND(ISNUMBER(BA32),BC32&lt;&gt;"Completed",BC32&lt;&gt;"N/A"),BA32,"")</f>
        <v>46239</v>
      </c>
      <c r="CB32" s="1">
        <f>IF(AND(ISNUMBER(BD32),BF32&lt;&gt;"Completed",BF32&lt;&gt;"N/A"),BD32,"")</f>
        <v>46234</v>
      </c>
      <c r="CC32" s="1">
        <f>IF(AND(ISNUMBER(O32),P32&lt;&gt;"Completed",P32&lt;&gt;"N/A"),O32,"")</f>
        <v>46244</v>
      </c>
      <c r="CD32" s="1">
        <f>IF(AND(ISNUMBER(BM32),BN32&lt;&gt;"Completed",BN32&lt;&gt;"N/A"),BM32,"")</f>
        <v>46293</v>
      </c>
      <c r="CE32" s="1">
        <f>IF(AND(ISNUMBER(BK32),BL32&lt;&gt;"Completed",BL32&lt;&gt;"N/A"),BK32,"")</f>
        <v>46297</v>
      </c>
      <c r="CF32" s="1">
        <f>IF(AND(ISNUMBER(BI32),BJ32&lt;&gt;"Completed",BJ32&lt;&gt;"N/A"),BI32,"")</f>
        <v>46300</v>
      </c>
      <c r="CG32" s="1">
        <f ca="1">IF(OR(A32="",D32="Completed"),"",IF(N(G32)&gt;0,1/(N(G32)+ROW()/100000),IF(ISNUMBER(F32),1000+F32+ROW()/100000,TODAY()+400+ROW()/100000)))</f>
        <v>4.7618322006521809E-2</v>
      </c>
    </row>
    <row r="33" spans="1:85" ht="15.95" customHeight="1">
      <c r="A33" s="10" t="s">
        <v>135</v>
      </c>
      <c r="B33" s="10" t="s">
        <v>98</v>
      </c>
      <c r="C33" s="10" t="s">
        <v>136</v>
      </c>
      <c r="D33" s="11" t="str">
        <f>IF(A33="","",IF(((S33="Blocked")+(V33="Blocked")+(Y33="Blocked")+(AC33="Blocked")+(AI33="Blocked")+(AL33="Blocked")+(AO33="Blocked")+(AR33="Blocked")+(AW33="Blocked")+(AZ33="Blocked")+(BC33="Blocked")+(BF33="Blocked")+(P33="Blocked")+(BJ33="Blocked")+(BL33="Blocked")+(BN33="Blocked")+(BO33="Blocked"))&gt;0,"Blocked",IF((ISNUMBER(Q33)+ISNUMBER(T33)+ISNUMBER(W33)+ISNUMBER(AA33)+ISNUMBER(AG33)+ISNUMBER(AJ33)+ISNUMBER(AM33)+ISNUMBER(AP33)+ISNUMBER(AU33)+ISNUMBER(AX33)+ISNUMBER(BA33)+ISNUMBER(BD33)+ISNUMBER(O33)+ISNUMBER(BI33)+ISNUMBER(BK33)+ISNUMBER(BM33))=0,"Yet to start",IF(AND(OR(NOT(ISNUMBER(Q33)),S33="Completed",S33="N/A"),OR(NOT(ISNUMBER(T33)),V33="Completed",V33="N/A"),OR(NOT(ISNUMBER(W33)),Y33="Completed",Y33="N/A"),OR(NOT(ISNUMBER(AA33)),AC33="Completed",AC33="N/A"),OR(NOT(ISNUMBER(AG33)),AI33="Completed",AI33="N/A"),OR(NOT(ISNUMBER(AJ33)),AL33="Completed",AL33="N/A"),OR(NOT(ISNUMBER(AM33)),AO33="Completed",AO33="N/A"),OR(NOT(ISNUMBER(AP33)),AR33="Completed",AR33="N/A"),OR(NOT(ISNUMBER(AU33)),AW33="Completed",AW33="N/A"),OR(NOT(ISNUMBER(AX33)),AZ33="Completed",AZ33="N/A"),OR(NOT(ISNUMBER(BA33)),BC33="Completed",BC33="N/A"),OR(NOT(ISNUMBER(BD33)),BF33="Completed",BF33="N/A"),OR(NOT(ISNUMBER(O33)),P33="Completed",P33="N/A"),OR(NOT(ISNUMBER(BI33)),BJ33="Completed",BJ33="N/A"),OR(NOT(ISNUMBER(BK33)),BL33="Completed",BL33="N/A"),OR(NOT(ISNUMBER(BM33)),BN33="Completed",BN33="N/A"),OR(BO33="Completed",BO33="N/A")),"Completed",IF(((S33="In Progress")+(V33="In Progress")+(Y33="In Progress")+(AC33="In Progress")+(AI33="In Progress")+(AL33="In Progress")+(AO33="In Progress")+(AR33="In Progress")+(AW33="In Progress")+(AZ33="In Progress")+(BC33="In Progress")+(BF33="In Progress")+(P33="In Progress")+(BJ33="In Progress")+(BL33="In Progress")+(BN33="In Progress")+(BO33="In Progress"))&gt;0,"In Progress","Yet to start")))))</f>
        <v>Yet to start</v>
      </c>
      <c r="E33" s="11" t="str">
        <f>IF(A33="","",IF(F33="","All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Review","CAB"},MATCH(F33,BQ33:CF33,0))))</f>
        <v>Prod OUR</v>
      </c>
      <c r="F33" s="12">
        <f>IF(A33="","",IF(COUNT(BQ33:CF33)=0,"",MIN(BQ33:CF33)))</f>
        <v>46252</v>
      </c>
      <c r="G33" s="13">
        <f ca="1">IF(A33="","",MAX(0,IF(AND(ISNUMBER(Q33),S33&lt;&gt;"Completed",S33&lt;&gt;"N/A",Q33&lt;TODAY()),TODAY()-Q33,0),IF(AND(ISNUMBER(T33),V33&lt;&gt;"Completed",V33&lt;&gt;"N/A",T33&lt;TODAY()),TODAY()-T33,0),IF(AND(ISNUMBER(W33),Y33&lt;&gt;"Completed",Y33&lt;&gt;"N/A",W33&lt;TODAY()),TODAY()-W33,0),IF(AND(ISNUMBER(AA33),AC33&lt;&gt;"Completed",AC33&lt;&gt;"N/A",AA33&lt;TODAY()),TODAY()-AA33,0),IF(AND(ISNUMBER(AG33),AI33&lt;&gt;"Completed",AI33&lt;&gt;"N/A",AG33&lt;TODAY()),TODAY()-AG33,0),IF(AND(ISNUMBER(AJ33),AL33&lt;&gt;"Completed",AL33&lt;&gt;"N/A",AJ33&lt;TODAY()),TODAY()-AJ33,0),IF(AND(ISNUMBER(AM33),AO33&lt;&gt;"Completed",AO33&lt;&gt;"N/A",AM33&lt;TODAY()),TODAY()-AM33,0),IF(AND(ISNUMBER(AP33),AR33&lt;&gt;"Completed",AR33&lt;&gt;"N/A",AP33&lt;TODAY()),TODAY()-AP33,0),IF(AND(ISNUMBER(AU33),AW33&lt;&gt;"Completed",AW33&lt;&gt;"N/A",AU33&lt;TODAY()),TODAY()-AU33,0),IF(AND(ISNUMBER(AX33),AZ33&lt;&gt;"Completed",AZ33&lt;&gt;"N/A",AX33&lt;TODAY()),TODAY()-AX33,0),IF(AND(ISNUMBER(BA33),BC33&lt;&gt;"Completed",BC33&lt;&gt;"N/A",BA33&lt;TODAY()),TODAY()-BA33,0),IF(AND(ISNUMBER(BD33),BF33&lt;&gt;"Completed",BF33&lt;&gt;"N/A",BD33&lt;TODAY()),TODAY()-BD33,0),IF(AND(ISNUMBER(O33),P33&lt;&gt;"Completed",P33&lt;&gt;"N/A",O33&lt;TODAY()),TODAY()-O33,0),IF(AND(ISNUMBER(BM33),BN33&lt;&gt;"Completed",BN33&lt;&gt;"N/A",BM33&lt;TODAY()),TODAY()-BM33,0),IF(AND(ISNUMBER(BK33),BL33&lt;&gt;"Completed",BL33&lt;&gt;"N/A",BK33&lt;TODAY()),TODAY()-BK33,0),IF(AND(ISNUMBER(BI33),BJ33&lt;&gt;"Completed",BJ33&lt;&gt;"N/A",BI33&lt;TODAY()),TODAY()-BI33,0)))</f>
        <v>3</v>
      </c>
      <c r="H33" s="14">
        <v>46260</v>
      </c>
      <c r="I33" s="14">
        <v>46273</v>
      </c>
      <c r="J33" s="15">
        <v>46300</v>
      </c>
      <c r="K33" s="12">
        <f>IF(ISNUMBER(H33),H33,IF(ISNUMBER(M33),M33-WEEKDAY(M33,2)+1-7,""))</f>
        <v>46260</v>
      </c>
      <c r="L33" s="12">
        <f>IF(ISNUMBER(I33),I33,IF(ISNUMBER(H33),WORKDAY(H33,SprintWorkingDays-1),IF(ISNUMBER(K33),WORKDAY(K33,SprintWorkingDays-1),"")))</f>
        <v>46273</v>
      </c>
      <c r="M33" s="12">
        <f>IF(ISNUMBER(J33),J33,IF(ISNUMBER(I33),I33-IF(OR(WEEKDAY(I33,2)=2,WEEKDAY(I33,2)=4),0,IF(WEEKDAY(I33,2)=3,1,IF(WEEKDAY(I33,2)=1,4,WEEKDAY(I33,2)-4))),IF(ISNUMBER(H33),WORKDAY(H33,SprintWorkingDays-1)-IF(OR(WEEKDAY(WORKDAY(H33,SprintWorkingDays-1),2)=2,WEEKDAY(WORKDAY(H33,SprintWorkingDays-1),2)=4),0,IF(WEEKDAY(WORKDAY(H33,SprintWorkingDays-1),2)=3,1,IF(WEEKDAY(WORKDAY(H33,SprintWorkingDays-1),2)=1,4,WEEKDAY(WORKDAY(H33,SprintWorkingDays-1),2)-4))),"")))</f>
        <v>46300</v>
      </c>
      <c r="N33" s="12">
        <f>IF(NOT(ISNUMBER(K33)),"",WORKDAY(K33,ReadyOffsetWD))</f>
        <v>46259</v>
      </c>
      <c r="O33" s="12">
        <f>IF(NOT(ISNUMBER(K33)),"",WORKDAY(K33,SprintReadinessOffsetWD))</f>
        <v>46258</v>
      </c>
      <c r="P33" s="10" t="s">
        <v>107</v>
      </c>
      <c r="Q33" s="12">
        <f>IF(A33="","",IF(V33="N/A",IF(NOT(ISNUMBER(W33)),"",WORKDAY(W33,RTSKOffsetFromOUR_WD)),IF(NOT(ISNUMBER(T33)),"",WORKDAY(T33,RTSKOffsetFromOUR_WD))))</f>
        <v>46248</v>
      </c>
      <c r="R33" s="15">
        <v>46252</v>
      </c>
      <c r="S33" s="10" t="s">
        <v>32</v>
      </c>
      <c r="T33" s="12">
        <f>IF(OR(A33="",V33="N/A"),"",IF(NOT(ISNUMBER(W33)),"",WORKDAY(W33,OUROffsetFromSR_WD)))</f>
        <v>46252</v>
      </c>
      <c r="U33" s="15">
        <v>46248</v>
      </c>
      <c r="V33" s="10" t="s">
        <v>32</v>
      </c>
      <c r="W33" s="12">
        <f>IF(OR(A33="",NOT(ISNUMBER(K33))),"",WORKDAY(K33,SROffsetFromStartWD))</f>
        <v>46253</v>
      </c>
      <c r="X33" s="15">
        <v>46248</v>
      </c>
      <c r="Y33" s="10" t="s">
        <v>32</v>
      </c>
      <c r="Z33" s="10" t="s">
        <v>100</v>
      </c>
      <c r="AA33" s="12" t="str">
        <f>IF(OR(Z33="",Z33="N/A"),"",IF(ISNUMBER(Q33),Q33,""))</f>
        <v/>
      </c>
      <c r="AB33" s="15"/>
      <c r="AC33" s="10"/>
      <c r="AD33" s="10"/>
      <c r="AE33" s="10"/>
      <c r="AF33" s="10" t="str">
        <f>IF(Z33="N/A","N/A","")</f>
        <v>N/A</v>
      </c>
      <c r="AG33" s="12">
        <f>IF(NOT(ISNUMBER(Q33)),"",Q33)</f>
        <v>46248</v>
      </c>
      <c r="AH33" s="12">
        <v>46253</v>
      </c>
      <c r="AI33" s="10" t="s">
        <v>32</v>
      </c>
      <c r="AJ33" s="12">
        <f>IF(OR(AL33="N/A",NOT(ISNUMBER(T33))),"",T33)</f>
        <v>46252</v>
      </c>
      <c r="AK33" s="15">
        <v>46253</v>
      </c>
      <c r="AL33" s="10" t="s">
        <v>32</v>
      </c>
      <c r="AM33" s="12">
        <f>IF(NOT(ISNUMBER(W33)),"",W33)</f>
        <v>46253</v>
      </c>
      <c r="AN33" s="15">
        <v>46253</v>
      </c>
      <c r="AO33" s="10" t="s">
        <v>32</v>
      </c>
      <c r="AP33" s="12" t="str">
        <f>IF(OR(Z33="",Z33="N/A"),"",IF(ISNUMBER(AG33),AG33,""))</f>
        <v/>
      </c>
      <c r="AQ33" s="15"/>
      <c r="AR33" s="10"/>
      <c r="AS33" s="10"/>
      <c r="AT33" s="10"/>
      <c r="AU33" s="12">
        <f>IF(NOT(ISNUMBER(Q33)),"",Q33)</f>
        <v>46248</v>
      </c>
      <c r="AV33" s="15"/>
      <c r="AW33" s="10" t="s">
        <v>32</v>
      </c>
      <c r="AX33" s="12">
        <f>IF(OR(AZ33="N/A",NOT(ISNUMBER(T33))),"",T33)</f>
        <v>46252</v>
      </c>
      <c r="AY33" s="15"/>
      <c r="AZ33" s="10"/>
      <c r="BA33" s="12">
        <f>IF(NOT(ISNUMBER(W33)),"",W33)</f>
        <v>46253</v>
      </c>
      <c r="BB33" s="15"/>
      <c r="BC33" s="10"/>
      <c r="BD33" s="12" t="str">
        <f>IF(OR(Z33="",Z33="N/A"),"",IF(ISNUMBER(AU33),AU33,""))</f>
        <v/>
      </c>
      <c r="BE33" s="15"/>
      <c r="BF33" s="10"/>
      <c r="BG33" s="10"/>
      <c r="BH33" s="10"/>
      <c r="BI33" s="12">
        <v>46300</v>
      </c>
      <c r="BJ33" s="10"/>
      <c r="BK33" s="12">
        <f>IF(NOT(ISNUMBER(BI33)),"",IF(WEEKDAY(BI33-CodeReviewCalendarDays,2)&gt;5,BI33-CodeReviewCalendarDays-(WEEKDAY(BI33-CodeReviewCalendarDays,2)-5),BI33-CodeReviewCalendarDays))</f>
        <v>46297</v>
      </c>
      <c r="BL33" s="10"/>
      <c r="BM33" s="12">
        <f>IF(NOT(ISNUMBER(BK33)),"",IF(WEEKDAY(BK33-CodeReviewInviteCalendarDays,2)&gt;5,BK33-CodeReviewInviteCalendarDays-(WEEKDAY(BK33-CodeReviewInviteCalendarDays,2)-5),BK33-CodeReviewInviteCalendarDays))</f>
        <v>46293</v>
      </c>
      <c r="BN33" s="10"/>
      <c r="BO33" s="10"/>
      <c r="BP33" s="16" t="str">
        <f ca="1">IF(A33="","",IF(IF(AND(ISNUMBER(J33),WEEKDAY(J33,2)&lt;&gt;2,WEEKDAY(J33,2)&lt;&gt;4)," | Release must be Tuesday or Thursday","")&amp;IF(AND(ISNUMBER(H33),WEEKDAY(H33,2)&lt;&gt;1)," | Sprint Start is not a Monday - dates still calculated from the date entered","")&amp;IF(AND(A33&lt;&gt;"",NOT(ISNUMBER(H33)),NOT(ISNUMBER(J33)))," | Enter Sprint Start or Release Date","")&amp;IF(AND(ISNUMBER(F33),F33&lt;TODAY(),D33&lt;&gt;"Completed")," | One or more raise-by dates are in the past and not completed","")&amp;IF(AND(ISNUMBER(K33),K33-TODAY()&lt;SprintWarningDays,K33&gt;=TODAY(),OR(D33="Yet to start",D33="Blocked"))," | Sprint starts in under 10 days - raise access requests now","")&amp;IF(AND(ISNUMBER(BM33),BN33&lt;&gt;"Completed",BN33&lt;&gt;"N/A",BM33-TODAY()&lt;CodeReviewInviteCalendarDays)," | Code Review invite should be sent at least 4 days before Code Review","")="","",MID(IF(AND(ISNUMBER(J33),WEEKDAY(J33,2)&lt;&gt;2,WEEKDAY(J33,2)&lt;&gt;4)," | Release must be Tuesday or Thursday","")&amp;IF(AND(ISNUMBER(H33),WEEKDAY(H33,2)&lt;&gt;1)," | Sprint Start is not a Monday - dates still calculated from the date entered","")&amp;IF(AND(A33&lt;&gt;"",NOT(ISNUMBER(H33)),NOT(ISNUMBER(J33)))," | Enter Sprint Start or Release Date","")&amp;IF(AND(ISNUMBER(F33),F33&lt;TODAY(),D33&lt;&gt;"Completed")," | One or more raise-by dates are in the past and not completed","")&amp;IF(AND(ISNUMBER(K33),K33-TODAY()&lt;SprintWarningDays,K33&gt;=TODAY(),OR(D33="Yet to start",D33="Blocked"))," | Sprint starts in under 10 days - raise access requests now","")&amp;IF(AND(ISNUMBER(BM33),BN33&lt;&gt;"Completed",BN33&lt;&gt;"N/A",BM33-TODAY()&lt;CodeReviewInviteCalendarDays),"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 | Sprint starts in under 10 days - raise access requests now</v>
      </c>
      <c r="BQ33" s="1" t="str">
        <f>IF(AND(ISNUMBER(Q33),S33&lt;&gt;"Completed",S33&lt;&gt;"N/A"),Q33,"")</f>
        <v/>
      </c>
      <c r="BR33" s="1" t="str">
        <f>IF(AND(ISNUMBER(T33),V33&lt;&gt;"Completed",V33&lt;&gt;"N/A"),T33,"")</f>
        <v/>
      </c>
      <c r="BS33" s="1" t="str">
        <f>IF(AND(ISNUMBER(W33),Y33&lt;&gt;"Completed",Y33&lt;&gt;"N/A"),W33,"")</f>
        <v/>
      </c>
      <c r="BT33" s="1" t="str">
        <f>IF(AND(ISNUMBER(AA33),AC33&lt;&gt;"Completed",AC33&lt;&gt;"N/A"),AA33,"")</f>
        <v/>
      </c>
      <c r="BU33" s="1" t="str">
        <f>IF(AND(ISNUMBER(AG33),AI33&lt;&gt;"Completed",AI33&lt;&gt;"N/A"),AG33,"")</f>
        <v/>
      </c>
      <c r="BV33" s="1" t="str">
        <f>IF(AND(ISNUMBER(AJ33),AL33&lt;&gt;"Completed",AL33&lt;&gt;"N/A"),AJ33,"")</f>
        <v/>
      </c>
      <c r="BW33" s="1" t="str">
        <f>IF(AND(ISNUMBER(AM33),AO33&lt;&gt;"Completed",AO33&lt;&gt;"N/A"),AM33,"")</f>
        <v/>
      </c>
      <c r="BX33" s="1" t="str">
        <f>IF(AND(ISNUMBER(AP33),AR33&lt;&gt;"Completed",AR33&lt;&gt;"N/A"),AP33,"")</f>
        <v/>
      </c>
      <c r="BY33" s="1" t="str">
        <f>IF(AND(ISNUMBER(AU33),AW33&lt;&gt;"Completed",AW33&lt;&gt;"N/A"),AU33,"")</f>
        <v/>
      </c>
      <c r="BZ33" s="1">
        <f>IF(AND(ISNUMBER(AX33),AZ33&lt;&gt;"Completed",AZ33&lt;&gt;"N/A"),AX33,"")</f>
        <v>46252</v>
      </c>
      <c r="CA33" s="1">
        <f>IF(AND(ISNUMBER(BA33),BC33&lt;&gt;"Completed",BC33&lt;&gt;"N/A"),BA33,"")</f>
        <v>46253</v>
      </c>
      <c r="CB33" s="1" t="str">
        <f>IF(AND(ISNUMBER(BD33),BF33&lt;&gt;"Completed",BF33&lt;&gt;"N/A"),BD33,"")</f>
        <v/>
      </c>
      <c r="CC33" s="1">
        <f>IF(AND(ISNUMBER(O33),P33&lt;&gt;"Completed",P33&lt;&gt;"N/A"),O33,"")</f>
        <v>46258</v>
      </c>
      <c r="CD33" s="1">
        <f>IF(AND(ISNUMBER(BM33),BN33&lt;&gt;"Completed",BN33&lt;&gt;"N/A"),BM33,"")</f>
        <v>46293</v>
      </c>
      <c r="CE33" s="1">
        <f>IF(AND(ISNUMBER(BK33),BL33&lt;&gt;"Completed",BL33&lt;&gt;"N/A"),BK33,"")</f>
        <v>46297</v>
      </c>
      <c r="CF33" s="1">
        <f>IF(AND(ISNUMBER(BI33),BJ33&lt;&gt;"Completed",BJ33&lt;&gt;"N/A"),BI33,"")</f>
        <v>46300</v>
      </c>
      <c r="CG33" s="1">
        <f ca="1">IF(OR(A33="",D33="Completed"),"",IF(N(G33)&gt;0,1/(N(G33)+ROW()/100000),IF(ISNUMBER(F33),1000+F33+ROW()/100000,TODAY()+400+ROW()/100000)))</f>
        <v>0.33329667069955637</v>
      </c>
    </row>
    <row r="34" spans="1:85" ht="15.95" customHeight="1">
      <c r="A34" s="10" t="s">
        <v>137</v>
      </c>
      <c r="B34" s="10" t="s">
        <v>98</v>
      </c>
      <c r="C34" s="10" t="s">
        <v>136</v>
      </c>
      <c r="D34" s="11" t="str">
        <f>IF(A34="","",IF(((S34="Blocked")+(V34="Blocked")+(Y34="Blocked")+(AC34="Blocked")+(AI34="Blocked")+(AL34="Blocked")+(AO34="Blocked")+(AR34="Blocked")+(AW34="Blocked")+(AZ34="Blocked")+(BC34="Blocked")+(BF34="Blocked")+(P34="Blocked")+(BJ34="Blocked")+(BL34="Blocked")+(BN34="Blocked")+(BO34="Blocked"))&gt;0,"Blocked",IF((ISNUMBER(Q34)+ISNUMBER(T34)+ISNUMBER(W34)+ISNUMBER(AA34)+ISNUMBER(AG34)+ISNUMBER(AJ34)+ISNUMBER(AM34)+ISNUMBER(AP34)+ISNUMBER(AU34)+ISNUMBER(AX34)+ISNUMBER(BA34)+ISNUMBER(BD34)+ISNUMBER(O34)+ISNUMBER(BI34)+ISNUMBER(BK34)+ISNUMBER(BM34))=0,"Yet to start",IF(AND(OR(NOT(ISNUMBER(Q34)),S34="Completed",S34="N/A"),OR(NOT(ISNUMBER(T34)),V34="Completed",V34="N/A"),OR(NOT(ISNUMBER(W34)),Y34="Completed",Y34="N/A"),OR(NOT(ISNUMBER(AA34)),AC34="Completed",AC34="N/A"),OR(NOT(ISNUMBER(AG34)),AI34="Completed",AI34="N/A"),OR(NOT(ISNUMBER(AJ34)),AL34="Completed",AL34="N/A"),OR(NOT(ISNUMBER(AM34)),AO34="Completed",AO34="N/A"),OR(NOT(ISNUMBER(AP34)),AR34="Completed",AR34="N/A"),OR(NOT(ISNUMBER(AU34)),AW34="Completed",AW34="N/A"),OR(NOT(ISNUMBER(AX34)),AZ34="Completed",AZ34="N/A"),OR(NOT(ISNUMBER(BA34)),BC34="Completed",BC34="N/A"),OR(NOT(ISNUMBER(BD34)),BF34="Completed",BF34="N/A"),OR(NOT(ISNUMBER(O34)),P34="Completed",P34="N/A"),OR(NOT(ISNUMBER(BI34)),BJ34="Completed",BJ34="N/A"),OR(NOT(ISNUMBER(BK34)),BL34="Completed",BL34="N/A"),OR(NOT(ISNUMBER(BM34)),BN34="Completed",BN34="N/A"),OR(BO34="Completed",BO34="N/A")),"Completed",IF(((S34="In Progress")+(V34="In Progress")+(Y34="In Progress")+(AC34="In Progress")+(AI34="In Progress")+(AL34="In Progress")+(AO34="In Progress")+(AR34="In Progress")+(AW34="In Progress")+(AZ34="In Progress")+(BC34="In Progress")+(BF34="In Progress")+(P34="In Progress")+(BJ34="In Progress")+(BL34="In Progress")+(BN34="In Progress")+(BO34="In Progress"))&gt;0,"In Progress","Yet to start")))))</f>
        <v>Yet to start</v>
      </c>
      <c r="E34" s="11" t="str">
        <f>IF(A34="","",IF(F34="","All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Review","CAB"},MATCH(F34,BQ34:CF34,0))))</f>
        <v>Prod OUR</v>
      </c>
      <c r="F34" s="12">
        <f>IF(A34="","",IF(COUNT(BQ34:CF34)=0,"",MIN(BQ34:CF34)))</f>
        <v>46252</v>
      </c>
      <c r="G34" s="13">
        <f ca="1">IF(A34="","",MAX(0,IF(AND(ISNUMBER(Q34),S34&lt;&gt;"Completed",S34&lt;&gt;"N/A",Q34&lt;TODAY()),TODAY()-Q34,0),IF(AND(ISNUMBER(T34),V34&lt;&gt;"Completed",V34&lt;&gt;"N/A",T34&lt;TODAY()),TODAY()-T34,0),IF(AND(ISNUMBER(W34),Y34&lt;&gt;"Completed",Y34&lt;&gt;"N/A",W34&lt;TODAY()),TODAY()-W34,0),IF(AND(ISNUMBER(AA34),AC34&lt;&gt;"Completed",AC34&lt;&gt;"N/A",AA34&lt;TODAY()),TODAY()-AA34,0),IF(AND(ISNUMBER(AG34),AI34&lt;&gt;"Completed",AI34&lt;&gt;"N/A",AG34&lt;TODAY()),TODAY()-AG34,0),IF(AND(ISNUMBER(AJ34),AL34&lt;&gt;"Completed",AL34&lt;&gt;"N/A",AJ34&lt;TODAY()),TODAY()-AJ34,0),IF(AND(ISNUMBER(AM34),AO34&lt;&gt;"Completed",AO34&lt;&gt;"N/A",AM34&lt;TODAY()),TODAY()-AM34,0),IF(AND(ISNUMBER(AP34),AR34&lt;&gt;"Completed",AR34&lt;&gt;"N/A",AP34&lt;TODAY()),TODAY()-AP34,0),IF(AND(ISNUMBER(AU34),AW34&lt;&gt;"Completed",AW34&lt;&gt;"N/A",AU34&lt;TODAY()),TODAY()-AU34,0),IF(AND(ISNUMBER(AX34),AZ34&lt;&gt;"Completed",AZ34&lt;&gt;"N/A",AX34&lt;TODAY()),TODAY()-AX34,0),IF(AND(ISNUMBER(BA34),BC34&lt;&gt;"Completed",BC34&lt;&gt;"N/A",BA34&lt;TODAY()),TODAY()-BA34,0),IF(AND(ISNUMBER(BD34),BF34&lt;&gt;"Completed",BF34&lt;&gt;"N/A",BD34&lt;TODAY()),TODAY()-BD34,0),IF(AND(ISNUMBER(O34),P34&lt;&gt;"Completed",P34&lt;&gt;"N/A",O34&lt;TODAY()),TODAY()-O34,0),IF(AND(ISNUMBER(BM34),BN34&lt;&gt;"Completed",BN34&lt;&gt;"N/A",BM34&lt;TODAY()),TODAY()-BM34,0),IF(AND(ISNUMBER(BK34),BL34&lt;&gt;"Completed",BL34&lt;&gt;"N/A",BK34&lt;TODAY()),TODAY()-BK34,0),IF(AND(ISNUMBER(BI34),BJ34&lt;&gt;"Completed",BJ34&lt;&gt;"N/A",BI34&lt;TODAY()),TODAY()-BI34,0)))</f>
        <v>3</v>
      </c>
      <c r="H34" s="14">
        <v>46260</v>
      </c>
      <c r="I34" s="14">
        <v>46273</v>
      </c>
      <c r="J34" s="15">
        <v>46300</v>
      </c>
      <c r="K34" s="12">
        <f>IF(ISNUMBER(H34),H34,IF(ISNUMBER(M34),M34-WEEKDAY(M34,2)+1-7,""))</f>
        <v>46260</v>
      </c>
      <c r="L34" s="12">
        <f>IF(ISNUMBER(I34),I34,IF(ISNUMBER(H34),WORKDAY(H34,SprintWorkingDays-1),IF(ISNUMBER(K34),WORKDAY(K34,SprintWorkingDays-1),"")))</f>
        <v>46273</v>
      </c>
      <c r="M34" s="12">
        <f>IF(ISNUMBER(J34),J34,IF(ISNUMBER(I34),I34-IF(OR(WEEKDAY(I34,2)=2,WEEKDAY(I34,2)=4),0,IF(WEEKDAY(I34,2)=3,1,IF(WEEKDAY(I34,2)=1,4,WEEKDAY(I34,2)-4))),IF(ISNUMBER(H34),WORKDAY(H34,SprintWorkingDays-1)-IF(OR(WEEKDAY(WORKDAY(H34,SprintWorkingDays-1),2)=2,WEEKDAY(WORKDAY(H34,SprintWorkingDays-1),2)=4),0,IF(WEEKDAY(WORKDAY(H34,SprintWorkingDays-1),2)=3,1,IF(WEEKDAY(WORKDAY(H34,SprintWorkingDays-1),2)=1,4,WEEKDAY(WORKDAY(H34,SprintWorkingDays-1),2)-4))),"")))</f>
        <v>46300</v>
      </c>
      <c r="N34" s="12">
        <f>IF(NOT(ISNUMBER(K34)),"",WORKDAY(K34,ReadyOffsetWD))</f>
        <v>46259</v>
      </c>
      <c r="O34" s="12">
        <f>IF(NOT(ISNUMBER(K34)),"",WORKDAY(K34,SprintReadinessOffsetWD))</f>
        <v>46258</v>
      </c>
      <c r="P34" s="10" t="s">
        <v>107</v>
      </c>
      <c r="Q34" s="12">
        <f>IF(A34="","",IF(V34="N/A",IF(NOT(ISNUMBER(W34)),"",WORKDAY(W34,RTSKOffsetFromOUR_WD)),IF(NOT(ISNUMBER(T34)),"",WORKDAY(T34,RTSKOffsetFromOUR_WD))))</f>
        <v>46248</v>
      </c>
      <c r="R34" s="15">
        <v>46252</v>
      </c>
      <c r="S34" s="10" t="s">
        <v>32</v>
      </c>
      <c r="T34" s="12">
        <f>IF(OR(A34="",V34="N/A"),"",IF(NOT(ISNUMBER(W34)),"",WORKDAY(W34,OUROffsetFromSR_WD)))</f>
        <v>46252</v>
      </c>
      <c r="U34" s="15">
        <v>46248</v>
      </c>
      <c r="V34" s="10" t="s">
        <v>32</v>
      </c>
      <c r="W34" s="12">
        <f>IF(OR(A34="",NOT(ISNUMBER(K34))),"",WORKDAY(K34,SROffsetFromStartWD))</f>
        <v>46253</v>
      </c>
      <c r="X34" s="15">
        <v>46248</v>
      </c>
      <c r="Y34" s="10" t="s">
        <v>32</v>
      </c>
      <c r="Z34" s="10" t="s">
        <v>100</v>
      </c>
      <c r="AA34" s="12" t="str">
        <f>IF(OR(Z34="",Z34="N/A"),"",IF(ISNUMBER(Q34),Q34,""))</f>
        <v/>
      </c>
      <c r="AB34" s="15"/>
      <c r="AC34" s="10"/>
      <c r="AD34" s="10"/>
      <c r="AE34" s="10"/>
      <c r="AF34" s="10" t="str">
        <f>IF(Z34="N/A","N/A","")</f>
        <v>N/A</v>
      </c>
      <c r="AG34" s="12">
        <f>IF(NOT(ISNUMBER(Q34)),"",Q34)</f>
        <v>46248</v>
      </c>
      <c r="AH34" s="12">
        <v>46253</v>
      </c>
      <c r="AI34" s="10" t="s">
        <v>32</v>
      </c>
      <c r="AJ34" s="12">
        <f>IF(OR(AL34="N/A",NOT(ISNUMBER(T34))),"",T34)</f>
        <v>46252</v>
      </c>
      <c r="AK34" s="15">
        <v>46253</v>
      </c>
      <c r="AL34" s="10" t="s">
        <v>32</v>
      </c>
      <c r="AM34" s="12">
        <f>IF(NOT(ISNUMBER(W34)),"",W34)</f>
        <v>46253</v>
      </c>
      <c r="AN34" s="15">
        <v>46253</v>
      </c>
      <c r="AO34" s="10" t="s">
        <v>32</v>
      </c>
      <c r="AP34" s="12" t="str">
        <f>IF(OR(Z34="",Z34="N/A"),"",IF(ISNUMBER(AG34),AG34,""))</f>
        <v/>
      </c>
      <c r="AQ34" s="15"/>
      <c r="AR34" s="10"/>
      <c r="AS34" s="10"/>
      <c r="AT34" s="10"/>
      <c r="AU34" s="12">
        <f>IF(NOT(ISNUMBER(Q34)),"",Q34)</f>
        <v>46248</v>
      </c>
      <c r="AV34" s="15"/>
      <c r="AW34" s="10" t="s">
        <v>32</v>
      </c>
      <c r="AX34" s="12">
        <f>IF(OR(AZ34="N/A",NOT(ISNUMBER(T34))),"",T34)</f>
        <v>46252</v>
      </c>
      <c r="AY34" s="15"/>
      <c r="AZ34" s="10"/>
      <c r="BA34" s="12">
        <f>IF(NOT(ISNUMBER(W34)),"",W34)</f>
        <v>46253</v>
      </c>
      <c r="BB34" s="15"/>
      <c r="BC34" s="10"/>
      <c r="BD34" s="12" t="str">
        <f>IF(OR(Z34="",Z34="N/A"),"",IF(ISNUMBER(AU34),AU34,""))</f>
        <v/>
      </c>
      <c r="BE34" s="15"/>
      <c r="BF34" s="10"/>
      <c r="BG34" s="10"/>
      <c r="BH34" s="10"/>
      <c r="BI34" s="12">
        <v>46300</v>
      </c>
      <c r="BJ34" s="10"/>
      <c r="BK34" s="12">
        <f>IF(NOT(ISNUMBER(BI34)),"",IF(WEEKDAY(BI34-CodeReviewCalendarDays,2)&gt;5,BI34-CodeReviewCalendarDays-(WEEKDAY(BI34-CodeReviewCalendarDays,2)-5),BI34-CodeReviewCalendarDays))</f>
        <v>46297</v>
      </c>
      <c r="BL34" s="10"/>
      <c r="BM34" s="12">
        <f>IF(NOT(ISNUMBER(BK34)),"",IF(WEEKDAY(BK34-CodeReviewInviteCalendarDays,2)&gt;5,BK34-CodeReviewInviteCalendarDays-(WEEKDAY(BK34-CodeReviewInviteCalendarDays,2)-5),BK34-CodeReviewInviteCalendarDays))</f>
        <v>46293</v>
      </c>
      <c r="BN34" s="10"/>
      <c r="BO34" s="10"/>
      <c r="BP34" s="16" t="str">
        <f ca="1">IF(A34="","",IF(IF(AND(ISNUMBER(J34),WEEKDAY(J34,2)&lt;&gt;2,WEEKDAY(J34,2)&lt;&gt;4)," | Release must be Tuesday or Thursday","")&amp;IF(AND(ISNUMBER(H34),WEEKDAY(H34,2)&lt;&gt;1)," | Sprint Start is not a Monday - dates still calculated from the date entered","")&amp;IF(AND(A34&lt;&gt;"",NOT(ISNUMBER(H34)),NOT(ISNUMBER(J34)))," | Enter Sprint Start or Release Date","")&amp;IF(AND(ISNUMBER(F34),F34&lt;TODAY(),D34&lt;&gt;"Completed")," | One or more raise-by dates are in the past and not completed","")&amp;IF(AND(ISNUMBER(K34),K34-TODAY()&lt;SprintWarningDays,K34&gt;=TODAY(),OR(D34="Yet to start",D34="Blocked"))," | Sprint starts in under 10 days - raise access requests now","")&amp;IF(AND(ISNUMBER(BM34),BN34&lt;&gt;"Completed",BN34&lt;&gt;"N/A",BM34-TODAY()&lt;CodeReviewInviteCalendarDays)," | Code Review invite should be sent at least 4 days before Code Review","")="","",MID(IF(AND(ISNUMBER(J34),WEEKDAY(J34,2)&lt;&gt;2,WEEKDAY(J34,2)&lt;&gt;4)," | Release must be Tuesday or Thursday","")&amp;IF(AND(ISNUMBER(H34),WEEKDAY(H34,2)&lt;&gt;1)," | Sprint Start is not a Monday - dates still calculated from the date entered","")&amp;IF(AND(A34&lt;&gt;"",NOT(ISNUMBER(H34)),NOT(ISNUMBER(J34)))," | Enter Sprint Start or Release Date","")&amp;IF(AND(ISNUMBER(F34),F34&lt;TODAY(),D34&lt;&gt;"Completed")," | One or more raise-by dates are in the past and not completed","")&amp;IF(AND(ISNUMBER(K34),K34-TODAY()&lt;SprintWarningDays,K34&gt;=TODAY(),OR(D34="Yet to start",D34="Blocked"))," | Sprint starts in under 10 days - raise access requests now","")&amp;IF(AND(ISNUMBER(BM34),BN34&lt;&gt;"Completed",BN34&lt;&gt;"N/A",BM34-TODAY()&lt;CodeReviewInviteCalendarDays),"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 | Sprint starts in under 10 days - raise access requests now</v>
      </c>
      <c r="BQ34" s="1" t="str">
        <f>IF(AND(ISNUMBER(Q34),S34&lt;&gt;"Completed",S34&lt;&gt;"N/A"),Q34,"")</f>
        <v/>
      </c>
      <c r="BR34" s="1" t="str">
        <f>IF(AND(ISNUMBER(T34),V34&lt;&gt;"Completed",V34&lt;&gt;"N/A"),T34,"")</f>
        <v/>
      </c>
      <c r="BS34" s="1" t="str">
        <f>IF(AND(ISNUMBER(W34),Y34&lt;&gt;"Completed",Y34&lt;&gt;"N/A"),W34,"")</f>
        <v/>
      </c>
      <c r="BT34" s="1" t="str">
        <f>IF(AND(ISNUMBER(AA34),AC34&lt;&gt;"Completed",AC34&lt;&gt;"N/A"),AA34,"")</f>
        <v/>
      </c>
      <c r="BU34" s="1" t="str">
        <f>IF(AND(ISNUMBER(AG34),AI34&lt;&gt;"Completed",AI34&lt;&gt;"N/A"),AG34,"")</f>
        <v/>
      </c>
      <c r="BV34" s="1" t="str">
        <f>IF(AND(ISNUMBER(AJ34),AL34&lt;&gt;"Completed",AL34&lt;&gt;"N/A"),AJ34,"")</f>
        <v/>
      </c>
      <c r="BW34" s="1" t="str">
        <f>IF(AND(ISNUMBER(AM34),AO34&lt;&gt;"Completed",AO34&lt;&gt;"N/A"),AM34,"")</f>
        <v/>
      </c>
      <c r="BX34" s="1" t="str">
        <f>IF(AND(ISNUMBER(AP34),AR34&lt;&gt;"Completed",AR34&lt;&gt;"N/A"),AP34,"")</f>
        <v/>
      </c>
      <c r="BY34" s="1" t="str">
        <f>IF(AND(ISNUMBER(AU34),AW34&lt;&gt;"Completed",AW34&lt;&gt;"N/A"),AU34,"")</f>
        <v/>
      </c>
      <c r="BZ34" s="1">
        <f>IF(AND(ISNUMBER(AX34),AZ34&lt;&gt;"Completed",AZ34&lt;&gt;"N/A"),AX34,"")</f>
        <v>46252</v>
      </c>
      <c r="CA34" s="1">
        <f>IF(AND(ISNUMBER(BA34),BC34&lt;&gt;"Completed",BC34&lt;&gt;"N/A"),BA34,"")</f>
        <v>46253</v>
      </c>
      <c r="CB34" s="1" t="str">
        <f>IF(AND(ISNUMBER(BD34),BF34&lt;&gt;"Completed",BF34&lt;&gt;"N/A"),BD34,"")</f>
        <v/>
      </c>
      <c r="CC34" s="1">
        <f>IF(AND(ISNUMBER(O34),P34&lt;&gt;"Completed",P34&lt;&gt;"N/A"),O34,"")</f>
        <v>46258</v>
      </c>
      <c r="CD34" s="1">
        <f>IF(AND(ISNUMBER(BM34),BN34&lt;&gt;"Completed",BN34&lt;&gt;"N/A"),BM34,"")</f>
        <v>46293</v>
      </c>
      <c r="CE34" s="1">
        <f>IF(AND(ISNUMBER(BK34),BL34&lt;&gt;"Completed",BL34&lt;&gt;"N/A"),BK34,"")</f>
        <v>46297</v>
      </c>
      <c r="CF34" s="1">
        <f>IF(AND(ISNUMBER(BI34),BJ34&lt;&gt;"Completed",BJ34&lt;&gt;"N/A"),BI34,"")</f>
        <v>46300</v>
      </c>
      <c r="CG34" s="1">
        <f ca="1">IF(OR(A34="",D34="Completed"),"",IF(N(G34)&gt;0,1/(N(G34)+ROW()/100000),IF(ISNUMBER(F34),1000+F34+ROW()/100000,TODAY()+400+ROW()/100000)))</f>
        <v>0.33329555983655185</v>
      </c>
    </row>
    <row r="35" spans="1:85" ht="15.95" customHeight="1">
      <c r="A35" s="10" t="s">
        <v>138</v>
      </c>
      <c r="B35" s="10" t="s">
        <v>98</v>
      </c>
      <c r="C35" s="10" t="s">
        <v>136</v>
      </c>
      <c r="D35" s="11" t="str">
        <f>IF(A35="","",IF(((S35="Blocked")+(V35="Blocked")+(Y35="Blocked")+(AC35="Blocked")+(AI35="Blocked")+(AL35="Blocked")+(AO35="Blocked")+(AR35="Blocked")+(AW35="Blocked")+(AZ35="Blocked")+(BC35="Blocked")+(BF35="Blocked")+(P35="Blocked")+(BJ35="Blocked")+(BL35="Blocked")+(BN35="Blocked")+(BO35="Blocked"))&gt;0,"Blocked",IF((ISNUMBER(Q35)+ISNUMBER(T35)+ISNUMBER(W35)+ISNUMBER(AA35)+ISNUMBER(AG35)+ISNUMBER(AJ35)+ISNUMBER(AM35)+ISNUMBER(AP35)+ISNUMBER(AU35)+ISNUMBER(AX35)+ISNUMBER(BA35)+ISNUMBER(BD35)+ISNUMBER(O35)+ISNUMBER(BI35)+ISNUMBER(BK35)+ISNUMBER(BM35))=0,"Yet to start",IF(AND(OR(NOT(ISNUMBER(Q35)),S35="Completed",S35="N/A"),OR(NOT(ISNUMBER(T35)),V35="Completed",V35="N/A"),OR(NOT(ISNUMBER(W35)),Y35="Completed",Y35="N/A"),OR(NOT(ISNUMBER(AA35)),AC35="Completed",AC35="N/A"),OR(NOT(ISNUMBER(AG35)),AI35="Completed",AI35="N/A"),OR(NOT(ISNUMBER(AJ35)),AL35="Completed",AL35="N/A"),OR(NOT(ISNUMBER(AM35)),AO35="Completed",AO35="N/A"),OR(NOT(ISNUMBER(AP35)),AR35="Completed",AR35="N/A"),OR(NOT(ISNUMBER(AU35)),AW35="Completed",AW35="N/A"),OR(NOT(ISNUMBER(AX35)),AZ35="Completed",AZ35="N/A"),OR(NOT(ISNUMBER(BA35)),BC35="Completed",BC35="N/A"),OR(NOT(ISNUMBER(BD35)),BF35="Completed",BF35="N/A"),OR(NOT(ISNUMBER(O35)),P35="Completed",P35="N/A"),OR(NOT(ISNUMBER(BI35)),BJ35="Completed",BJ35="N/A"),OR(NOT(ISNUMBER(BK35)),BL35="Completed",BL35="N/A"),OR(NOT(ISNUMBER(BM35)),BN35="Completed",BN35="N/A"),OR(BO35="Completed",BO35="N/A")),"Completed",IF(((S35="In Progress")+(V35="In Progress")+(Y35="In Progress")+(AC35="In Progress")+(AI35="In Progress")+(AL35="In Progress")+(AO35="In Progress")+(AR35="In Progress")+(AW35="In Progress")+(AZ35="In Progress")+(BC35="In Progress")+(BF35="In Progress")+(P35="In Progress")+(BJ35="In Progress")+(BL35="In Progress")+(BN35="In Progress")+(BO35="In Progress"))&gt;0,"In Progress","Yet to start")))))</f>
        <v>Yet to start</v>
      </c>
      <c r="E35" s="11" t="str">
        <f>IF(A35="","",IF(F35="","All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Review","CAB"},MATCH(F35,BQ35:CF35,0))))</f>
        <v>Prod OUR</v>
      </c>
      <c r="F35" s="12">
        <f>IF(A35="","",IF(COUNT(BQ35:CF35)=0,"",MIN(BQ35:CF35)))</f>
        <v>46252</v>
      </c>
      <c r="G35" s="13">
        <f ca="1">IF(A35="","",MAX(0,IF(AND(ISNUMBER(Q35),S35&lt;&gt;"Completed",S35&lt;&gt;"N/A",Q35&lt;TODAY()),TODAY()-Q35,0),IF(AND(ISNUMBER(T35),V35&lt;&gt;"Completed",V35&lt;&gt;"N/A",T35&lt;TODAY()),TODAY()-T35,0),IF(AND(ISNUMBER(W35),Y35&lt;&gt;"Completed",Y35&lt;&gt;"N/A",W35&lt;TODAY()),TODAY()-W35,0),IF(AND(ISNUMBER(AA35),AC35&lt;&gt;"Completed",AC35&lt;&gt;"N/A",AA35&lt;TODAY()),TODAY()-AA35,0),IF(AND(ISNUMBER(AG35),AI35&lt;&gt;"Completed",AI35&lt;&gt;"N/A",AG35&lt;TODAY()),TODAY()-AG35,0),IF(AND(ISNUMBER(AJ35),AL35&lt;&gt;"Completed",AL35&lt;&gt;"N/A",AJ35&lt;TODAY()),TODAY()-AJ35,0),IF(AND(ISNUMBER(AM35),AO35&lt;&gt;"Completed",AO35&lt;&gt;"N/A",AM35&lt;TODAY()),TODAY()-AM35,0),IF(AND(ISNUMBER(AP35),AR35&lt;&gt;"Completed",AR35&lt;&gt;"N/A",AP35&lt;TODAY()),TODAY()-AP35,0),IF(AND(ISNUMBER(AU35),AW35&lt;&gt;"Completed",AW35&lt;&gt;"N/A",AU35&lt;TODAY()),TODAY()-AU35,0),IF(AND(ISNUMBER(AX35),AZ35&lt;&gt;"Completed",AZ35&lt;&gt;"N/A",AX35&lt;TODAY()),TODAY()-AX35,0),IF(AND(ISNUMBER(BA35),BC35&lt;&gt;"Completed",BC35&lt;&gt;"N/A",BA35&lt;TODAY()),TODAY()-BA35,0),IF(AND(ISNUMBER(BD35),BF35&lt;&gt;"Completed",BF35&lt;&gt;"N/A",BD35&lt;TODAY()),TODAY()-BD35,0),IF(AND(ISNUMBER(O35),P35&lt;&gt;"Completed",P35&lt;&gt;"N/A",O35&lt;TODAY()),TODAY()-O35,0),IF(AND(ISNUMBER(BM35),BN35&lt;&gt;"Completed",BN35&lt;&gt;"N/A",BM35&lt;TODAY()),TODAY()-BM35,0),IF(AND(ISNUMBER(BK35),BL35&lt;&gt;"Completed",BL35&lt;&gt;"N/A",BK35&lt;TODAY()),TODAY()-BK35,0),IF(AND(ISNUMBER(BI35),BJ35&lt;&gt;"Completed",BJ35&lt;&gt;"N/A",BI35&lt;TODAY()),TODAY()-BI35,0)))</f>
        <v>3</v>
      </c>
      <c r="H35" s="14">
        <v>46260</v>
      </c>
      <c r="I35" s="14">
        <v>46273</v>
      </c>
      <c r="J35" s="15">
        <v>46300</v>
      </c>
      <c r="K35" s="12">
        <f>IF(ISNUMBER(H35),H35,IF(ISNUMBER(M35),M35-WEEKDAY(M35,2)+1-7,""))</f>
        <v>46260</v>
      </c>
      <c r="L35" s="12">
        <f>IF(ISNUMBER(I35),I35,IF(ISNUMBER(H35),WORKDAY(H35,SprintWorkingDays-1),IF(ISNUMBER(K35),WORKDAY(K35,SprintWorkingDays-1),"")))</f>
        <v>46273</v>
      </c>
      <c r="M35" s="12">
        <f>IF(ISNUMBER(J35),J35,IF(ISNUMBER(I35),I35-IF(OR(WEEKDAY(I35,2)=2,WEEKDAY(I35,2)=4),0,IF(WEEKDAY(I35,2)=3,1,IF(WEEKDAY(I35,2)=1,4,WEEKDAY(I35,2)-4))),IF(ISNUMBER(H35),WORKDAY(H35,SprintWorkingDays-1)-IF(OR(WEEKDAY(WORKDAY(H35,SprintWorkingDays-1),2)=2,WEEKDAY(WORKDAY(H35,SprintWorkingDays-1),2)=4),0,IF(WEEKDAY(WORKDAY(H35,SprintWorkingDays-1),2)=3,1,IF(WEEKDAY(WORKDAY(H35,SprintWorkingDays-1),2)=1,4,WEEKDAY(WORKDAY(H35,SprintWorkingDays-1),2)-4))),"")))</f>
        <v>46300</v>
      </c>
      <c r="N35" s="12">
        <f>IF(NOT(ISNUMBER(K35)),"",WORKDAY(K35,ReadyOffsetWD))</f>
        <v>46259</v>
      </c>
      <c r="O35" s="12">
        <f>IF(NOT(ISNUMBER(K35)),"",WORKDAY(K35,SprintReadinessOffsetWD))</f>
        <v>46258</v>
      </c>
      <c r="P35" s="10" t="s">
        <v>107</v>
      </c>
      <c r="Q35" s="12">
        <f>IF(A35="","",IF(V35="N/A",IF(NOT(ISNUMBER(W35)),"",WORKDAY(W35,RTSKOffsetFromOUR_WD)),IF(NOT(ISNUMBER(T35)),"",WORKDAY(T35,RTSKOffsetFromOUR_WD))))</f>
        <v>46248</v>
      </c>
      <c r="R35" s="15">
        <v>46252</v>
      </c>
      <c r="S35" s="10" t="s">
        <v>32</v>
      </c>
      <c r="T35" s="12">
        <f>IF(OR(A35="",V35="N/A"),"",IF(NOT(ISNUMBER(W35)),"",WORKDAY(W35,OUROffsetFromSR_WD)))</f>
        <v>46252</v>
      </c>
      <c r="U35" s="15">
        <v>46248</v>
      </c>
      <c r="V35" s="10" t="s">
        <v>32</v>
      </c>
      <c r="W35" s="12">
        <f>IF(OR(A35="",NOT(ISNUMBER(K35))),"",WORKDAY(K35,SROffsetFromStartWD))</f>
        <v>46253</v>
      </c>
      <c r="X35" s="15">
        <v>46248</v>
      </c>
      <c r="Y35" s="10" t="s">
        <v>32</v>
      </c>
      <c r="Z35" s="10" t="s">
        <v>100</v>
      </c>
      <c r="AA35" s="12" t="str">
        <f>IF(OR(Z35="",Z35="N/A"),"",IF(ISNUMBER(Q35),Q35,""))</f>
        <v/>
      </c>
      <c r="AB35" s="15"/>
      <c r="AC35" s="10"/>
      <c r="AD35" s="10"/>
      <c r="AE35" s="10"/>
      <c r="AF35" s="10" t="str">
        <f>IF(Z35="N/A","N/A","")</f>
        <v>N/A</v>
      </c>
      <c r="AG35" s="12">
        <f>IF(NOT(ISNUMBER(Q35)),"",Q35)</f>
        <v>46248</v>
      </c>
      <c r="AH35" s="12">
        <v>46253</v>
      </c>
      <c r="AI35" s="10" t="s">
        <v>32</v>
      </c>
      <c r="AJ35" s="12">
        <f>IF(OR(AL35="N/A",NOT(ISNUMBER(T35))),"",T35)</f>
        <v>46252</v>
      </c>
      <c r="AK35" s="15">
        <v>46253</v>
      </c>
      <c r="AL35" s="10" t="s">
        <v>32</v>
      </c>
      <c r="AM35" s="12">
        <f>IF(NOT(ISNUMBER(W35)),"",W35)</f>
        <v>46253</v>
      </c>
      <c r="AN35" s="15">
        <v>46253</v>
      </c>
      <c r="AO35" s="10" t="s">
        <v>32</v>
      </c>
      <c r="AP35" s="12" t="str">
        <f>IF(OR(Z35="",Z35="N/A"),"",IF(ISNUMBER(AG35),AG35,""))</f>
        <v/>
      </c>
      <c r="AQ35" s="15"/>
      <c r="AR35" s="10"/>
      <c r="AS35" s="10"/>
      <c r="AT35" s="10"/>
      <c r="AU35" s="12">
        <f>IF(NOT(ISNUMBER(Q35)),"",Q35)</f>
        <v>46248</v>
      </c>
      <c r="AV35" s="15"/>
      <c r="AW35" s="10" t="s">
        <v>32</v>
      </c>
      <c r="AX35" s="12">
        <f>IF(OR(AZ35="N/A",NOT(ISNUMBER(T35))),"",T35)</f>
        <v>46252</v>
      </c>
      <c r="AY35" s="15"/>
      <c r="AZ35" s="10"/>
      <c r="BA35" s="12">
        <f>IF(NOT(ISNUMBER(W35)),"",W35)</f>
        <v>46253</v>
      </c>
      <c r="BB35" s="15"/>
      <c r="BC35" s="10"/>
      <c r="BD35" s="12" t="str">
        <f>IF(OR(Z35="",Z35="N/A"),"",IF(ISNUMBER(AU35),AU35,""))</f>
        <v/>
      </c>
      <c r="BE35" s="15"/>
      <c r="BF35" s="10"/>
      <c r="BG35" s="10"/>
      <c r="BH35" s="10"/>
      <c r="BI35" s="12">
        <v>46300</v>
      </c>
      <c r="BJ35" s="10"/>
      <c r="BK35" s="12">
        <f>IF(NOT(ISNUMBER(BI35)),"",IF(WEEKDAY(BI35-CodeReviewCalendarDays,2)&gt;5,BI35-CodeReviewCalendarDays-(WEEKDAY(BI35-CodeReviewCalendarDays,2)-5),BI35-CodeReviewCalendarDays))</f>
        <v>46297</v>
      </c>
      <c r="BL35" s="10"/>
      <c r="BM35" s="12">
        <f>IF(NOT(ISNUMBER(BK35)),"",IF(WEEKDAY(BK35-CodeReviewInviteCalendarDays,2)&gt;5,BK35-CodeReviewInviteCalendarDays-(WEEKDAY(BK35-CodeReviewInviteCalendarDays,2)-5),BK35-CodeReviewInviteCalendarDays))</f>
        <v>46293</v>
      </c>
      <c r="BN35" s="10"/>
      <c r="BO35" s="10"/>
      <c r="BP35" s="16" t="str">
        <f ca="1">IF(A35="","",IF(IF(AND(ISNUMBER(J35),WEEKDAY(J35,2)&lt;&gt;2,WEEKDAY(J35,2)&lt;&gt;4)," | Release must be Tuesday or Thursday","")&amp;IF(AND(ISNUMBER(H35),WEEKDAY(H35,2)&lt;&gt;1)," | Sprint Start is not a Monday - dates still calculated from the date entered","")&amp;IF(AND(A35&lt;&gt;"",NOT(ISNUMBER(H35)),NOT(ISNUMBER(J35)))," | Enter Sprint Start or Release Date","")&amp;IF(AND(ISNUMBER(F35),F35&lt;TODAY(),D35&lt;&gt;"Completed")," | One or more raise-by dates are in the past and not completed","")&amp;IF(AND(ISNUMBER(K35),K35-TODAY()&lt;SprintWarningDays,K35&gt;=TODAY(),OR(D35="Yet to start",D35="Blocked"))," | Sprint starts in under 10 days - raise access requests now","")&amp;IF(AND(ISNUMBER(BM35),BN35&lt;&gt;"Completed",BN35&lt;&gt;"N/A",BM35-TODAY()&lt;CodeReviewInviteCalendarDays)," | Code Review invite should be sent at least 4 days before Code Review","")="","",MID(IF(AND(ISNUMBER(J35),WEEKDAY(J35,2)&lt;&gt;2,WEEKDAY(J35,2)&lt;&gt;4)," | Release must be Tuesday or Thursday","")&amp;IF(AND(ISNUMBER(H35),WEEKDAY(H35,2)&lt;&gt;1)," | Sprint Start is not a Monday - dates still calculated from the date entered","")&amp;IF(AND(A35&lt;&gt;"",NOT(ISNUMBER(H35)),NOT(ISNUMBER(J35)))," | Enter Sprint Start or Release Date","")&amp;IF(AND(ISNUMBER(F35),F35&lt;TODAY(),D35&lt;&gt;"Completed")," | One or more raise-by dates are in the past and not completed","")&amp;IF(AND(ISNUMBER(K35),K35-TODAY()&lt;SprintWarningDays,K35&gt;=TODAY(),OR(D35="Yet to start",D35="Blocked"))," | Sprint starts in under 10 days - raise access requests now","")&amp;IF(AND(ISNUMBER(BM35),BN35&lt;&gt;"Completed",BN35&lt;&gt;"N/A",BM35-TODAY()&lt;CodeReviewInviteCalendarDays)," | Code Review invite should be sent at least 4 days before Code Review",""),4,500)))</f>
        <v>Release must be Tuesday or Thursday | Sprint Start is not a Monday - dates still calculated from the date entered | One or more raise-by dates are in the past and not completed | Sprint starts in under 10 days - raise access requests now</v>
      </c>
      <c r="BQ35" s="1" t="str">
        <f>IF(AND(ISNUMBER(Q35),S35&lt;&gt;"Completed",S35&lt;&gt;"N/A"),Q35,"")</f>
        <v/>
      </c>
      <c r="BR35" s="1" t="str">
        <f>IF(AND(ISNUMBER(T35),V35&lt;&gt;"Completed",V35&lt;&gt;"N/A"),T35,"")</f>
        <v/>
      </c>
      <c r="BS35" s="1" t="str">
        <f>IF(AND(ISNUMBER(W35),Y35&lt;&gt;"Completed",Y35&lt;&gt;"N/A"),W35,"")</f>
        <v/>
      </c>
      <c r="BT35" s="1" t="str">
        <f>IF(AND(ISNUMBER(AA35),AC35&lt;&gt;"Completed",AC35&lt;&gt;"N/A"),AA35,"")</f>
        <v/>
      </c>
      <c r="BU35" s="1" t="str">
        <f>IF(AND(ISNUMBER(AG35),AI35&lt;&gt;"Completed",AI35&lt;&gt;"N/A"),AG35,"")</f>
        <v/>
      </c>
      <c r="BV35" s="1" t="str">
        <f>IF(AND(ISNUMBER(AJ35),AL35&lt;&gt;"Completed",AL35&lt;&gt;"N/A"),AJ35,"")</f>
        <v/>
      </c>
      <c r="BW35" s="1" t="str">
        <f>IF(AND(ISNUMBER(AM35),AO35&lt;&gt;"Completed",AO35&lt;&gt;"N/A"),AM35,"")</f>
        <v/>
      </c>
      <c r="BX35" s="1" t="str">
        <f>IF(AND(ISNUMBER(AP35),AR35&lt;&gt;"Completed",AR35&lt;&gt;"N/A"),AP35,"")</f>
        <v/>
      </c>
      <c r="BY35" s="1" t="str">
        <f>IF(AND(ISNUMBER(AU35),AW35&lt;&gt;"Completed",AW35&lt;&gt;"N/A"),AU35,"")</f>
        <v/>
      </c>
      <c r="BZ35" s="1">
        <f>IF(AND(ISNUMBER(AX35),AZ35&lt;&gt;"Completed",AZ35&lt;&gt;"N/A"),AX35,"")</f>
        <v>46252</v>
      </c>
      <c r="CA35" s="1">
        <f>IF(AND(ISNUMBER(BA35),BC35&lt;&gt;"Completed",BC35&lt;&gt;"N/A"),BA35,"")</f>
        <v>46253</v>
      </c>
      <c r="CB35" s="1" t="str">
        <f>IF(AND(ISNUMBER(BD35),BF35&lt;&gt;"Completed",BF35&lt;&gt;"N/A"),BD35,"")</f>
        <v/>
      </c>
      <c r="CC35" s="1">
        <f>IF(AND(ISNUMBER(O35),P35&lt;&gt;"Completed",P35&lt;&gt;"N/A"),O35,"")</f>
        <v>46258</v>
      </c>
      <c r="CD35" s="1">
        <f>IF(AND(ISNUMBER(BM35),BN35&lt;&gt;"Completed",BN35&lt;&gt;"N/A"),BM35,"")</f>
        <v>46293</v>
      </c>
      <c r="CE35" s="1">
        <f>IF(AND(ISNUMBER(BK35),BL35&lt;&gt;"Completed",BL35&lt;&gt;"N/A"),BK35,"")</f>
        <v>46297</v>
      </c>
      <c r="CF35" s="1">
        <f>IF(AND(ISNUMBER(BI35),BJ35&lt;&gt;"Completed",BJ35&lt;&gt;"N/A"),BI35,"")</f>
        <v>46300</v>
      </c>
      <c r="CG35" s="1">
        <f ca="1">IF(OR(A35="",D35="Completed"),"",IF(N(G35)&gt;0,1/(N(G35)+ROW()/100000),IF(ISNUMBER(F35),1000+F35+ROW()/100000,TODAY()+400+ROW()/100000)))</f>
        <v>0.33329444898095223</v>
      </c>
    </row>
    <row r="36" spans="1:85" ht="15.95" customHeight="1">
      <c r="A36" s="10" t="s">
        <v>139</v>
      </c>
      <c r="B36" s="10" t="s">
        <v>98</v>
      </c>
      <c r="C36" s="10" t="s">
        <v>140</v>
      </c>
      <c r="D36" s="11" t="str">
        <f>IF(A36="","",IF(((S36="Blocked")+(V36="Blocked")+(Y36="Blocked")+(AC36="Blocked")+(AI36="Blocked")+(AL36="Blocked")+(AO36="Blocked")+(AR36="Blocked")+(AW36="Blocked")+(AZ36="Blocked")+(BC36="Blocked")+(BF36="Blocked")+(P36="Blocked")+(BJ36="Blocked")+(BL36="Blocked")+(BN36="Blocked")+(BO36="Blocked"))&gt;0,"Blocked",IF((ISNUMBER(Q36)+ISNUMBER(T36)+ISNUMBER(W36)+ISNUMBER(AA36)+ISNUMBER(AG36)+ISNUMBER(AJ36)+ISNUMBER(AM36)+ISNUMBER(AP36)+ISNUMBER(AU36)+ISNUMBER(AX36)+ISNUMBER(BA36)+ISNUMBER(BD36)+ISNUMBER(O36)+ISNUMBER(BI36)+ISNUMBER(BK36)+ISNUMBER(BM36))=0,"Yet to start",IF(AND(OR(NOT(ISNUMBER(Q36)),S36="Completed",S36="N/A"),OR(NOT(ISNUMBER(T36)),V36="Completed",V36="N/A"),OR(NOT(ISNUMBER(W36)),Y36="Completed",Y36="N/A"),OR(NOT(ISNUMBER(AA36)),AC36="Completed",AC36="N/A"),OR(NOT(ISNUMBER(AG36)),AI36="Completed",AI36="N/A"),OR(NOT(ISNUMBER(AJ36)),AL36="Completed",AL36="N/A"),OR(NOT(ISNUMBER(AM36)),AO36="Completed",AO36="N/A"),OR(NOT(ISNUMBER(AP36)),AR36="Completed",AR36="N/A"),OR(NOT(ISNUMBER(AU36)),AW36="Completed",AW36="N/A"),OR(NOT(ISNUMBER(AX36)),AZ36="Completed",AZ36="N/A"),OR(NOT(ISNUMBER(BA36)),BC36="Completed",BC36="N/A"),OR(NOT(ISNUMBER(BD36)),BF36="Completed",BF36="N/A"),OR(NOT(ISNUMBER(O36)),P36="Completed",P36="N/A"),OR(NOT(ISNUMBER(BI36)),BJ36="Completed",BJ36="N/A"),OR(NOT(ISNUMBER(BK36)),BL36="Completed",BL36="N/A"),OR(NOT(ISNUMBER(BM36)),BN36="Completed",BN36="N/A"),OR(BO36="Completed",BO36="N/A")),"Completed",IF(((S36="In Progress")+(V36="In Progress")+(Y36="In Progress")+(AC36="In Progress")+(AI36="In Progress")+(AL36="In Progress")+(AO36="In Progress")+(AR36="In Progress")+(AW36="In Progress")+(AZ36="In Progress")+(BC36="In Progress")+(BF36="In Progress")+(P36="In Progress")+(BJ36="In Progress")+(BL36="In Progress")+(BN36="In Progress")+(BO36="In Progress"))&gt;0,"In Progress","Yet to start")))))</f>
        <v>Yet to start</v>
      </c>
      <c r="E36" s="11" t="str">
        <f>IF(A36="","",IF(F36="","All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Review","CAB"},MATCH(F36,BQ36:CF36,0))))</f>
        <v>Prod OUR</v>
      </c>
      <c r="F36" s="12">
        <f>IF(A36="","",IF(COUNT(BQ36:CF36)=0,"",MIN(BQ36:CF36)))</f>
        <v>46266</v>
      </c>
      <c r="G36" s="13">
        <f ca="1">IF(A36="","",MAX(0,IF(AND(ISNUMBER(Q36),S36&lt;&gt;"Completed",S36&lt;&gt;"N/A",Q36&lt;TODAY()),TODAY()-Q36,0),IF(AND(ISNUMBER(T36),V36&lt;&gt;"Completed",V36&lt;&gt;"N/A",T36&lt;TODAY()),TODAY()-T36,0),IF(AND(ISNUMBER(W36),Y36&lt;&gt;"Completed",Y36&lt;&gt;"N/A",W36&lt;TODAY()),TODAY()-W36,0),IF(AND(ISNUMBER(AA36),AC36&lt;&gt;"Completed",AC36&lt;&gt;"N/A",AA36&lt;TODAY()),TODAY()-AA36,0),IF(AND(ISNUMBER(AG36),AI36&lt;&gt;"Completed",AI36&lt;&gt;"N/A",AG36&lt;TODAY()),TODAY()-AG36,0),IF(AND(ISNUMBER(AJ36),AL36&lt;&gt;"Completed",AL36&lt;&gt;"N/A",AJ36&lt;TODAY()),TODAY()-AJ36,0),IF(AND(ISNUMBER(AM36),AO36&lt;&gt;"Completed",AO36&lt;&gt;"N/A",AM36&lt;TODAY()),TODAY()-AM36,0),IF(AND(ISNUMBER(AP36),AR36&lt;&gt;"Completed",AR36&lt;&gt;"N/A",AP36&lt;TODAY()),TODAY()-AP36,0),IF(AND(ISNUMBER(AU36),AW36&lt;&gt;"Completed",AW36&lt;&gt;"N/A",AU36&lt;TODAY()),TODAY()-AU36,0),IF(AND(ISNUMBER(AX36),AZ36&lt;&gt;"Completed",AZ36&lt;&gt;"N/A",AX36&lt;TODAY()),TODAY()-AX36,0),IF(AND(ISNUMBER(BA36),BC36&lt;&gt;"Completed",BC36&lt;&gt;"N/A",BA36&lt;TODAY()),TODAY()-BA36,0),IF(AND(ISNUMBER(BD36),BF36&lt;&gt;"Completed",BF36&lt;&gt;"N/A",BD36&lt;TODAY()),TODAY()-BD36,0),IF(AND(ISNUMBER(O36),P36&lt;&gt;"Completed",P36&lt;&gt;"N/A",O36&lt;TODAY()),TODAY()-O36,0),IF(AND(ISNUMBER(BM36),BN36&lt;&gt;"Completed",BN36&lt;&gt;"N/A",BM36&lt;TODAY()),TODAY()-BM36,0),IF(AND(ISNUMBER(BK36),BL36&lt;&gt;"Completed",BL36&lt;&gt;"N/A",BK36&lt;TODAY()),TODAY()-BK36,0),IF(AND(ISNUMBER(BI36),BJ36&lt;&gt;"Completed",BJ36&lt;&gt;"N/A",BI36&lt;TODAY()),TODAY()-BI36,0)))</f>
        <v>0</v>
      </c>
      <c r="H36" s="14">
        <v>46274</v>
      </c>
      <c r="I36" s="14">
        <v>46287</v>
      </c>
      <c r="J36" s="15">
        <v>46300</v>
      </c>
      <c r="K36" s="12">
        <f>IF(ISNUMBER(H36),H36,IF(ISNUMBER(M36),M36-WEEKDAY(M36,2)+1-7,""))</f>
        <v>46274</v>
      </c>
      <c r="L36" s="12">
        <f>IF(ISNUMBER(I36),I36,IF(ISNUMBER(H36),WORKDAY(H36,SprintWorkingDays-1),IF(ISNUMBER(K36),WORKDAY(K36,SprintWorkingDays-1),"")))</f>
        <v>46287</v>
      </c>
      <c r="M36" s="12">
        <f>IF(ISNUMBER(J36),J36,IF(ISNUMBER(I36),I36-IF(OR(WEEKDAY(I36,2)=2,WEEKDAY(I36,2)=4),0,IF(WEEKDAY(I36,2)=3,1,IF(WEEKDAY(I36,2)=1,4,WEEKDAY(I36,2)-4))),IF(ISNUMBER(H36),WORKDAY(H36,SprintWorkingDays-1)-IF(OR(WEEKDAY(WORKDAY(H36,SprintWorkingDays-1),2)=2,WEEKDAY(WORKDAY(H36,SprintWorkingDays-1),2)=4),0,IF(WEEKDAY(WORKDAY(H36,SprintWorkingDays-1),2)=3,1,IF(WEEKDAY(WORKDAY(H36,SprintWorkingDays-1),2)=1,4,WEEKDAY(WORKDAY(H36,SprintWorkingDays-1),2)-4))),"")))</f>
        <v>46300</v>
      </c>
      <c r="N36" s="12">
        <f>IF(NOT(ISNUMBER(K36)),"",WORKDAY(K36,ReadyOffsetWD))</f>
        <v>46273</v>
      </c>
      <c r="O36" s="12">
        <f>IF(NOT(ISNUMBER(K36)),"",WORKDAY(K36,SprintReadinessOffsetWD))</f>
        <v>46272</v>
      </c>
      <c r="P36" s="10" t="s">
        <v>107</v>
      </c>
      <c r="Q36" s="12">
        <f>IF(A36="","",IF(V36="N/A",IF(NOT(ISNUMBER(W36)),"",WORKDAY(W36,RTSKOffsetFromOUR_WD)),IF(NOT(ISNUMBER(T36)),"",WORKDAY(T36,RTSKOffsetFromOUR_WD))))</f>
        <v>46262</v>
      </c>
      <c r="R36" s="15">
        <v>46252</v>
      </c>
      <c r="S36" s="10" t="s">
        <v>32</v>
      </c>
      <c r="T36" s="12">
        <f>IF(OR(A36="",V36="N/A"),"",IF(NOT(ISNUMBER(W36)),"",WORKDAY(W36,OUROffsetFromSR_WD)))</f>
        <v>46266</v>
      </c>
      <c r="U36" s="15">
        <v>46248</v>
      </c>
      <c r="V36" s="10" t="s">
        <v>32</v>
      </c>
      <c r="W36" s="12">
        <f>IF(OR(A36="",NOT(ISNUMBER(K36))),"",WORKDAY(K36,SROffsetFromStartWD))</f>
        <v>46267</v>
      </c>
      <c r="X36" s="15">
        <v>46248</v>
      </c>
      <c r="Y36" s="10" t="s">
        <v>32</v>
      </c>
      <c r="Z36" s="10" t="s">
        <v>100</v>
      </c>
      <c r="AA36" s="12" t="str">
        <f>IF(OR(Z36="",Z36="N/A"),"",IF(ISNUMBER(Q36),Q36,""))</f>
        <v/>
      </c>
      <c r="AB36" s="15"/>
      <c r="AC36" s="10"/>
      <c r="AD36" s="10"/>
      <c r="AE36" s="10"/>
      <c r="AF36" s="10" t="str">
        <f>IF(Z36="N/A","N/A","")</f>
        <v>N/A</v>
      </c>
      <c r="AG36" s="12">
        <f>IF(NOT(ISNUMBER(Q36)),"",Q36)</f>
        <v>46262</v>
      </c>
      <c r="AH36" s="12">
        <v>46253</v>
      </c>
      <c r="AI36" s="10" t="s">
        <v>32</v>
      </c>
      <c r="AJ36" s="12">
        <f>IF(OR(AL36="N/A",NOT(ISNUMBER(T36))),"",T36)</f>
        <v>46266</v>
      </c>
      <c r="AK36" s="15">
        <v>46253</v>
      </c>
      <c r="AL36" s="10" t="s">
        <v>32</v>
      </c>
      <c r="AM36" s="12">
        <f>IF(NOT(ISNUMBER(W36)),"",W36)</f>
        <v>46267</v>
      </c>
      <c r="AN36" s="15">
        <v>46253</v>
      </c>
      <c r="AO36" s="10" t="s">
        <v>32</v>
      </c>
      <c r="AP36" s="12" t="str">
        <f>IF(OR(Z36="",Z36="N/A"),"",IF(ISNUMBER(AG36),AG36,""))</f>
        <v/>
      </c>
      <c r="AQ36" s="15"/>
      <c r="AR36" s="10"/>
      <c r="AS36" s="10"/>
      <c r="AT36" s="10"/>
      <c r="AU36" s="12">
        <f>IF(NOT(ISNUMBER(Q36)),"",Q36)</f>
        <v>46262</v>
      </c>
      <c r="AV36" s="15"/>
      <c r="AW36" s="10" t="s">
        <v>32</v>
      </c>
      <c r="AX36" s="12">
        <f>IF(OR(AZ36="N/A",NOT(ISNUMBER(T36))),"",T36)</f>
        <v>46266</v>
      </c>
      <c r="AY36" s="15"/>
      <c r="AZ36" s="10"/>
      <c r="BA36" s="12">
        <f>IF(NOT(ISNUMBER(W36)),"",W36)</f>
        <v>46267</v>
      </c>
      <c r="BB36" s="15"/>
      <c r="BC36" s="10"/>
      <c r="BD36" s="12" t="str">
        <f>IF(OR(Z36="",Z36="N/A"),"",IF(ISNUMBER(AU36),AU36,""))</f>
        <v/>
      </c>
      <c r="BE36" s="15"/>
      <c r="BF36" s="10"/>
      <c r="BG36" s="10"/>
      <c r="BH36" s="10"/>
      <c r="BI36" s="12">
        <v>46300</v>
      </c>
      <c r="BJ36" s="10"/>
      <c r="BK36" s="12">
        <f>IF(NOT(ISNUMBER(BI36)),"",IF(WEEKDAY(BI36-CodeReviewCalendarDays,2)&gt;5,BI36-CodeReviewCalendarDays-(WEEKDAY(BI36-CodeReviewCalendarDays,2)-5),BI36-CodeReviewCalendarDays))</f>
        <v>46297</v>
      </c>
      <c r="BL36" s="10"/>
      <c r="BM36" s="12">
        <f>IF(NOT(ISNUMBER(BK36)),"",IF(WEEKDAY(BK36-CodeReviewInviteCalendarDays,2)&gt;5,BK36-CodeReviewInviteCalendarDays-(WEEKDAY(BK36-CodeReviewInviteCalendarDays,2)-5),BK36-CodeReviewInviteCalendarDays))</f>
        <v>46293</v>
      </c>
      <c r="BN36" s="10"/>
      <c r="BO36" s="10"/>
      <c r="BP36" s="16" t="str">
        <f ca="1">IF(A36="","",IF(IF(AND(ISNUMBER(J36),WEEKDAY(J36,2)&lt;&gt;2,WEEKDAY(J36,2)&lt;&gt;4)," | Release must be Tuesday or Thursday","")&amp;IF(AND(ISNUMBER(H36),WEEKDAY(H36,2)&lt;&gt;1)," | Sprint Start is not a Monday - dates still calculated from the date entered","")&amp;IF(AND(A36&lt;&gt;"",NOT(ISNUMBER(H36)),NOT(ISNUMBER(J36)))," | Enter Sprint Start or Release Date","")&amp;IF(AND(ISNUMBER(F36),F36&lt;TODAY(),D36&lt;&gt;"Completed")," | One or more raise-by dates are in the past and not completed","")&amp;IF(AND(ISNUMBER(K36),K36-TODAY()&lt;SprintWarningDays,K36&gt;=TODAY(),OR(D36="Yet to start",D36="Blocked"))," | Sprint starts in under 10 days - raise access requests now","")&amp;IF(AND(ISNUMBER(BM36),BN36&lt;&gt;"Completed",BN36&lt;&gt;"N/A",BM36-TODAY()&lt;CodeReviewInviteCalendarDays)," | Code Review invite should be sent at least 4 days before Code Review","")="","",MID(IF(AND(ISNUMBER(J36),WEEKDAY(J36,2)&lt;&gt;2,WEEKDAY(J36,2)&lt;&gt;4)," | Release must be Tuesday or Thursday","")&amp;IF(AND(ISNUMBER(H36),WEEKDAY(H36,2)&lt;&gt;1)," | Sprint Start is not a Monday - dates still calculated from the date entered","")&amp;IF(AND(A36&lt;&gt;"",NOT(ISNUMBER(H36)),NOT(ISNUMBER(J36)))," | Enter Sprint Start or Release Date","")&amp;IF(AND(ISNUMBER(F36),F36&lt;TODAY(),D36&lt;&gt;"Completed")," | One or more raise-by dates are in the past and not completed","")&amp;IF(AND(ISNUMBER(K36),K36-TODAY()&lt;SprintWarningDays,K36&gt;=TODAY(),OR(D36="Yet to start",D36="Blocked"))," | Sprint starts in under 10 days - raise access requests now","")&amp;IF(AND(ISNUMBER(BM36),BN36&lt;&gt;"Completed",BN36&lt;&gt;"N/A",BM36-TODAY()&lt;CodeReviewInviteCalendarDays)," | Code Review invite should be sent at least 4 days before Code Review",""),4,500)))</f>
        <v>Release must be Tuesday or Thursday | Sprint Start is not a Monday - dates still calculated from the date entered</v>
      </c>
      <c r="BQ36" s="1" t="str">
        <f>IF(AND(ISNUMBER(Q36),S36&lt;&gt;"Completed",S36&lt;&gt;"N/A"),Q36,"")</f>
        <v/>
      </c>
      <c r="BR36" s="1" t="str">
        <f>IF(AND(ISNUMBER(T36),V36&lt;&gt;"Completed",V36&lt;&gt;"N/A"),T36,"")</f>
        <v/>
      </c>
      <c r="BS36" s="1" t="str">
        <f>IF(AND(ISNUMBER(W36),Y36&lt;&gt;"Completed",Y36&lt;&gt;"N/A"),W36,"")</f>
        <v/>
      </c>
      <c r="BT36" s="1" t="str">
        <f>IF(AND(ISNUMBER(AA36),AC36&lt;&gt;"Completed",AC36&lt;&gt;"N/A"),AA36,"")</f>
        <v/>
      </c>
      <c r="BU36" s="1" t="str">
        <f>IF(AND(ISNUMBER(AG36),AI36&lt;&gt;"Completed",AI36&lt;&gt;"N/A"),AG36,"")</f>
        <v/>
      </c>
      <c r="BV36" s="1" t="str">
        <f>IF(AND(ISNUMBER(AJ36),AL36&lt;&gt;"Completed",AL36&lt;&gt;"N/A"),AJ36,"")</f>
        <v/>
      </c>
      <c r="BW36" s="1" t="str">
        <f>IF(AND(ISNUMBER(AM36),AO36&lt;&gt;"Completed",AO36&lt;&gt;"N/A"),AM36,"")</f>
        <v/>
      </c>
      <c r="BX36" s="1" t="str">
        <f>IF(AND(ISNUMBER(AP36),AR36&lt;&gt;"Completed",AR36&lt;&gt;"N/A"),AP36,"")</f>
        <v/>
      </c>
      <c r="BY36" s="1" t="str">
        <f>IF(AND(ISNUMBER(AU36),AW36&lt;&gt;"Completed",AW36&lt;&gt;"N/A"),AU36,"")</f>
        <v/>
      </c>
      <c r="BZ36" s="1">
        <f>IF(AND(ISNUMBER(AX36),AZ36&lt;&gt;"Completed",AZ36&lt;&gt;"N/A"),AX36,"")</f>
        <v>46266</v>
      </c>
      <c r="CA36" s="1">
        <f>IF(AND(ISNUMBER(BA36),BC36&lt;&gt;"Completed",BC36&lt;&gt;"N/A"),BA36,"")</f>
        <v>46267</v>
      </c>
      <c r="CB36" s="1" t="str">
        <f>IF(AND(ISNUMBER(BD36),BF36&lt;&gt;"Completed",BF36&lt;&gt;"N/A"),BD36,"")</f>
        <v/>
      </c>
      <c r="CC36" s="1">
        <f>IF(AND(ISNUMBER(O36),P36&lt;&gt;"Completed",P36&lt;&gt;"N/A"),O36,"")</f>
        <v>46272</v>
      </c>
      <c r="CD36" s="1">
        <f>IF(AND(ISNUMBER(BM36),BN36&lt;&gt;"Completed",BN36&lt;&gt;"N/A"),BM36,"")</f>
        <v>46293</v>
      </c>
      <c r="CE36" s="1">
        <f>IF(AND(ISNUMBER(BK36),BL36&lt;&gt;"Completed",BL36&lt;&gt;"N/A"),BK36,"")</f>
        <v>46297</v>
      </c>
      <c r="CF36" s="1">
        <f>IF(AND(ISNUMBER(BI36),BJ36&lt;&gt;"Completed",BJ36&lt;&gt;"N/A"),BI36,"")</f>
        <v>46300</v>
      </c>
      <c r="CG36" s="1">
        <f ca="1">IF(OR(A36="",D36="Completed"),"",IF(N(G36)&gt;0,1/(N(G36)+ROW()/100000),IF(ISNUMBER(F36),1000+F36+ROW()/100000,TODAY()+400+ROW()/100000)))</f>
        <v>47266.000359999998</v>
      </c>
    </row>
    <row r="37" spans="1:85" ht="15.95" customHeight="1">
      <c r="A37" s="10" t="s">
        <v>141</v>
      </c>
      <c r="B37" s="10" t="s">
        <v>98</v>
      </c>
      <c r="C37" s="10" t="s">
        <v>140</v>
      </c>
      <c r="D37" s="11" t="str">
        <f>IF(A37="","",IF(((S37="Blocked")+(V37="Blocked")+(Y37="Blocked")+(AC37="Blocked")+(AI37="Blocked")+(AL37="Blocked")+(AO37="Blocked")+(AR37="Blocked")+(AW37="Blocked")+(AZ37="Blocked")+(BC37="Blocked")+(BF37="Blocked")+(P37="Blocked")+(BJ37="Blocked")+(BL37="Blocked")+(BN37="Blocked")+(BO37="Blocked"))&gt;0,"Blocked",IF((ISNUMBER(Q37)+ISNUMBER(T37)+ISNUMBER(W37)+ISNUMBER(AA37)+ISNUMBER(AG37)+ISNUMBER(AJ37)+ISNUMBER(AM37)+ISNUMBER(AP37)+ISNUMBER(AU37)+ISNUMBER(AX37)+ISNUMBER(BA37)+ISNUMBER(BD37)+ISNUMBER(O37)+ISNUMBER(BI37)+ISNUMBER(BK37)+ISNUMBER(BM37))=0,"Yet to start",IF(AND(OR(NOT(ISNUMBER(Q37)),S37="Completed",S37="N/A"),OR(NOT(ISNUMBER(T37)),V37="Completed",V37="N/A"),OR(NOT(ISNUMBER(W37)),Y37="Completed",Y37="N/A"),OR(NOT(ISNUMBER(AA37)),AC37="Completed",AC37="N/A"),OR(NOT(ISNUMBER(AG37)),AI37="Completed",AI37="N/A"),OR(NOT(ISNUMBER(AJ37)),AL37="Completed",AL37="N/A"),OR(NOT(ISNUMBER(AM37)),AO37="Completed",AO37="N/A"),OR(NOT(ISNUMBER(AP37)),AR37="Completed",AR37="N/A"),OR(NOT(ISNUMBER(AU37)),AW37="Completed",AW37="N/A"),OR(NOT(ISNUMBER(AX37)),AZ37="Completed",AZ37="N/A"),OR(NOT(ISNUMBER(BA37)),BC37="Completed",BC37="N/A"),OR(NOT(ISNUMBER(BD37)),BF37="Completed",BF37="N/A"),OR(NOT(ISNUMBER(O37)),P37="Completed",P37="N/A"),OR(NOT(ISNUMBER(BI37)),BJ37="Completed",BJ37="N/A"),OR(NOT(ISNUMBER(BK37)),BL37="Completed",BL37="N/A"),OR(NOT(ISNUMBER(BM37)),BN37="Completed",BN37="N/A"),OR(BO37="Completed",BO37="N/A")),"Completed",IF(((S37="In Progress")+(V37="In Progress")+(Y37="In Progress")+(AC37="In Progress")+(AI37="In Progress")+(AL37="In Progress")+(AO37="In Progress")+(AR37="In Progress")+(AW37="In Progress")+(AZ37="In Progress")+(BC37="In Progress")+(BF37="In Progress")+(P37="In Progress")+(BJ37="In Progress")+(BL37="In Progress")+(BN37="In Progress")+(BO37="In Progress"))&gt;0,"In Progress","Yet to start")))))</f>
        <v>Yet to start</v>
      </c>
      <c r="E37" s="11" t="str">
        <f>IF(A37="","",IF(F37="","All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Review","CAB"},MATCH(F37,BQ37:CF37,0))))</f>
        <v>Dev R-Task</v>
      </c>
      <c r="F37" s="12">
        <f>IF(A37="","",IF(COUNT(BQ37:CF37)=0,"",MIN(BQ37:CF37)))</f>
        <v>46262</v>
      </c>
      <c r="G37" s="13">
        <f ca="1">IF(A37="","",MAX(0,IF(AND(ISNUMBER(Q37),S37&lt;&gt;"Completed",S37&lt;&gt;"N/A",Q37&lt;TODAY()),TODAY()-Q37,0),IF(AND(ISNUMBER(T37),V37&lt;&gt;"Completed",V37&lt;&gt;"N/A",T37&lt;TODAY()),TODAY()-T37,0),IF(AND(ISNUMBER(W37),Y37&lt;&gt;"Completed",Y37&lt;&gt;"N/A",W37&lt;TODAY()),TODAY()-W37,0),IF(AND(ISNUMBER(AA37),AC37&lt;&gt;"Completed",AC37&lt;&gt;"N/A",AA37&lt;TODAY()),TODAY()-AA37,0),IF(AND(ISNUMBER(AG37),AI37&lt;&gt;"Completed",AI37&lt;&gt;"N/A",AG37&lt;TODAY()),TODAY()-AG37,0),IF(AND(ISNUMBER(AJ37),AL37&lt;&gt;"Completed",AL37&lt;&gt;"N/A",AJ37&lt;TODAY()),TODAY()-AJ37,0),IF(AND(ISNUMBER(AM37),AO37&lt;&gt;"Completed",AO37&lt;&gt;"N/A",AM37&lt;TODAY()),TODAY()-AM37,0),IF(AND(ISNUMBER(AP37),AR37&lt;&gt;"Completed",AR37&lt;&gt;"N/A",AP37&lt;TODAY()),TODAY()-AP37,0),IF(AND(ISNUMBER(AU37),AW37&lt;&gt;"Completed",AW37&lt;&gt;"N/A",AU37&lt;TODAY()),TODAY()-AU37,0),IF(AND(ISNUMBER(AX37),AZ37&lt;&gt;"Completed",AZ37&lt;&gt;"N/A",AX37&lt;TODAY()),TODAY()-AX37,0),IF(AND(ISNUMBER(BA37),BC37&lt;&gt;"Completed",BC37&lt;&gt;"N/A",BA37&lt;TODAY()),TODAY()-BA37,0),IF(AND(ISNUMBER(BD37),BF37&lt;&gt;"Completed",BF37&lt;&gt;"N/A",BD37&lt;TODAY()),TODAY()-BD37,0),IF(AND(ISNUMBER(O37),P37&lt;&gt;"Completed",P37&lt;&gt;"N/A",O37&lt;TODAY()),TODAY()-O37,0),IF(AND(ISNUMBER(BM37),BN37&lt;&gt;"Completed",BN37&lt;&gt;"N/A",BM37&lt;TODAY()),TODAY()-BM37,0),IF(AND(ISNUMBER(BK37),BL37&lt;&gt;"Completed",BL37&lt;&gt;"N/A",BK37&lt;TODAY()),TODAY()-BK37,0),IF(AND(ISNUMBER(BI37),BJ37&lt;&gt;"Completed",BJ37&lt;&gt;"N/A",BI37&lt;TODAY()),TODAY()-BI37,0)))</f>
        <v>0</v>
      </c>
      <c r="H37" s="14">
        <v>46274</v>
      </c>
      <c r="I37" s="14">
        <v>46287</v>
      </c>
      <c r="J37" s="15">
        <v>46300</v>
      </c>
      <c r="K37" s="12">
        <f>IF(ISNUMBER(H37),H37,IF(ISNUMBER(M37),M37-WEEKDAY(M37,2)+1-7,""))</f>
        <v>46274</v>
      </c>
      <c r="L37" s="12">
        <f>IF(ISNUMBER(I37),I37,IF(ISNUMBER(H37),WORKDAY(H37,SprintWorkingDays-1),IF(ISNUMBER(K37),WORKDAY(K37,SprintWorkingDays-1),"")))</f>
        <v>46287</v>
      </c>
      <c r="M37" s="12">
        <f>IF(ISNUMBER(J37),J37,IF(ISNUMBER(I37),I37-IF(OR(WEEKDAY(I37,2)=2,WEEKDAY(I37,2)=4),0,IF(WEEKDAY(I37,2)=3,1,IF(WEEKDAY(I37,2)=1,4,WEEKDAY(I37,2)-4))),IF(ISNUMBER(H37),WORKDAY(H37,SprintWorkingDays-1)-IF(OR(WEEKDAY(WORKDAY(H37,SprintWorkingDays-1),2)=2,WEEKDAY(WORKDAY(H37,SprintWorkingDays-1),2)=4),0,IF(WEEKDAY(WORKDAY(H37,SprintWorkingDays-1),2)=3,1,IF(WEEKDAY(WORKDAY(H37,SprintWorkingDays-1),2)=1,4,WEEKDAY(WORKDAY(H37,SprintWorkingDays-1),2)-4))),"")))</f>
        <v>46300</v>
      </c>
      <c r="N37" s="12">
        <f>IF(NOT(ISNUMBER(K37)),"",WORKDAY(K37,ReadyOffsetWD))</f>
        <v>46273</v>
      </c>
      <c r="O37" s="12">
        <f>IF(NOT(ISNUMBER(K37)),"",WORKDAY(K37,SprintReadinessOffsetWD))</f>
        <v>46272</v>
      </c>
      <c r="P37" s="10" t="s">
        <v>107</v>
      </c>
      <c r="Q37" s="12">
        <f>IF(A37="","",IF(V37="N/A",IF(NOT(ISNUMBER(W37)),"",WORKDAY(W37,RTSKOffsetFromOUR_WD)),IF(NOT(ISNUMBER(T37)),"",WORKDAY(T37,RTSKOffsetFromOUR_WD))))</f>
        <v>46262</v>
      </c>
      <c r="R37" s="15"/>
      <c r="S37" s="10"/>
      <c r="T37" s="12">
        <f>IF(OR(A37="",V37="N/A"),"",IF(NOT(ISNUMBER(W37)),"",WORKDAY(W37,OUROffsetFromSR_WD)))</f>
        <v>46266</v>
      </c>
      <c r="U37" s="15"/>
      <c r="V37" s="10"/>
      <c r="W37" s="12">
        <f>IF(OR(A37="",NOT(ISNUMBER(K37))),"",WORKDAY(K37,SROffsetFromStartWD))</f>
        <v>46267</v>
      </c>
      <c r="X37" s="15"/>
      <c r="Y37" s="10"/>
      <c r="Z37" s="10"/>
      <c r="AA37" s="12" t="str">
        <f>IF(OR(Z37="",Z37="N/A"),"",IF(ISNUMBER(Q37),Q37,""))</f>
        <v/>
      </c>
      <c r="AB37" s="15"/>
      <c r="AC37" s="10"/>
      <c r="AD37" s="10"/>
      <c r="AE37" s="10"/>
      <c r="AF37" s="10" t="str">
        <f>IF(Z37="N/A","N/A","")</f>
        <v/>
      </c>
      <c r="AG37" s="12">
        <f>IF(NOT(ISNUMBER(Q37)),"",Q37)</f>
        <v>46262</v>
      </c>
      <c r="AH37" s="15"/>
      <c r="AI37" s="10"/>
      <c r="AJ37" s="12">
        <f>IF(OR(AL37="N/A",NOT(ISNUMBER(T37))),"",T37)</f>
        <v>46266</v>
      </c>
      <c r="AK37" s="15"/>
      <c r="AL37" s="10"/>
      <c r="AM37" s="12">
        <f>IF(NOT(ISNUMBER(W37)),"",W37)</f>
        <v>46267</v>
      </c>
      <c r="AN37" s="15"/>
      <c r="AO37" s="10"/>
      <c r="AP37" s="12" t="str">
        <f>IF(OR(Z37="",Z37="N/A"),"",IF(ISNUMBER(AG37),AG37,""))</f>
        <v/>
      </c>
      <c r="AQ37" s="15"/>
      <c r="AR37" s="10"/>
      <c r="AS37" s="10"/>
      <c r="AT37" s="10"/>
      <c r="AU37" s="12">
        <f>IF(NOT(ISNUMBER(Q37)),"",Q37)</f>
        <v>46262</v>
      </c>
      <c r="AV37" s="15"/>
      <c r="AW37" s="10"/>
      <c r="AX37" s="12">
        <f>IF(OR(AZ37="N/A",NOT(ISNUMBER(T37))),"",T37)</f>
        <v>46266</v>
      </c>
      <c r="AY37" s="15"/>
      <c r="AZ37" s="10"/>
      <c r="BA37" s="12">
        <f>IF(NOT(ISNUMBER(W37)),"",W37)</f>
        <v>46267</v>
      </c>
      <c r="BB37" s="15"/>
      <c r="BC37" s="10"/>
      <c r="BD37" s="12" t="str">
        <f>IF(OR(Z37="",Z37="N/A"),"",IF(ISNUMBER(AU37),AU37,""))</f>
        <v/>
      </c>
      <c r="BE37" s="15"/>
      <c r="BF37" s="10"/>
      <c r="BG37" s="10"/>
      <c r="BH37" s="10"/>
      <c r="BI37" s="12">
        <v>46300</v>
      </c>
      <c r="BJ37" s="10"/>
      <c r="BK37" s="12">
        <f>IF(NOT(ISNUMBER(BI37)),"",IF(WEEKDAY(BI37-CodeReviewCalendarDays,2)&gt;5,BI37-CodeReviewCalendarDays-(WEEKDAY(BI37-CodeReviewCalendarDays,2)-5),BI37-CodeReviewCalendarDays))</f>
        <v>46297</v>
      </c>
      <c r="BL37" s="10"/>
      <c r="BM37" s="12">
        <f>IF(NOT(ISNUMBER(BK37)),"",IF(WEEKDAY(BK37-CodeReviewInviteCalendarDays,2)&gt;5,BK37-CodeReviewInviteCalendarDays-(WEEKDAY(BK37-CodeReviewInviteCalendarDays,2)-5),BK37-CodeReviewInviteCalendarDays))</f>
        <v>46293</v>
      </c>
      <c r="BN37" s="10"/>
      <c r="BO37" s="10"/>
      <c r="BP37" s="16" t="str">
        <f ca="1">IF(A37="","",IF(IF(AND(ISNUMBER(J37),WEEKDAY(J37,2)&lt;&gt;2,WEEKDAY(J37,2)&lt;&gt;4)," | Release must be Tuesday or Thursday","")&amp;IF(AND(ISNUMBER(H37),WEEKDAY(H37,2)&lt;&gt;1)," | Sprint Start is not a Monday - dates still calculated from the date entered","")&amp;IF(AND(A37&lt;&gt;"",NOT(ISNUMBER(H37)),NOT(ISNUMBER(J37)))," | Enter Sprint Start or Release Date","")&amp;IF(AND(ISNUMBER(F37),F37&lt;TODAY(),D37&lt;&gt;"Completed")," | One or more raise-by dates are in the past and not completed","")&amp;IF(AND(ISNUMBER(K37),K37-TODAY()&lt;SprintWarningDays,K37&gt;=TODAY(),OR(D37="Yet to start",D37="Blocked"))," | Sprint starts in under 10 days - raise access requests now","")&amp;IF(AND(ISNUMBER(BM37),BN37&lt;&gt;"Completed",BN37&lt;&gt;"N/A",BM37-TODAY()&lt;CodeReviewInviteCalendarDays)," | Code Review invite should be sent at least 4 days before Code Review","")="","",MID(IF(AND(ISNUMBER(J37),WEEKDAY(J37,2)&lt;&gt;2,WEEKDAY(J37,2)&lt;&gt;4)," | Release must be Tuesday or Thursday","")&amp;IF(AND(ISNUMBER(H37),WEEKDAY(H37,2)&lt;&gt;1)," | Sprint Start is not a Monday - dates still calculated from the date entered","")&amp;IF(AND(A37&lt;&gt;"",NOT(ISNUMBER(H37)),NOT(ISNUMBER(J37)))," | Enter Sprint Start or Release Date","")&amp;IF(AND(ISNUMBER(F37),F37&lt;TODAY(),D37&lt;&gt;"Completed")," | One or more raise-by dates are in the past and not completed","")&amp;IF(AND(ISNUMBER(K37),K37-TODAY()&lt;SprintWarningDays,K37&gt;=TODAY(),OR(D37="Yet to start",D37="Blocked"))," | Sprint starts in under 10 days - raise access requests now","")&amp;IF(AND(ISNUMBER(BM37),BN37&lt;&gt;"Completed",BN37&lt;&gt;"N/A",BM37-TODAY()&lt;CodeReviewInviteCalendarDays)," | Code Review invite should be sent at least 4 days before Code Review",""),4,500)))</f>
        <v>Release must be Tuesday or Thursday | Sprint Start is not a Monday - dates still calculated from the date entered</v>
      </c>
      <c r="BQ37" s="1">
        <f>IF(AND(ISNUMBER(Q37),S37&lt;&gt;"Completed",S37&lt;&gt;"N/A"),Q37,"")</f>
        <v>46262</v>
      </c>
      <c r="BR37" s="1">
        <f>IF(AND(ISNUMBER(T37),V37&lt;&gt;"Completed",V37&lt;&gt;"N/A"),T37,"")</f>
        <v>46266</v>
      </c>
      <c r="BS37" s="1">
        <f>IF(AND(ISNUMBER(W37),Y37&lt;&gt;"Completed",Y37&lt;&gt;"N/A"),W37,"")</f>
        <v>46267</v>
      </c>
      <c r="BT37" s="1" t="str">
        <f>IF(AND(ISNUMBER(AA37),AC37&lt;&gt;"Completed",AC37&lt;&gt;"N/A"),AA37,"")</f>
        <v/>
      </c>
      <c r="BU37" s="1">
        <f>IF(AND(ISNUMBER(AG37),AI37&lt;&gt;"Completed",AI37&lt;&gt;"N/A"),AG37,"")</f>
        <v>46262</v>
      </c>
      <c r="BV37" s="1">
        <f>IF(AND(ISNUMBER(AJ37),AL37&lt;&gt;"Completed",AL37&lt;&gt;"N/A"),AJ37,"")</f>
        <v>46266</v>
      </c>
      <c r="BW37" s="1">
        <f>IF(AND(ISNUMBER(AM37),AO37&lt;&gt;"Completed",AO37&lt;&gt;"N/A"),AM37,"")</f>
        <v>46267</v>
      </c>
      <c r="BX37" s="1" t="str">
        <f>IF(AND(ISNUMBER(AP37),AR37&lt;&gt;"Completed",AR37&lt;&gt;"N/A"),AP37,"")</f>
        <v/>
      </c>
      <c r="BY37" s="1">
        <f>IF(AND(ISNUMBER(AU37),AW37&lt;&gt;"Completed",AW37&lt;&gt;"N/A"),AU37,"")</f>
        <v>46262</v>
      </c>
      <c r="BZ37" s="1">
        <f>IF(AND(ISNUMBER(AX37),AZ37&lt;&gt;"Completed",AZ37&lt;&gt;"N/A"),AX37,"")</f>
        <v>46266</v>
      </c>
      <c r="CA37" s="1">
        <f>IF(AND(ISNUMBER(BA37),BC37&lt;&gt;"Completed",BC37&lt;&gt;"N/A"),BA37,"")</f>
        <v>46267</v>
      </c>
      <c r="CB37" s="1" t="str">
        <f>IF(AND(ISNUMBER(BD37),BF37&lt;&gt;"Completed",BF37&lt;&gt;"N/A"),BD37,"")</f>
        <v/>
      </c>
      <c r="CC37" s="1">
        <f>IF(AND(ISNUMBER(O37),P37&lt;&gt;"Completed",P37&lt;&gt;"N/A"),O37,"")</f>
        <v>46272</v>
      </c>
      <c r="CD37" s="1">
        <f>IF(AND(ISNUMBER(BM37),BN37&lt;&gt;"Completed",BN37&lt;&gt;"N/A"),BM37,"")</f>
        <v>46293</v>
      </c>
      <c r="CE37" s="1">
        <f>IF(AND(ISNUMBER(BK37),BL37&lt;&gt;"Completed",BL37&lt;&gt;"N/A"),BK37,"")</f>
        <v>46297</v>
      </c>
      <c r="CF37" s="1">
        <f>IF(AND(ISNUMBER(BI37),BJ37&lt;&gt;"Completed",BJ37&lt;&gt;"N/A"),BI37,"")</f>
        <v>46300</v>
      </c>
      <c r="CG37" s="1">
        <f ca="1">IF(OR(A37="",D37="Completed"),"",IF(N(G37)&gt;0,1/(N(G37)+ROW()/100000),IF(ISNUMBER(F37),1000+F37+ROW()/100000,TODAY()+400+ROW()/100000)))</f>
        <v>47262.000370000002</v>
      </c>
    </row>
    <row r="38" spans="1:85" ht="15.95" customHeight="1">
      <c r="A38" s="10" t="s">
        <v>142</v>
      </c>
      <c r="B38" s="10" t="s">
        <v>98</v>
      </c>
      <c r="C38" s="10" t="s">
        <v>140</v>
      </c>
      <c r="D38" s="11" t="str">
        <f>IF(A38="","",IF(((S38="Blocked")+(V38="Blocked")+(Y38="Blocked")+(AC38="Blocked")+(AI38="Blocked")+(AL38="Blocked")+(AO38="Blocked")+(AR38="Blocked")+(AW38="Blocked")+(AZ38="Blocked")+(BC38="Blocked")+(BF38="Blocked")+(P38="Blocked")+(BJ38="Blocked")+(BL38="Blocked")+(BN38="Blocked")+(BO38="Blocked"))&gt;0,"Blocked",IF((ISNUMBER(Q38)+ISNUMBER(T38)+ISNUMBER(W38)+ISNUMBER(AA38)+ISNUMBER(AG38)+ISNUMBER(AJ38)+ISNUMBER(AM38)+ISNUMBER(AP38)+ISNUMBER(AU38)+ISNUMBER(AX38)+ISNUMBER(BA38)+ISNUMBER(BD38)+ISNUMBER(O38)+ISNUMBER(BI38)+ISNUMBER(BK38)+ISNUMBER(BM38))=0,"Yet to start",IF(AND(OR(NOT(ISNUMBER(Q38)),S38="Completed",S38="N/A"),OR(NOT(ISNUMBER(T38)),V38="Completed",V38="N/A"),OR(NOT(ISNUMBER(W38)),Y38="Completed",Y38="N/A"),OR(NOT(ISNUMBER(AA38)),AC38="Completed",AC38="N/A"),OR(NOT(ISNUMBER(AG38)),AI38="Completed",AI38="N/A"),OR(NOT(ISNUMBER(AJ38)),AL38="Completed",AL38="N/A"),OR(NOT(ISNUMBER(AM38)),AO38="Completed",AO38="N/A"),OR(NOT(ISNUMBER(AP38)),AR38="Completed",AR38="N/A"),OR(NOT(ISNUMBER(AU38)),AW38="Completed",AW38="N/A"),OR(NOT(ISNUMBER(AX38)),AZ38="Completed",AZ38="N/A"),OR(NOT(ISNUMBER(BA38)),BC38="Completed",BC38="N/A"),OR(NOT(ISNUMBER(BD38)),BF38="Completed",BF38="N/A"),OR(NOT(ISNUMBER(O38)),P38="Completed",P38="N/A"),OR(NOT(ISNUMBER(BI38)),BJ38="Completed",BJ38="N/A"),OR(NOT(ISNUMBER(BK38)),BL38="Completed",BL38="N/A"),OR(NOT(ISNUMBER(BM38)),BN38="Completed",BN38="N/A"),OR(BO38="Completed",BO38="N/A")),"Completed",IF(((S38="In Progress")+(V38="In Progress")+(Y38="In Progress")+(AC38="In Progress")+(AI38="In Progress")+(AL38="In Progress")+(AO38="In Progress")+(AR38="In Progress")+(AW38="In Progress")+(AZ38="In Progress")+(BC38="In Progress")+(BF38="In Progress")+(P38="In Progress")+(BJ38="In Progress")+(BL38="In Progress")+(BN38="In Progress")+(BO38="In Progress"))&gt;0,"In Progress","Yet to start")))))</f>
        <v>Yet to start</v>
      </c>
      <c r="E38" s="11" t="str">
        <f>IF(A38="","",IF(F38="","All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Review","CAB"},MATCH(F38,BQ38:CF38,0))))</f>
        <v>Dev R-Task</v>
      </c>
      <c r="F38" s="12">
        <f>IF(A38="","",IF(COUNT(BQ38:CF38)=0,"",MIN(BQ38:CF38)))</f>
        <v>46262</v>
      </c>
      <c r="G38" s="13">
        <f ca="1">IF(A38="","",MAX(0,IF(AND(ISNUMBER(Q38),S38&lt;&gt;"Completed",S38&lt;&gt;"N/A",Q38&lt;TODAY()),TODAY()-Q38,0),IF(AND(ISNUMBER(T38),V38&lt;&gt;"Completed",V38&lt;&gt;"N/A",T38&lt;TODAY()),TODAY()-T38,0),IF(AND(ISNUMBER(W38),Y38&lt;&gt;"Completed",Y38&lt;&gt;"N/A",W38&lt;TODAY()),TODAY()-W38,0),IF(AND(ISNUMBER(AA38),AC38&lt;&gt;"Completed",AC38&lt;&gt;"N/A",AA38&lt;TODAY()),TODAY()-AA38,0),IF(AND(ISNUMBER(AG38),AI38&lt;&gt;"Completed",AI38&lt;&gt;"N/A",AG38&lt;TODAY()),TODAY()-AG38,0),IF(AND(ISNUMBER(AJ38),AL38&lt;&gt;"Completed",AL38&lt;&gt;"N/A",AJ38&lt;TODAY()),TODAY()-AJ38,0),IF(AND(ISNUMBER(AM38),AO38&lt;&gt;"Completed",AO38&lt;&gt;"N/A",AM38&lt;TODAY()),TODAY()-AM38,0),IF(AND(ISNUMBER(AP38),AR38&lt;&gt;"Completed",AR38&lt;&gt;"N/A",AP38&lt;TODAY()),TODAY()-AP38,0),IF(AND(ISNUMBER(AU38),AW38&lt;&gt;"Completed",AW38&lt;&gt;"N/A",AU38&lt;TODAY()),TODAY()-AU38,0),IF(AND(ISNUMBER(AX38),AZ38&lt;&gt;"Completed",AZ38&lt;&gt;"N/A",AX38&lt;TODAY()),TODAY()-AX38,0),IF(AND(ISNUMBER(BA38),BC38&lt;&gt;"Completed",BC38&lt;&gt;"N/A",BA38&lt;TODAY()),TODAY()-BA38,0),IF(AND(ISNUMBER(BD38),BF38&lt;&gt;"Completed",BF38&lt;&gt;"N/A",BD38&lt;TODAY()),TODAY()-BD38,0),IF(AND(ISNUMBER(O38),P38&lt;&gt;"Completed",P38&lt;&gt;"N/A",O38&lt;TODAY()),TODAY()-O38,0),IF(AND(ISNUMBER(BM38),BN38&lt;&gt;"Completed",BN38&lt;&gt;"N/A",BM38&lt;TODAY()),TODAY()-BM38,0),IF(AND(ISNUMBER(BK38),BL38&lt;&gt;"Completed",BL38&lt;&gt;"N/A",BK38&lt;TODAY()),TODAY()-BK38,0),IF(AND(ISNUMBER(BI38),BJ38&lt;&gt;"Completed",BJ38&lt;&gt;"N/A",BI38&lt;TODAY()),TODAY()-BI38,0)))</f>
        <v>0</v>
      </c>
      <c r="H38" s="14">
        <v>46274</v>
      </c>
      <c r="I38" s="14">
        <v>46287</v>
      </c>
      <c r="J38" s="15">
        <v>46300</v>
      </c>
      <c r="K38" s="12">
        <f>IF(ISNUMBER(H38),H38,IF(ISNUMBER(M38),M38-WEEKDAY(M38,2)+1-7,""))</f>
        <v>46274</v>
      </c>
      <c r="L38" s="12">
        <f>IF(ISNUMBER(I38),I38,IF(ISNUMBER(H38),WORKDAY(H38,SprintWorkingDays-1),IF(ISNUMBER(K38),WORKDAY(K38,SprintWorkingDays-1),"")))</f>
        <v>46287</v>
      </c>
      <c r="M38" s="12">
        <f>IF(ISNUMBER(J38),J38,IF(ISNUMBER(I38),I38-IF(OR(WEEKDAY(I38,2)=2,WEEKDAY(I38,2)=4),0,IF(WEEKDAY(I38,2)=3,1,IF(WEEKDAY(I38,2)=1,4,WEEKDAY(I38,2)-4))),IF(ISNUMBER(H38),WORKDAY(H38,SprintWorkingDays-1)-IF(OR(WEEKDAY(WORKDAY(H38,SprintWorkingDays-1),2)=2,WEEKDAY(WORKDAY(H38,SprintWorkingDays-1),2)=4),0,IF(WEEKDAY(WORKDAY(H38,SprintWorkingDays-1),2)=3,1,IF(WEEKDAY(WORKDAY(H38,SprintWorkingDays-1),2)=1,4,WEEKDAY(WORKDAY(H38,SprintWorkingDays-1),2)-4))),"")))</f>
        <v>46300</v>
      </c>
      <c r="N38" s="12">
        <f>IF(NOT(ISNUMBER(K38)),"",WORKDAY(K38,ReadyOffsetWD))</f>
        <v>46273</v>
      </c>
      <c r="O38" s="12">
        <f>IF(NOT(ISNUMBER(K38)),"",WORKDAY(K38,SprintReadinessOffsetWD))</f>
        <v>46272</v>
      </c>
      <c r="P38" s="10" t="s">
        <v>107</v>
      </c>
      <c r="Q38" s="12">
        <f>IF(A38="","",IF(V38="N/A",IF(NOT(ISNUMBER(W38)),"",WORKDAY(W38,RTSKOffsetFromOUR_WD)),IF(NOT(ISNUMBER(T38)),"",WORKDAY(T38,RTSKOffsetFromOUR_WD))))</f>
        <v>46262</v>
      </c>
      <c r="R38" s="15"/>
      <c r="S38" s="10"/>
      <c r="T38" s="12">
        <f>IF(OR(A38="",V38="N/A"),"",IF(NOT(ISNUMBER(W38)),"",WORKDAY(W38,OUROffsetFromSR_WD)))</f>
        <v>46266</v>
      </c>
      <c r="U38" s="15"/>
      <c r="V38" s="10"/>
      <c r="W38" s="12">
        <f>IF(OR(A38="",NOT(ISNUMBER(K38))),"",WORKDAY(K38,SROffsetFromStartWD))</f>
        <v>46267</v>
      </c>
      <c r="X38" s="15"/>
      <c r="Y38" s="10"/>
      <c r="Z38" s="10"/>
      <c r="AA38" s="12" t="str">
        <f>IF(OR(Z38="",Z38="N/A"),"",IF(ISNUMBER(Q38),Q38,""))</f>
        <v/>
      </c>
      <c r="AB38" s="15"/>
      <c r="AC38" s="10"/>
      <c r="AD38" s="10"/>
      <c r="AE38" s="10"/>
      <c r="AF38" s="10" t="str">
        <f>IF(Z38="N/A","N/A","")</f>
        <v/>
      </c>
      <c r="AG38" s="12">
        <f>IF(NOT(ISNUMBER(Q38)),"",Q38)</f>
        <v>46262</v>
      </c>
      <c r="AH38" s="15"/>
      <c r="AI38" s="10"/>
      <c r="AJ38" s="12">
        <f>IF(OR(AL38="N/A",NOT(ISNUMBER(T38))),"",T38)</f>
        <v>46266</v>
      </c>
      <c r="AK38" s="15"/>
      <c r="AL38" s="10"/>
      <c r="AM38" s="12">
        <f>IF(NOT(ISNUMBER(W38)),"",W38)</f>
        <v>46267</v>
      </c>
      <c r="AN38" s="15"/>
      <c r="AO38" s="10"/>
      <c r="AP38" s="12" t="str">
        <f>IF(OR(Z38="",Z38="N/A"),"",IF(ISNUMBER(AG38),AG38,""))</f>
        <v/>
      </c>
      <c r="AQ38" s="15"/>
      <c r="AR38" s="10"/>
      <c r="AS38" s="10"/>
      <c r="AT38" s="10"/>
      <c r="AU38" s="12">
        <f>IF(NOT(ISNUMBER(Q38)),"",Q38)</f>
        <v>46262</v>
      </c>
      <c r="AV38" s="15"/>
      <c r="AW38" s="10"/>
      <c r="AX38" s="12">
        <f>IF(OR(AZ38="N/A",NOT(ISNUMBER(T38))),"",T38)</f>
        <v>46266</v>
      </c>
      <c r="AY38" s="15"/>
      <c r="AZ38" s="10"/>
      <c r="BA38" s="12">
        <f>IF(NOT(ISNUMBER(W38)),"",W38)</f>
        <v>46267</v>
      </c>
      <c r="BB38" s="15"/>
      <c r="BC38" s="10"/>
      <c r="BD38" s="12" t="str">
        <f>IF(OR(Z38="",Z38="N/A"),"",IF(ISNUMBER(AU38),AU38,""))</f>
        <v/>
      </c>
      <c r="BE38" s="15"/>
      <c r="BF38" s="10"/>
      <c r="BG38" s="10"/>
      <c r="BH38" s="10"/>
      <c r="BI38" s="12">
        <v>46300</v>
      </c>
      <c r="BJ38" s="10"/>
      <c r="BK38" s="12">
        <f>IF(NOT(ISNUMBER(BI38)),"",IF(WEEKDAY(BI38-CodeReviewCalendarDays,2)&gt;5,BI38-CodeReviewCalendarDays-(WEEKDAY(BI38-CodeReviewCalendarDays,2)-5),BI38-CodeReviewCalendarDays))</f>
        <v>46297</v>
      </c>
      <c r="BL38" s="10"/>
      <c r="BM38" s="12">
        <f>IF(NOT(ISNUMBER(BK38)),"",IF(WEEKDAY(BK38-CodeReviewInviteCalendarDays,2)&gt;5,BK38-CodeReviewInviteCalendarDays-(WEEKDAY(BK38-CodeReviewInviteCalendarDays,2)-5),BK38-CodeReviewInviteCalendarDays))</f>
        <v>46293</v>
      </c>
      <c r="BN38" s="10"/>
      <c r="BO38" s="10"/>
      <c r="BP38" s="16" t="str">
        <f ca="1">IF(A38="","",IF(IF(AND(ISNUMBER(J38),WEEKDAY(J38,2)&lt;&gt;2,WEEKDAY(J38,2)&lt;&gt;4)," | Release must be Tuesday or Thursday","")&amp;IF(AND(ISNUMBER(H38),WEEKDAY(H38,2)&lt;&gt;1)," | Sprint Start is not a Monday - dates still calculated from the date entered","")&amp;IF(AND(A38&lt;&gt;"",NOT(ISNUMBER(H38)),NOT(ISNUMBER(J38)))," | Enter Sprint Start or Release Date","")&amp;IF(AND(ISNUMBER(F38),F38&lt;TODAY(),D38&lt;&gt;"Completed")," | One or more raise-by dates are in the past and not completed","")&amp;IF(AND(ISNUMBER(K38),K38-TODAY()&lt;SprintWarningDays,K38&gt;=TODAY(),OR(D38="Yet to start",D38="Blocked"))," | Sprint starts in under 10 days - raise access requests now","")&amp;IF(AND(ISNUMBER(BM38),BN38&lt;&gt;"Completed",BN38&lt;&gt;"N/A",BM38-TODAY()&lt;CodeReviewInviteCalendarDays)," | Code Review invite should be sent at least 4 days before Code Review","")="","",MID(IF(AND(ISNUMBER(J38),WEEKDAY(J38,2)&lt;&gt;2,WEEKDAY(J38,2)&lt;&gt;4)," | Release must be Tuesday or Thursday","")&amp;IF(AND(ISNUMBER(H38),WEEKDAY(H38,2)&lt;&gt;1)," | Sprint Start is not a Monday - dates still calculated from the date entered","")&amp;IF(AND(A38&lt;&gt;"",NOT(ISNUMBER(H38)),NOT(ISNUMBER(J38)))," | Enter Sprint Start or Release Date","")&amp;IF(AND(ISNUMBER(F38),F38&lt;TODAY(),D38&lt;&gt;"Completed")," | One or more raise-by dates are in the past and not completed","")&amp;IF(AND(ISNUMBER(K38),K38-TODAY()&lt;SprintWarningDays,K38&gt;=TODAY(),OR(D38="Yet to start",D38="Blocked"))," | Sprint starts in under 10 days - raise access requests now","")&amp;IF(AND(ISNUMBER(BM38),BN38&lt;&gt;"Completed",BN38&lt;&gt;"N/A",BM38-TODAY()&lt;CodeReviewInviteCalendarDays)," | Code Review invite should be sent at least 4 days before Code Review",""),4,500)))</f>
        <v>Release must be Tuesday or Thursday | Sprint Start is not a Monday - dates still calculated from the date entered</v>
      </c>
      <c r="BQ38" s="1">
        <f>IF(AND(ISNUMBER(Q38),S38&lt;&gt;"Completed",S38&lt;&gt;"N/A"),Q38,"")</f>
        <v>46262</v>
      </c>
      <c r="BR38" s="1">
        <f>IF(AND(ISNUMBER(T38),V38&lt;&gt;"Completed",V38&lt;&gt;"N/A"),T38,"")</f>
        <v>46266</v>
      </c>
      <c r="BS38" s="1">
        <f>IF(AND(ISNUMBER(W38),Y38&lt;&gt;"Completed",Y38&lt;&gt;"N/A"),W38,"")</f>
        <v>46267</v>
      </c>
      <c r="BT38" s="1" t="str">
        <f>IF(AND(ISNUMBER(AA38),AC38&lt;&gt;"Completed",AC38&lt;&gt;"N/A"),AA38,"")</f>
        <v/>
      </c>
      <c r="BU38" s="1">
        <f>IF(AND(ISNUMBER(AG38),AI38&lt;&gt;"Completed",AI38&lt;&gt;"N/A"),AG38,"")</f>
        <v>46262</v>
      </c>
      <c r="BV38" s="1">
        <f>IF(AND(ISNUMBER(AJ38),AL38&lt;&gt;"Completed",AL38&lt;&gt;"N/A"),AJ38,"")</f>
        <v>46266</v>
      </c>
      <c r="BW38" s="1">
        <f>IF(AND(ISNUMBER(AM38),AO38&lt;&gt;"Completed",AO38&lt;&gt;"N/A"),AM38,"")</f>
        <v>46267</v>
      </c>
      <c r="BX38" s="1" t="str">
        <f>IF(AND(ISNUMBER(AP38),AR38&lt;&gt;"Completed",AR38&lt;&gt;"N/A"),AP38,"")</f>
        <v/>
      </c>
      <c r="BY38" s="1">
        <f>IF(AND(ISNUMBER(AU38),AW38&lt;&gt;"Completed",AW38&lt;&gt;"N/A"),AU38,"")</f>
        <v>46262</v>
      </c>
      <c r="BZ38" s="1">
        <f>IF(AND(ISNUMBER(AX38),AZ38&lt;&gt;"Completed",AZ38&lt;&gt;"N/A"),AX38,"")</f>
        <v>46266</v>
      </c>
      <c r="CA38" s="1">
        <f>IF(AND(ISNUMBER(BA38),BC38&lt;&gt;"Completed",BC38&lt;&gt;"N/A"),BA38,"")</f>
        <v>46267</v>
      </c>
      <c r="CB38" s="1" t="str">
        <f>IF(AND(ISNUMBER(BD38),BF38&lt;&gt;"Completed",BF38&lt;&gt;"N/A"),BD38,"")</f>
        <v/>
      </c>
      <c r="CC38" s="1">
        <f>IF(AND(ISNUMBER(O38),P38&lt;&gt;"Completed",P38&lt;&gt;"N/A"),O38,"")</f>
        <v>46272</v>
      </c>
      <c r="CD38" s="1">
        <f>IF(AND(ISNUMBER(BM38),BN38&lt;&gt;"Completed",BN38&lt;&gt;"N/A"),BM38,"")</f>
        <v>46293</v>
      </c>
      <c r="CE38" s="1">
        <f>IF(AND(ISNUMBER(BK38),BL38&lt;&gt;"Completed",BL38&lt;&gt;"N/A"),BK38,"")</f>
        <v>46297</v>
      </c>
      <c r="CF38" s="1">
        <f>IF(AND(ISNUMBER(BI38),BJ38&lt;&gt;"Completed",BJ38&lt;&gt;"N/A"),BI38,"")</f>
        <v>46300</v>
      </c>
      <c r="CG38" s="1">
        <f ca="1">IF(OR(A38="",D38="Completed"),"",IF(N(G38)&gt;0,1/(N(G38)+ROW()/100000),IF(ISNUMBER(F38),1000+F38+ROW()/100000,TODAY()+400+ROW()/100000)))</f>
        <v>47262.000379999998</v>
      </c>
    </row>
    <row r="39" spans="1:85" ht="15.95" customHeight="1">
      <c r="A39" s="10" t="s">
        <v>143</v>
      </c>
      <c r="B39" s="10" t="s">
        <v>98</v>
      </c>
      <c r="C39" s="10" t="s">
        <v>140</v>
      </c>
      <c r="D39" s="11" t="str">
        <f>IF(A39="","",IF(((S39="Blocked")+(V39="Blocked")+(Y39="Blocked")+(AC39="Blocked")+(AI39="Blocked")+(AL39="Blocked")+(AO39="Blocked")+(AR39="Blocked")+(AW39="Blocked")+(AZ39="Blocked")+(BC39="Blocked")+(BF39="Blocked")+(P39="Blocked")+(BJ39="Blocked")+(BL39="Blocked")+(BN39="Blocked")+(BO39="Blocked"))&gt;0,"Blocked",IF((ISNUMBER(Q39)+ISNUMBER(T39)+ISNUMBER(W39)+ISNUMBER(AA39)+ISNUMBER(AG39)+ISNUMBER(AJ39)+ISNUMBER(AM39)+ISNUMBER(AP39)+ISNUMBER(AU39)+ISNUMBER(AX39)+ISNUMBER(BA39)+ISNUMBER(BD39)+ISNUMBER(O39)+ISNUMBER(BI39)+ISNUMBER(BK39)+ISNUMBER(BM39))=0,"Yet to start",IF(AND(OR(NOT(ISNUMBER(Q39)),S39="Completed",S39="N/A"),OR(NOT(ISNUMBER(T39)),V39="Completed",V39="N/A"),OR(NOT(ISNUMBER(W39)),Y39="Completed",Y39="N/A"),OR(NOT(ISNUMBER(AA39)),AC39="Completed",AC39="N/A"),OR(NOT(ISNUMBER(AG39)),AI39="Completed",AI39="N/A"),OR(NOT(ISNUMBER(AJ39)),AL39="Completed",AL39="N/A"),OR(NOT(ISNUMBER(AM39)),AO39="Completed",AO39="N/A"),OR(NOT(ISNUMBER(AP39)),AR39="Completed",AR39="N/A"),OR(NOT(ISNUMBER(AU39)),AW39="Completed",AW39="N/A"),OR(NOT(ISNUMBER(AX39)),AZ39="Completed",AZ39="N/A"),OR(NOT(ISNUMBER(BA39)),BC39="Completed",BC39="N/A"),OR(NOT(ISNUMBER(BD39)),BF39="Completed",BF39="N/A"),OR(NOT(ISNUMBER(O39)),P39="Completed",P39="N/A"),OR(NOT(ISNUMBER(BI39)),BJ39="Completed",BJ39="N/A"),OR(NOT(ISNUMBER(BK39)),BL39="Completed",BL39="N/A"),OR(NOT(ISNUMBER(BM39)),BN39="Completed",BN39="N/A"),OR(BO39="Completed",BO39="N/A")),"Completed",IF(((S39="In Progress")+(V39="In Progress")+(Y39="In Progress")+(AC39="In Progress")+(AI39="In Progress")+(AL39="In Progress")+(AO39="In Progress")+(AR39="In Progress")+(AW39="In Progress")+(AZ39="In Progress")+(BC39="In Progress")+(BF39="In Progress")+(P39="In Progress")+(BJ39="In Progress")+(BL39="In Progress")+(BN39="In Progress")+(BO39="In Progress"))&gt;0,"In Progress","Yet to start")))))</f>
        <v>Yet to start</v>
      </c>
      <c r="E39" s="11" t="str">
        <f>IF(A39="","",IF(F39="","All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Review","CAB"},MATCH(F39,BQ39:CF39,0))))</f>
        <v>Dev R-Task</v>
      </c>
      <c r="F39" s="12">
        <f>IF(A39="","",IF(COUNT(BQ39:CF39)=0,"",MIN(BQ39:CF39)))</f>
        <v>46262</v>
      </c>
      <c r="G39" s="13">
        <f ca="1">IF(A39="","",MAX(0,IF(AND(ISNUMBER(Q39),S39&lt;&gt;"Completed",S39&lt;&gt;"N/A",Q39&lt;TODAY()),TODAY()-Q39,0),IF(AND(ISNUMBER(T39),V39&lt;&gt;"Completed",V39&lt;&gt;"N/A",T39&lt;TODAY()),TODAY()-T39,0),IF(AND(ISNUMBER(W39),Y39&lt;&gt;"Completed",Y39&lt;&gt;"N/A",W39&lt;TODAY()),TODAY()-W39,0),IF(AND(ISNUMBER(AA39),AC39&lt;&gt;"Completed",AC39&lt;&gt;"N/A",AA39&lt;TODAY()),TODAY()-AA39,0),IF(AND(ISNUMBER(AG39),AI39&lt;&gt;"Completed",AI39&lt;&gt;"N/A",AG39&lt;TODAY()),TODAY()-AG39,0),IF(AND(ISNUMBER(AJ39),AL39&lt;&gt;"Completed",AL39&lt;&gt;"N/A",AJ39&lt;TODAY()),TODAY()-AJ39,0),IF(AND(ISNUMBER(AM39),AO39&lt;&gt;"Completed",AO39&lt;&gt;"N/A",AM39&lt;TODAY()),TODAY()-AM39,0),IF(AND(ISNUMBER(AP39),AR39&lt;&gt;"Completed",AR39&lt;&gt;"N/A",AP39&lt;TODAY()),TODAY()-AP39,0),IF(AND(ISNUMBER(AU39),AW39&lt;&gt;"Completed",AW39&lt;&gt;"N/A",AU39&lt;TODAY()),TODAY()-AU39,0),IF(AND(ISNUMBER(AX39),AZ39&lt;&gt;"Completed",AZ39&lt;&gt;"N/A",AX39&lt;TODAY()),TODAY()-AX39,0),IF(AND(ISNUMBER(BA39),BC39&lt;&gt;"Completed",BC39&lt;&gt;"N/A",BA39&lt;TODAY()),TODAY()-BA39,0),IF(AND(ISNUMBER(BD39),BF39&lt;&gt;"Completed",BF39&lt;&gt;"N/A",BD39&lt;TODAY()),TODAY()-BD39,0),IF(AND(ISNUMBER(O39),P39&lt;&gt;"Completed",P39&lt;&gt;"N/A",O39&lt;TODAY()),TODAY()-O39,0),IF(AND(ISNUMBER(BM39),BN39&lt;&gt;"Completed",BN39&lt;&gt;"N/A",BM39&lt;TODAY()),TODAY()-BM39,0),IF(AND(ISNUMBER(BK39),BL39&lt;&gt;"Completed",BL39&lt;&gt;"N/A",BK39&lt;TODAY()),TODAY()-BK39,0),IF(AND(ISNUMBER(BI39),BJ39&lt;&gt;"Completed",BJ39&lt;&gt;"N/A",BI39&lt;TODAY()),TODAY()-BI39,0)))</f>
        <v>0</v>
      </c>
      <c r="H39" s="14">
        <v>46274</v>
      </c>
      <c r="I39" s="14">
        <v>46287</v>
      </c>
      <c r="J39" s="15">
        <v>46300</v>
      </c>
      <c r="K39" s="12">
        <f>IF(ISNUMBER(H39),H39,IF(ISNUMBER(M39),M39-WEEKDAY(M39,2)+1-7,""))</f>
        <v>46274</v>
      </c>
      <c r="L39" s="12">
        <f>IF(ISNUMBER(I39),I39,IF(ISNUMBER(H39),WORKDAY(H39,SprintWorkingDays-1),IF(ISNUMBER(K39),WORKDAY(K39,SprintWorkingDays-1),"")))</f>
        <v>46287</v>
      </c>
      <c r="M39" s="12">
        <f>IF(ISNUMBER(J39),J39,IF(ISNUMBER(I39),I39-IF(OR(WEEKDAY(I39,2)=2,WEEKDAY(I39,2)=4),0,IF(WEEKDAY(I39,2)=3,1,IF(WEEKDAY(I39,2)=1,4,WEEKDAY(I39,2)-4))),IF(ISNUMBER(H39),WORKDAY(H39,SprintWorkingDays-1)-IF(OR(WEEKDAY(WORKDAY(H39,SprintWorkingDays-1),2)=2,WEEKDAY(WORKDAY(H39,SprintWorkingDays-1),2)=4),0,IF(WEEKDAY(WORKDAY(H39,SprintWorkingDays-1),2)=3,1,IF(WEEKDAY(WORKDAY(H39,SprintWorkingDays-1),2)=1,4,WEEKDAY(WORKDAY(H39,SprintWorkingDays-1),2)-4))),"")))</f>
        <v>46300</v>
      </c>
      <c r="N39" s="12">
        <f>IF(NOT(ISNUMBER(K39)),"",WORKDAY(K39,ReadyOffsetWD))</f>
        <v>46273</v>
      </c>
      <c r="O39" s="12">
        <f>IF(NOT(ISNUMBER(K39)),"",WORKDAY(K39,SprintReadinessOffsetWD))</f>
        <v>46272</v>
      </c>
      <c r="P39" s="10" t="s">
        <v>107</v>
      </c>
      <c r="Q39" s="12">
        <f>IF(A39="","",IF(V39="N/A",IF(NOT(ISNUMBER(W39)),"",WORKDAY(W39,RTSKOffsetFromOUR_WD)),IF(NOT(ISNUMBER(T39)),"",WORKDAY(T39,RTSKOffsetFromOUR_WD))))</f>
        <v>46262</v>
      </c>
      <c r="R39" s="15"/>
      <c r="S39" s="10"/>
      <c r="T39" s="12">
        <f>IF(OR(A39="",V39="N/A"),"",IF(NOT(ISNUMBER(W39)),"",WORKDAY(W39,OUROffsetFromSR_WD)))</f>
        <v>46266</v>
      </c>
      <c r="U39" s="15"/>
      <c r="V39" s="10"/>
      <c r="W39" s="12">
        <f>IF(OR(A39="",NOT(ISNUMBER(K39))),"",WORKDAY(K39,SROffsetFromStartWD))</f>
        <v>46267</v>
      </c>
      <c r="X39" s="15"/>
      <c r="Y39" s="10"/>
      <c r="Z39" s="10"/>
      <c r="AA39" s="12" t="str">
        <f>IF(OR(Z39="",Z39="N/A"),"",IF(ISNUMBER(Q39),Q39,""))</f>
        <v/>
      </c>
      <c r="AB39" s="15"/>
      <c r="AC39" s="10"/>
      <c r="AD39" s="10"/>
      <c r="AE39" s="10"/>
      <c r="AF39" s="10" t="str">
        <f>IF(Z39="N/A","N/A","")</f>
        <v/>
      </c>
      <c r="AG39" s="12">
        <f>IF(NOT(ISNUMBER(Q39)),"",Q39)</f>
        <v>46262</v>
      </c>
      <c r="AH39" s="15"/>
      <c r="AI39" s="10"/>
      <c r="AJ39" s="12">
        <f>IF(OR(AL39="N/A",NOT(ISNUMBER(T39))),"",T39)</f>
        <v>46266</v>
      </c>
      <c r="AK39" s="15"/>
      <c r="AL39" s="10"/>
      <c r="AM39" s="12">
        <f>IF(NOT(ISNUMBER(W39)),"",W39)</f>
        <v>46267</v>
      </c>
      <c r="AN39" s="15"/>
      <c r="AO39" s="10"/>
      <c r="AP39" s="12" t="str">
        <f>IF(OR(Z39="",Z39="N/A"),"",IF(ISNUMBER(AG39),AG39,""))</f>
        <v/>
      </c>
      <c r="AQ39" s="15"/>
      <c r="AR39" s="10"/>
      <c r="AS39" s="10"/>
      <c r="AT39" s="10"/>
      <c r="AU39" s="12">
        <f>IF(NOT(ISNUMBER(Q39)),"",Q39)</f>
        <v>46262</v>
      </c>
      <c r="AV39" s="15"/>
      <c r="AW39" s="10"/>
      <c r="AX39" s="12">
        <f>IF(OR(AZ39="N/A",NOT(ISNUMBER(T39))),"",T39)</f>
        <v>46266</v>
      </c>
      <c r="AY39" s="15"/>
      <c r="AZ39" s="10"/>
      <c r="BA39" s="12">
        <f>IF(NOT(ISNUMBER(W39)),"",W39)</f>
        <v>46267</v>
      </c>
      <c r="BB39" s="15"/>
      <c r="BC39" s="10"/>
      <c r="BD39" s="12" t="str">
        <f>IF(OR(Z39="",Z39="N/A"),"",IF(ISNUMBER(AU39),AU39,""))</f>
        <v/>
      </c>
      <c r="BE39" s="15"/>
      <c r="BF39" s="10"/>
      <c r="BG39" s="10"/>
      <c r="BH39" s="10"/>
      <c r="BI39" s="12">
        <v>46300</v>
      </c>
      <c r="BJ39" s="10"/>
      <c r="BK39" s="12">
        <f>IF(NOT(ISNUMBER(BI39)),"",IF(WEEKDAY(BI39-CodeReviewCalendarDays,2)&gt;5,BI39-CodeReviewCalendarDays-(WEEKDAY(BI39-CodeReviewCalendarDays,2)-5),BI39-CodeReviewCalendarDays))</f>
        <v>46297</v>
      </c>
      <c r="BL39" s="10"/>
      <c r="BM39" s="12">
        <f>IF(NOT(ISNUMBER(BK39)),"",IF(WEEKDAY(BK39-CodeReviewInviteCalendarDays,2)&gt;5,BK39-CodeReviewInviteCalendarDays-(WEEKDAY(BK39-CodeReviewInviteCalendarDays,2)-5),BK39-CodeReviewInviteCalendarDays))</f>
        <v>46293</v>
      </c>
      <c r="BN39" s="10"/>
      <c r="BO39" s="10"/>
      <c r="BP39" s="16" t="str">
        <f ca="1">IF(A39="","",IF(IF(AND(ISNUMBER(J39),WEEKDAY(J39,2)&lt;&gt;2,WEEKDAY(J39,2)&lt;&gt;4)," | Release must be Tuesday or Thursday","")&amp;IF(AND(ISNUMBER(H39),WEEKDAY(H39,2)&lt;&gt;1)," | Sprint Start is not a Monday - dates still calculated from the date entered","")&amp;IF(AND(A39&lt;&gt;"",NOT(ISNUMBER(H39)),NOT(ISNUMBER(J39)))," | Enter Sprint Start or Release Date","")&amp;IF(AND(ISNUMBER(F39),F39&lt;TODAY(),D39&lt;&gt;"Completed")," | One or more raise-by dates are in the past and not completed","")&amp;IF(AND(ISNUMBER(K39),K39-TODAY()&lt;SprintWarningDays,K39&gt;=TODAY(),OR(D39="Yet to start",D39="Blocked"))," | Sprint starts in under 10 days - raise access requests now","")&amp;IF(AND(ISNUMBER(BM39),BN39&lt;&gt;"Completed",BN39&lt;&gt;"N/A",BM39-TODAY()&lt;CodeReviewInviteCalendarDays)," | Code Review invite should be sent at least 4 days before Code Review","")="","",MID(IF(AND(ISNUMBER(J39),WEEKDAY(J39,2)&lt;&gt;2,WEEKDAY(J39,2)&lt;&gt;4)," | Release must be Tuesday or Thursday","")&amp;IF(AND(ISNUMBER(H39),WEEKDAY(H39,2)&lt;&gt;1)," | Sprint Start is not a Monday - dates still calculated from the date entered","")&amp;IF(AND(A39&lt;&gt;"",NOT(ISNUMBER(H39)),NOT(ISNUMBER(J39)))," | Enter Sprint Start or Release Date","")&amp;IF(AND(ISNUMBER(F39),F39&lt;TODAY(),D39&lt;&gt;"Completed")," | One or more raise-by dates are in the past and not completed","")&amp;IF(AND(ISNUMBER(K39),K39-TODAY()&lt;SprintWarningDays,K39&gt;=TODAY(),OR(D39="Yet to start",D39="Blocked"))," | Sprint starts in under 10 days - raise access requests now","")&amp;IF(AND(ISNUMBER(BM39),BN39&lt;&gt;"Completed",BN39&lt;&gt;"N/A",BM39-TODAY()&lt;CodeReviewInviteCalendarDays)," | Code Review invite should be sent at least 4 days before Code Review",""),4,500)))</f>
        <v>Release must be Tuesday or Thursday | Sprint Start is not a Monday - dates still calculated from the date entered</v>
      </c>
      <c r="BQ39" s="1">
        <f>IF(AND(ISNUMBER(Q39),S39&lt;&gt;"Completed",S39&lt;&gt;"N/A"),Q39,"")</f>
        <v>46262</v>
      </c>
      <c r="BR39" s="1">
        <f>IF(AND(ISNUMBER(T39),V39&lt;&gt;"Completed",V39&lt;&gt;"N/A"),T39,"")</f>
        <v>46266</v>
      </c>
      <c r="BS39" s="1">
        <f>IF(AND(ISNUMBER(W39),Y39&lt;&gt;"Completed",Y39&lt;&gt;"N/A"),W39,"")</f>
        <v>46267</v>
      </c>
      <c r="BT39" s="1" t="str">
        <f>IF(AND(ISNUMBER(AA39),AC39&lt;&gt;"Completed",AC39&lt;&gt;"N/A"),AA39,"")</f>
        <v/>
      </c>
      <c r="BU39" s="1">
        <f>IF(AND(ISNUMBER(AG39),AI39&lt;&gt;"Completed",AI39&lt;&gt;"N/A"),AG39,"")</f>
        <v>46262</v>
      </c>
      <c r="BV39" s="1">
        <f>IF(AND(ISNUMBER(AJ39),AL39&lt;&gt;"Completed",AL39&lt;&gt;"N/A"),AJ39,"")</f>
        <v>46266</v>
      </c>
      <c r="BW39" s="1">
        <f>IF(AND(ISNUMBER(AM39),AO39&lt;&gt;"Completed",AO39&lt;&gt;"N/A"),AM39,"")</f>
        <v>46267</v>
      </c>
      <c r="BX39" s="1" t="str">
        <f>IF(AND(ISNUMBER(AP39),AR39&lt;&gt;"Completed",AR39&lt;&gt;"N/A"),AP39,"")</f>
        <v/>
      </c>
      <c r="BY39" s="1">
        <f>IF(AND(ISNUMBER(AU39),AW39&lt;&gt;"Completed",AW39&lt;&gt;"N/A"),AU39,"")</f>
        <v>46262</v>
      </c>
      <c r="BZ39" s="1">
        <f>IF(AND(ISNUMBER(AX39),AZ39&lt;&gt;"Completed",AZ39&lt;&gt;"N/A"),AX39,"")</f>
        <v>46266</v>
      </c>
      <c r="CA39" s="1">
        <f>IF(AND(ISNUMBER(BA39),BC39&lt;&gt;"Completed",BC39&lt;&gt;"N/A"),BA39,"")</f>
        <v>46267</v>
      </c>
      <c r="CB39" s="1" t="str">
        <f>IF(AND(ISNUMBER(BD39),BF39&lt;&gt;"Completed",BF39&lt;&gt;"N/A"),BD39,"")</f>
        <v/>
      </c>
      <c r="CC39" s="1">
        <f>IF(AND(ISNUMBER(O39),P39&lt;&gt;"Completed",P39&lt;&gt;"N/A"),O39,"")</f>
        <v>46272</v>
      </c>
      <c r="CD39" s="1">
        <f>IF(AND(ISNUMBER(BM39),BN39&lt;&gt;"Completed",BN39&lt;&gt;"N/A"),BM39,"")</f>
        <v>46293</v>
      </c>
      <c r="CE39" s="1">
        <f>IF(AND(ISNUMBER(BK39),BL39&lt;&gt;"Completed",BL39&lt;&gt;"N/A"),BK39,"")</f>
        <v>46297</v>
      </c>
      <c r="CF39" s="1">
        <f>IF(AND(ISNUMBER(BI39),BJ39&lt;&gt;"Completed",BJ39&lt;&gt;"N/A"),BI39,"")</f>
        <v>46300</v>
      </c>
      <c r="CG39" s="1">
        <f ca="1">IF(OR(A39="",D39="Completed"),"",IF(N(G39)&gt;0,1/(N(G39)+ROW()/100000),IF(ISNUMBER(F39),1000+F39+ROW()/100000,TODAY()+400+ROW()/100000)))</f>
        <v>47262.000390000001</v>
      </c>
    </row>
    <row r="40" spans="1:85" ht="15.95" customHeight="1">
      <c r="A40" s="10" t="s">
        <v>144</v>
      </c>
      <c r="B40" s="10" t="s">
        <v>98</v>
      </c>
      <c r="C40" s="10" t="s">
        <v>140</v>
      </c>
      <c r="D40" s="11" t="str">
        <f>IF(A40="","",IF(((S40="Blocked")+(V40="Blocked")+(Y40="Blocked")+(AC40="Blocked")+(AI40="Blocked")+(AL40="Blocked")+(AO40="Blocked")+(AR40="Blocked")+(AW40="Blocked")+(AZ40="Blocked")+(BC40="Blocked")+(BF40="Blocked")+(P40="Blocked")+(BJ40="Blocked")+(BL40="Blocked")+(BN40="Blocked")+(BO40="Blocked"))&gt;0,"Blocked",IF((ISNUMBER(Q40)+ISNUMBER(T40)+ISNUMBER(W40)+ISNUMBER(AA40)+ISNUMBER(AG40)+ISNUMBER(AJ40)+ISNUMBER(AM40)+ISNUMBER(AP40)+ISNUMBER(AU40)+ISNUMBER(AX40)+ISNUMBER(BA40)+ISNUMBER(BD40)+ISNUMBER(O40)+ISNUMBER(BI40)+ISNUMBER(BK40)+ISNUMBER(BM40))=0,"Yet to start",IF(AND(OR(NOT(ISNUMBER(Q40)),S40="Completed",S40="N/A"),OR(NOT(ISNUMBER(T40)),V40="Completed",V40="N/A"),OR(NOT(ISNUMBER(W40)),Y40="Completed",Y40="N/A"),OR(NOT(ISNUMBER(AA40)),AC40="Completed",AC40="N/A"),OR(NOT(ISNUMBER(AG40)),AI40="Completed",AI40="N/A"),OR(NOT(ISNUMBER(AJ40)),AL40="Completed",AL40="N/A"),OR(NOT(ISNUMBER(AM40)),AO40="Completed",AO40="N/A"),OR(NOT(ISNUMBER(AP40)),AR40="Completed",AR40="N/A"),OR(NOT(ISNUMBER(AU40)),AW40="Completed",AW40="N/A"),OR(NOT(ISNUMBER(AX40)),AZ40="Completed",AZ40="N/A"),OR(NOT(ISNUMBER(BA40)),BC40="Completed",BC40="N/A"),OR(NOT(ISNUMBER(BD40)),BF40="Completed",BF40="N/A"),OR(NOT(ISNUMBER(O40)),P40="Completed",P40="N/A"),OR(NOT(ISNUMBER(BI40)),BJ40="Completed",BJ40="N/A"),OR(NOT(ISNUMBER(BK40)),BL40="Completed",BL40="N/A"),OR(NOT(ISNUMBER(BM40)),BN40="Completed",BN40="N/A"),OR(BO40="Completed",BO40="N/A")),"Completed",IF(((S40="In Progress")+(V40="In Progress")+(Y40="In Progress")+(AC40="In Progress")+(AI40="In Progress")+(AL40="In Progress")+(AO40="In Progress")+(AR40="In Progress")+(AW40="In Progress")+(AZ40="In Progress")+(BC40="In Progress")+(BF40="In Progress")+(P40="In Progress")+(BJ40="In Progress")+(BL40="In Progress")+(BN40="In Progress")+(BO40="In Progress"))&gt;0,"In Progress","Yet to start")))))</f>
        <v>Yet to start</v>
      </c>
      <c r="E40" s="11" t="str">
        <f>IF(A40="","",IF(F40="","All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Review","CAB"},MATCH(F40,BQ40:CF40,0))))</f>
        <v>Dev R-Task</v>
      </c>
      <c r="F40" s="12">
        <f>IF(A40="","",IF(COUNT(BQ40:CF40)=0,"",MIN(BQ40:CF40)))</f>
        <v>46262</v>
      </c>
      <c r="G40" s="13">
        <f ca="1">IF(A40="","",MAX(0,IF(AND(ISNUMBER(Q40),S40&lt;&gt;"Completed",S40&lt;&gt;"N/A",Q40&lt;TODAY()),TODAY()-Q40,0),IF(AND(ISNUMBER(T40),V40&lt;&gt;"Completed",V40&lt;&gt;"N/A",T40&lt;TODAY()),TODAY()-T40,0),IF(AND(ISNUMBER(W40),Y40&lt;&gt;"Completed",Y40&lt;&gt;"N/A",W40&lt;TODAY()),TODAY()-W40,0),IF(AND(ISNUMBER(AA40),AC40&lt;&gt;"Completed",AC40&lt;&gt;"N/A",AA40&lt;TODAY()),TODAY()-AA40,0),IF(AND(ISNUMBER(AG40),AI40&lt;&gt;"Completed",AI40&lt;&gt;"N/A",AG40&lt;TODAY()),TODAY()-AG40,0),IF(AND(ISNUMBER(AJ40),AL40&lt;&gt;"Completed",AL40&lt;&gt;"N/A",AJ40&lt;TODAY()),TODAY()-AJ40,0),IF(AND(ISNUMBER(AM40),AO40&lt;&gt;"Completed",AO40&lt;&gt;"N/A",AM40&lt;TODAY()),TODAY()-AM40,0),IF(AND(ISNUMBER(AP40),AR40&lt;&gt;"Completed",AR40&lt;&gt;"N/A",AP40&lt;TODAY()),TODAY()-AP40,0),IF(AND(ISNUMBER(AU40),AW40&lt;&gt;"Completed",AW40&lt;&gt;"N/A",AU40&lt;TODAY()),TODAY()-AU40,0),IF(AND(ISNUMBER(AX40),AZ40&lt;&gt;"Completed",AZ40&lt;&gt;"N/A",AX40&lt;TODAY()),TODAY()-AX40,0),IF(AND(ISNUMBER(BA40),BC40&lt;&gt;"Completed",BC40&lt;&gt;"N/A",BA40&lt;TODAY()),TODAY()-BA40,0),IF(AND(ISNUMBER(BD40),BF40&lt;&gt;"Completed",BF40&lt;&gt;"N/A",BD40&lt;TODAY()),TODAY()-BD40,0),IF(AND(ISNUMBER(O40),P40&lt;&gt;"Completed",P40&lt;&gt;"N/A",O40&lt;TODAY()),TODAY()-O40,0),IF(AND(ISNUMBER(BM40),BN40&lt;&gt;"Completed",BN40&lt;&gt;"N/A",BM40&lt;TODAY()),TODAY()-BM40,0),IF(AND(ISNUMBER(BK40),BL40&lt;&gt;"Completed",BL40&lt;&gt;"N/A",BK40&lt;TODAY()),TODAY()-BK40,0),IF(AND(ISNUMBER(BI40),BJ40&lt;&gt;"Completed",BJ40&lt;&gt;"N/A",BI40&lt;TODAY()),TODAY()-BI40,0)))</f>
        <v>0</v>
      </c>
      <c r="H40" s="14">
        <v>46274</v>
      </c>
      <c r="I40" s="14">
        <v>46287</v>
      </c>
      <c r="J40" s="15">
        <v>46300</v>
      </c>
      <c r="K40" s="12">
        <f>IF(ISNUMBER(H40),H40,IF(ISNUMBER(M40),M40-WEEKDAY(M40,2)+1-7,""))</f>
        <v>46274</v>
      </c>
      <c r="L40" s="12">
        <f>IF(ISNUMBER(I40),I40,IF(ISNUMBER(H40),WORKDAY(H40,SprintWorkingDays-1),IF(ISNUMBER(K40),WORKDAY(K40,SprintWorkingDays-1),"")))</f>
        <v>46287</v>
      </c>
      <c r="M40" s="12">
        <f>IF(ISNUMBER(J40),J40,IF(ISNUMBER(I40),I40-IF(OR(WEEKDAY(I40,2)=2,WEEKDAY(I40,2)=4),0,IF(WEEKDAY(I40,2)=3,1,IF(WEEKDAY(I40,2)=1,4,WEEKDAY(I40,2)-4))),IF(ISNUMBER(H40),WORKDAY(H40,SprintWorkingDays-1)-IF(OR(WEEKDAY(WORKDAY(H40,SprintWorkingDays-1),2)=2,WEEKDAY(WORKDAY(H40,SprintWorkingDays-1),2)=4),0,IF(WEEKDAY(WORKDAY(H40,SprintWorkingDays-1),2)=3,1,IF(WEEKDAY(WORKDAY(H40,SprintWorkingDays-1),2)=1,4,WEEKDAY(WORKDAY(H40,SprintWorkingDays-1),2)-4))),"")))</f>
        <v>46300</v>
      </c>
      <c r="N40" s="12">
        <f>IF(NOT(ISNUMBER(K40)),"",WORKDAY(K40,ReadyOffsetWD))</f>
        <v>46273</v>
      </c>
      <c r="O40" s="12">
        <f>IF(NOT(ISNUMBER(K40)),"",WORKDAY(K40,SprintReadinessOffsetWD))</f>
        <v>46272</v>
      </c>
      <c r="P40" s="10" t="s">
        <v>107</v>
      </c>
      <c r="Q40" s="12">
        <f>IF(A40="","",IF(V40="N/A",IF(NOT(ISNUMBER(W40)),"",WORKDAY(W40,RTSKOffsetFromOUR_WD)),IF(NOT(ISNUMBER(T40)),"",WORKDAY(T40,RTSKOffsetFromOUR_WD))))</f>
        <v>46262</v>
      </c>
      <c r="R40" s="15"/>
      <c r="S40" s="10"/>
      <c r="T40" s="12">
        <f>IF(OR(A40="",V40="N/A"),"",IF(NOT(ISNUMBER(W40)),"",WORKDAY(W40,OUROffsetFromSR_WD)))</f>
        <v>46266</v>
      </c>
      <c r="U40" s="15"/>
      <c r="V40" s="10"/>
      <c r="W40" s="12">
        <f>IF(OR(A40="",NOT(ISNUMBER(K40))),"",WORKDAY(K40,SROffsetFromStartWD))</f>
        <v>46267</v>
      </c>
      <c r="X40" s="15"/>
      <c r="Y40" s="10"/>
      <c r="Z40" s="10"/>
      <c r="AA40" s="12" t="str">
        <f>IF(OR(Z40="",Z40="N/A"),"",IF(ISNUMBER(Q40),Q40,""))</f>
        <v/>
      </c>
      <c r="AB40" s="15"/>
      <c r="AC40" s="10"/>
      <c r="AD40" s="10"/>
      <c r="AE40" s="10"/>
      <c r="AF40" s="10" t="str">
        <f>IF(Z40="N/A","N/A","")</f>
        <v/>
      </c>
      <c r="AG40" s="12">
        <f>IF(NOT(ISNUMBER(Q40)),"",Q40)</f>
        <v>46262</v>
      </c>
      <c r="AH40" s="15"/>
      <c r="AI40" s="10"/>
      <c r="AJ40" s="12">
        <f>IF(OR(AL40="N/A",NOT(ISNUMBER(T40))),"",T40)</f>
        <v>46266</v>
      </c>
      <c r="AK40" s="15"/>
      <c r="AL40" s="10"/>
      <c r="AM40" s="12">
        <f>IF(NOT(ISNUMBER(W40)),"",W40)</f>
        <v>46267</v>
      </c>
      <c r="AN40" s="15"/>
      <c r="AO40" s="10"/>
      <c r="AP40" s="12" t="str">
        <f>IF(OR(Z40="",Z40="N/A"),"",IF(ISNUMBER(AG40),AG40,""))</f>
        <v/>
      </c>
      <c r="AQ40" s="15"/>
      <c r="AR40" s="10"/>
      <c r="AS40" s="10"/>
      <c r="AT40" s="10"/>
      <c r="AU40" s="12">
        <f>IF(NOT(ISNUMBER(Q40)),"",Q40)</f>
        <v>46262</v>
      </c>
      <c r="AV40" s="15"/>
      <c r="AW40" s="10"/>
      <c r="AX40" s="12">
        <f>IF(OR(AZ40="N/A",NOT(ISNUMBER(T40))),"",T40)</f>
        <v>46266</v>
      </c>
      <c r="AY40" s="15"/>
      <c r="AZ40" s="10"/>
      <c r="BA40" s="12">
        <f>IF(NOT(ISNUMBER(W40)),"",W40)</f>
        <v>46267</v>
      </c>
      <c r="BB40" s="15"/>
      <c r="BC40" s="10"/>
      <c r="BD40" s="12" t="str">
        <f>IF(OR(Z40="",Z40="N/A"),"",IF(ISNUMBER(AU40),AU40,""))</f>
        <v/>
      </c>
      <c r="BE40" s="15"/>
      <c r="BF40" s="10"/>
      <c r="BG40" s="10"/>
      <c r="BH40" s="10"/>
      <c r="BI40" s="12">
        <v>46300</v>
      </c>
      <c r="BJ40" s="10"/>
      <c r="BK40" s="12">
        <f>IF(NOT(ISNUMBER(BI40)),"",IF(WEEKDAY(BI40-CodeReviewCalendarDays,2)&gt;5,BI40-CodeReviewCalendarDays-(WEEKDAY(BI40-CodeReviewCalendarDays,2)-5),BI40-CodeReviewCalendarDays))</f>
        <v>46297</v>
      </c>
      <c r="BL40" s="10"/>
      <c r="BM40" s="12">
        <f>IF(NOT(ISNUMBER(BK40)),"",IF(WEEKDAY(BK40-CodeReviewInviteCalendarDays,2)&gt;5,BK40-CodeReviewInviteCalendarDays-(WEEKDAY(BK40-CodeReviewInviteCalendarDays,2)-5),BK40-CodeReviewInviteCalendarDays))</f>
        <v>46293</v>
      </c>
      <c r="BN40" s="10"/>
      <c r="BO40" s="10"/>
      <c r="BP40" s="16" t="str">
        <f ca="1">IF(A40="","",IF(IF(AND(ISNUMBER(J40),WEEKDAY(J40,2)&lt;&gt;2,WEEKDAY(J40,2)&lt;&gt;4)," | Release must be Tuesday or Thursday","")&amp;IF(AND(ISNUMBER(H40),WEEKDAY(H40,2)&lt;&gt;1)," | Sprint Start is not a Monday - dates still calculated from the date entered","")&amp;IF(AND(A40&lt;&gt;"",NOT(ISNUMBER(H40)),NOT(ISNUMBER(J40)))," | Enter Sprint Start or Release Date","")&amp;IF(AND(ISNUMBER(F40),F40&lt;TODAY(),D40&lt;&gt;"Completed")," | One or more raise-by dates are in the past and not completed","")&amp;IF(AND(ISNUMBER(K40),K40-TODAY()&lt;SprintWarningDays,K40&gt;=TODAY(),OR(D40="Yet to start",D40="Blocked"))," | Sprint starts in under 10 days - raise access requests now","")&amp;IF(AND(ISNUMBER(BM40),BN40&lt;&gt;"Completed",BN40&lt;&gt;"N/A",BM40-TODAY()&lt;CodeReviewInviteCalendarDays)," | Code Review invite should be sent at least 4 days before Code Review","")="","",MID(IF(AND(ISNUMBER(J40),WEEKDAY(J40,2)&lt;&gt;2,WEEKDAY(J40,2)&lt;&gt;4)," | Release must be Tuesday or Thursday","")&amp;IF(AND(ISNUMBER(H40),WEEKDAY(H40,2)&lt;&gt;1)," | Sprint Start is not a Monday - dates still calculated from the date entered","")&amp;IF(AND(A40&lt;&gt;"",NOT(ISNUMBER(H40)),NOT(ISNUMBER(J40)))," | Enter Sprint Start or Release Date","")&amp;IF(AND(ISNUMBER(F40),F40&lt;TODAY(),D40&lt;&gt;"Completed")," | One or more raise-by dates are in the past and not completed","")&amp;IF(AND(ISNUMBER(K40),K40-TODAY()&lt;SprintWarningDays,K40&gt;=TODAY(),OR(D40="Yet to start",D40="Blocked"))," | Sprint starts in under 10 days - raise access requests now","")&amp;IF(AND(ISNUMBER(BM40),BN40&lt;&gt;"Completed",BN40&lt;&gt;"N/A",BM40-TODAY()&lt;CodeReviewInviteCalendarDays)," | Code Review invite should be sent at least 4 days before Code Review",""),4,500)))</f>
        <v>Release must be Tuesday or Thursday | Sprint Start is not a Monday - dates still calculated from the date entered</v>
      </c>
      <c r="BQ40" s="1">
        <f>IF(AND(ISNUMBER(Q40),S40&lt;&gt;"Completed",S40&lt;&gt;"N/A"),Q40,"")</f>
        <v>46262</v>
      </c>
      <c r="BR40" s="1">
        <f>IF(AND(ISNUMBER(T40),V40&lt;&gt;"Completed",V40&lt;&gt;"N/A"),T40,"")</f>
        <v>46266</v>
      </c>
      <c r="BS40" s="1">
        <f>IF(AND(ISNUMBER(W40),Y40&lt;&gt;"Completed",Y40&lt;&gt;"N/A"),W40,"")</f>
        <v>46267</v>
      </c>
      <c r="BT40" s="1" t="str">
        <f>IF(AND(ISNUMBER(AA40),AC40&lt;&gt;"Completed",AC40&lt;&gt;"N/A"),AA40,"")</f>
        <v/>
      </c>
      <c r="BU40" s="1">
        <f>IF(AND(ISNUMBER(AG40),AI40&lt;&gt;"Completed",AI40&lt;&gt;"N/A"),AG40,"")</f>
        <v>46262</v>
      </c>
      <c r="BV40" s="1">
        <f>IF(AND(ISNUMBER(AJ40),AL40&lt;&gt;"Completed",AL40&lt;&gt;"N/A"),AJ40,"")</f>
        <v>46266</v>
      </c>
      <c r="BW40" s="1">
        <f>IF(AND(ISNUMBER(AM40),AO40&lt;&gt;"Completed",AO40&lt;&gt;"N/A"),AM40,"")</f>
        <v>46267</v>
      </c>
      <c r="BX40" s="1" t="str">
        <f>IF(AND(ISNUMBER(AP40),AR40&lt;&gt;"Completed",AR40&lt;&gt;"N/A"),AP40,"")</f>
        <v/>
      </c>
      <c r="BY40" s="1">
        <f>IF(AND(ISNUMBER(AU40),AW40&lt;&gt;"Completed",AW40&lt;&gt;"N/A"),AU40,"")</f>
        <v>46262</v>
      </c>
      <c r="BZ40" s="1">
        <f>IF(AND(ISNUMBER(AX40),AZ40&lt;&gt;"Completed",AZ40&lt;&gt;"N/A"),AX40,"")</f>
        <v>46266</v>
      </c>
      <c r="CA40" s="1">
        <f>IF(AND(ISNUMBER(BA40),BC40&lt;&gt;"Completed",BC40&lt;&gt;"N/A"),BA40,"")</f>
        <v>46267</v>
      </c>
      <c r="CB40" s="1" t="str">
        <f>IF(AND(ISNUMBER(BD40),BF40&lt;&gt;"Completed",BF40&lt;&gt;"N/A"),BD40,"")</f>
        <v/>
      </c>
      <c r="CC40" s="1">
        <f>IF(AND(ISNUMBER(O40),P40&lt;&gt;"Completed",P40&lt;&gt;"N/A"),O40,"")</f>
        <v>46272</v>
      </c>
      <c r="CD40" s="1">
        <f>IF(AND(ISNUMBER(BM40),BN40&lt;&gt;"Completed",BN40&lt;&gt;"N/A"),BM40,"")</f>
        <v>46293</v>
      </c>
      <c r="CE40" s="1">
        <f>IF(AND(ISNUMBER(BK40),BL40&lt;&gt;"Completed",BL40&lt;&gt;"N/A"),BK40,"")</f>
        <v>46297</v>
      </c>
      <c r="CF40" s="1">
        <f>IF(AND(ISNUMBER(BI40),BJ40&lt;&gt;"Completed",BJ40&lt;&gt;"N/A"),BI40,"")</f>
        <v>46300</v>
      </c>
      <c r="CG40" s="1">
        <f ca="1">IF(OR(A40="",D40="Completed"),"",IF(N(G40)&gt;0,1/(N(G40)+ROW()/100000),IF(ISNUMBER(F40),1000+F40+ROW()/100000,TODAY()+400+ROW()/100000)))</f>
        <v>47262.000399999997</v>
      </c>
    </row>
    <row r="41" spans="1:85" ht="15.95" customHeight="1">
      <c r="A41" s="10" t="s">
        <v>145</v>
      </c>
      <c r="B41" s="10" t="s">
        <v>98</v>
      </c>
      <c r="C41" s="10" t="s">
        <v>140</v>
      </c>
      <c r="D41" s="11" t="str">
        <f>IF(A41="","",IF(((S41="Blocked")+(V41="Blocked")+(Y41="Blocked")+(AC41="Blocked")+(AI41="Blocked")+(AL41="Blocked")+(AO41="Blocked")+(AR41="Blocked")+(AW41="Blocked")+(AZ41="Blocked")+(BC41="Blocked")+(BF41="Blocked")+(P41="Blocked")+(BJ41="Blocked")+(BL41="Blocked")+(BN41="Blocked")+(BO41="Blocked"))&gt;0,"Blocked",IF((ISNUMBER(Q41)+ISNUMBER(T41)+ISNUMBER(W41)+ISNUMBER(AA41)+ISNUMBER(AG41)+ISNUMBER(AJ41)+ISNUMBER(AM41)+ISNUMBER(AP41)+ISNUMBER(AU41)+ISNUMBER(AX41)+ISNUMBER(BA41)+ISNUMBER(BD41)+ISNUMBER(O41)+ISNUMBER(BI41)+ISNUMBER(BK41)+ISNUMBER(BM41))=0,"Yet to start",IF(AND(OR(NOT(ISNUMBER(Q41)),S41="Completed",S41="N/A"),OR(NOT(ISNUMBER(T41)),V41="Completed",V41="N/A"),OR(NOT(ISNUMBER(W41)),Y41="Completed",Y41="N/A"),OR(NOT(ISNUMBER(AA41)),AC41="Completed",AC41="N/A"),OR(NOT(ISNUMBER(AG41)),AI41="Completed",AI41="N/A"),OR(NOT(ISNUMBER(AJ41)),AL41="Completed",AL41="N/A"),OR(NOT(ISNUMBER(AM41)),AO41="Completed",AO41="N/A"),OR(NOT(ISNUMBER(AP41)),AR41="Completed",AR41="N/A"),OR(NOT(ISNUMBER(AU41)),AW41="Completed",AW41="N/A"),OR(NOT(ISNUMBER(AX41)),AZ41="Completed",AZ41="N/A"),OR(NOT(ISNUMBER(BA41)),BC41="Completed",BC41="N/A"),OR(NOT(ISNUMBER(BD41)),BF41="Completed",BF41="N/A"),OR(NOT(ISNUMBER(O41)),P41="Completed",P41="N/A"),OR(NOT(ISNUMBER(BI41)),BJ41="Completed",BJ41="N/A"),OR(NOT(ISNUMBER(BK41)),BL41="Completed",BL41="N/A"),OR(NOT(ISNUMBER(BM41)),BN41="Completed",BN41="N/A"),OR(BO41="Completed",BO41="N/A")),"Completed",IF(((S41="In Progress")+(V41="In Progress")+(Y41="In Progress")+(AC41="In Progress")+(AI41="In Progress")+(AL41="In Progress")+(AO41="In Progress")+(AR41="In Progress")+(AW41="In Progress")+(AZ41="In Progress")+(BC41="In Progress")+(BF41="In Progress")+(P41="In Progress")+(BJ41="In Progress")+(BL41="In Progress")+(BN41="In Progress")+(BO41="In Progress"))&gt;0,"In Progress","Yet to start")))))</f>
        <v>Yet to start</v>
      </c>
      <c r="E41" s="11" t="str">
        <f>IF(A41="","",IF(F41="","All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Review","CAB"},MATCH(F41,BQ41:CF41,0))))</f>
        <v>Dev R-Task</v>
      </c>
      <c r="F41" s="12">
        <f>IF(A41="","",IF(COUNT(BQ41:CF41)=0,"",MIN(BQ41:CF41)))</f>
        <v>46262</v>
      </c>
      <c r="G41" s="13">
        <f ca="1">IF(A41="","",MAX(0,IF(AND(ISNUMBER(Q41),S41&lt;&gt;"Completed",S41&lt;&gt;"N/A",Q41&lt;TODAY()),TODAY()-Q41,0),IF(AND(ISNUMBER(T41),V41&lt;&gt;"Completed",V41&lt;&gt;"N/A",T41&lt;TODAY()),TODAY()-T41,0),IF(AND(ISNUMBER(W41),Y41&lt;&gt;"Completed",Y41&lt;&gt;"N/A",W41&lt;TODAY()),TODAY()-W41,0),IF(AND(ISNUMBER(AA41),AC41&lt;&gt;"Completed",AC41&lt;&gt;"N/A",AA41&lt;TODAY()),TODAY()-AA41,0),IF(AND(ISNUMBER(AG41),AI41&lt;&gt;"Completed",AI41&lt;&gt;"N/A",AG41&lt;TODAY()),TODAY()-AG41,0),IF(AND(ISNUMBER(AJ41),AL41&lt;&gt;"Completed",AL41&lt;&gt;"N/A",AJ41&lt;TODAY()),TODAY()-AJ41,0),IF(AND(ISNUMBER(AM41),AO41&lt;&gt;"Completed",AO41&lt;&gt;"N/A",AM41&lt;TODAY()),TODAY()-AM41,0),IF(AND(ISNUMBER(AP41),AR41&lt;&gt;"Completed",AR41&lt;&gt;"N/A",AP41&lt;TODAY()),TODAY()-AP41,0),IF(AND(ISNUMBER(AU41),AW41&lt;&gt;"Completed",AW41&lt;&gt;"N/A",AU41&lt;TODAY()),TODAY()-AU41,0),IF(AND(ISNUMBER(AX41),AZ41&lt;&gt;"Completed",AZ41&lt;&gt;"N/A",AX41&lt;TODAY()),TODAY()-AX41,0),IF(AND(ISNUMBER(BA41),BC41&lt;&gt;"Completed",BC41&lt;&gt;"N/A",BA41&lt;TODAY()),TODAY()-BA41,0),IF(AND(ISNUMBER(BD41),BF41&lt;&gt;"Completed",BF41&lt;&gt;"N/A",BD41&lt;TODAY()),TODAY()-BD41,0),IF(AND(ISNUMBER(O41),P41&lt;&gt;"Completed",P41&lt;&gt;"N/A",O41&lt;TODAY()),TODAY()-O41,0),IF(AND(ISNUMBER(BM41),BN41&lt;&gt;"Completed",BN41&lt;&gt;"N/A",BM41&lt;TODAY()),TODAY()-BM41,0),IF(AND(ISNUMBER(BK41),BL41&lt;&gt;"Completed",BL41&lt;&gt;"N/A",BK41&lt;TODAY()),TODAY()-BK41,0),IF(AND(ISNUMBER(BI41),BJ41&lt;&gt;"Completed",BJ41&lt;&gt;"N/A",BI41&lt;TODAY()),TODAY()-BI41,0)))</f>
        <v>0</v>
      </c>
      <c r="H41" s="14">
        <v>46274</v>
      </c>
      <c r="I41" s="14">
        <v>46287</v>
      </c>
      <c r="J41" s="15">
        <v>46300</v>
      </c>
      <c r="K41" s="12">
        <f>IF(ISNUMBER(H41),H41,IF(ISNUMBER(M41),M41-WEEKDAY(M41,2)+1-7,""))</f>
        <v>46274</v>
      </c>
      <c r="L41" s="12">
        <f>IF(ISNUMBER(I41),I41,IF(ISNUMBER(H41),WORKDAY(H41,SprintWorkingDays-1),IF(ISNUMBER(K41),WORKDAY(K41,SprintWorkingDays-1),"")))</f>
        <v>46287</v>
      </c>
      <c r="M41" s="12">
        <f>IF(ISNUMBER(J41),J41,IF(ISNUMBER(I41),I41-IF(OR(WEEKDAY(I41,2)=2,WEEKDAY(I41,2)=4),0,IF(WEEKDAY(I41,2)=3,1,IF(WEEKDAY(I41,2)=1,4,WEEKDAY(I41,2)-4))),IF(ISNUMBER(H41),WORKDAY(H41,SprintWorkingDays-1)-IF(OR(WEEKDAY(WORKDAY(H41,SprintWorkingDays-1),2)=2,WEEKDAY(WORKDAY(H41,SprintWorkingDays-1),2)=4),0,IF(WEEKDAY(WORKDAY(H41,SprintWorkingDays-1),2)=3,1,IF(WEEKDAY(WORKDAY(H41,SprintWorkingDays-1),2)=1,4,WEEKDAY(WORKDAY(H41,SprintWorkingDays-1),2)-4))),"")))</f>
        <v>46300</v>
      </c>
      <c r="N41" s="12">
        <f>IF(NOT(ISNUMBER(K41)),"",WORKDAY(K41,ReadyOffsetWD))</f>
        <v>46273</v>
      </c>
      <c r="O41" s="12">
        <f>IF(NOT(ISNUMBER(K41)),"",WORKDAY(K41,SprintReadinessOffsetWD))</f>
        <v>46272</v>
      </c>
      <c r="P41" s="10" t="s">
        <v>107</v>
      </c>
      <c r="Q41" s="12">
        <f>IF(A41="","",IF(V41="N/A",IF(NOT(ISNUMBER(W41)),"",WORKDAY(W41,RTSKOffsetFromOUR_WD)),IF(NOT(ISNUMBER(T41)),"",WORKDAY(T41,RTSKOffsetFromOUR_WD))))</f>
        <v>46262</v>
      </c>
      <c r="R41" s="15"/>
      <c r="S41" s="10"/>
      <c r="T41" s="12">
        <f>IF(OR(A41="",V41="N/A"),"",IF(NOT(ISNUMBER(W41)),"",WORKDAY(W41,OUROffsetFromSR_WD)))</f>
        <v>46266</v>
      </c>
      <c r="U41" s="15"/>
      <c r="V41" s="10"/>
      <c r="W41" s="12">
        <f>IF(OR(A41="",NOT(ISNUMBER(K41))),"",WORKDAY(K41,SROffsetFromStartWD))</f>
        <v>46267</v>
      </c>
      <c r="X41" s="15"/>
      <c r="Y41" s="10"/>
      <c r="Z41" s="10"/>
      <c r="AA41" s="12" t="str">
        <f>IF(OR(Z41="",Z41="N/A"),"",IF(ISNUMBER(Q41),Q41,""))</f>
        <v/>
      </c>
      <c r="AB41" s="15"/>
      <c r="AC41" s="10"/>
      <c r="AD41" s="10"/>
      <c r="AE41" s="10"/>
      <c r="AF41" s="10" t="str">
        <f>IF(Z41="N/A","N/A","")</f>
        <v/>
      </c>
      <c r="AG41" s="12">
        <f>IF(NOT(ISNUMBER(Q41)),"",Q41)</f>
        <v>46262</v>
      </c>
      <c r="AH41" s="15"/>
      <c r="AI41" s="10"/>
      <c r="AJ41" s="12">
        <f>IF(OR(AL41="N/A",NOT(ISNUMBER(T41))),"",T41)</f>
        <v>46266</v>
      </c>
      <c r="AK41" s="15"/>
      <c r="AL41" s="10"/>
      <c r="AM41" s="12">
        <f>IF(NOT(ISNUMBER(W41)),"",W41)</f>
        <v>46267</v>
      </c>
      <c r="AN41" s="15"/>
      <c r="AO41" s="10"/>
      <c r="AP41" s="12" t="str">
        <f>IF(OR(Z41="",Z41="N/A"),"",IF(ISNUMBER(AG41),AG41,""))</f>
        <v/>
      </c>
      <c r="AQ41" s="15"/>
      <c r="AR41" s="10"/>
      <c r="AS41" s="10"/>
      <c r="AT41" s="10"/>
      <c r="AU41" s="12">
        <f>IF(NOT(ISNUMBER(Q41)),"",Q41)</f>
        <v>46262</v>
      </c>
      <c r="AV41" s="15"/>
      <c r="AW41" s="10"/>
      <c r="AX41" s="12">
        <f>IF(OR(AZ41="N/A",NOT(ISNUMBER(T41))),"",T41)</f>
        <v>46266</v>
      </c>
      <c r="AY41" s="15"/>
      <c r="AZ41" s="10"/>
      <c r="BA41" s="12">
        <f>IF(NOT(ISNUMBER(W41)),"",W41)</f>
        <v>46267</v>
      </c>
      <c r="BB41" s="15"/>
      <c r="BC41" s="10"/>
      <c r="BD41" s="12" t="str">
        <f>IF(OR(Z41="",Z41="N/A"),"",IF(ISNUMBER(AU41),AU41,""))</f>
        <v/>
      </c>
      <c r="BE41" s="15"/>
      <c r="BF41" s="10"/>
      <c r="BG41" s="10"/>
      <c r="BH41" s="10"/>
      <c r="BI41" s="12">
        <v>46300</v>
      </c>
      <c r="BJ41" s="10"/>
      <c r="BK41" s="12">
        <f>IF(NOT(ISNUMBER(BI41)),"",IF(WEEKDAY(BI41-CodeReviewCalendarDays,2)&gt;5,BI41-CodeReviewCalendarDays-(WEEKDAY(BI41-CodeReviewCalendarDays,2)-5),BI41-CodeReviewCalendarDays))</f>
        <v>46297</v>
      </c>
      <c r="BL41" s="10"/>
      <c r="BM41" s="12">
        <f>IF(NOT(ISNUMBER(BK41)),"",IF(WEEKDAY(BK41-CodeReviewInviteCalendarDays,2)&gt;5,BK41-CodeReviewInviteCalendarDays-(WEEKDAY(BK41-CodeReviewInviteCalendarDays,2)-5),BK41-CodeReviewInviteCalendarDays))</f>
        <v>46293</v>
      </c>
      <c r="BN41" s="10"/>
      <c r="BO41" s="10"/>
      <c r="BP41" s="16" t="str">
        <f ca="1">IF(A41="","",IF(IF(AND(ISNUMBER(J41),WEEKDAY(J41,2)&lt;&gt;2,WEEKDAY(J41,2)&lt;&gt;4)," | Release must be Tuesday or Thursday","")&amp;IF(AND(ISNUMBER(H41),WEEKDAY(H41,2)&lt;&gt;1)," | Sprint Start is not a Monday - dates still calculated from the date entered","")&amp;IF(AND(A41&lt;&gt;"",NOT(ISNUMBER(H41)),NOT(ISNUMBER(J41)))," | Enter Sprint Start or Release Date","")&amp;IF(AND(ISNUMBER(F41),F41&lt;TODAY(),D41&lt;&gt;"Completed")," | One or more raise-by dates are in the past and not completed","")&amp;IF(AND(ISNUMBER(K41),K41-TODAY()&lt;SprintWarningDays,K41&gt;=TODAY(),OR(D41="Yet to start",D41="Blocked"))," | Sprint starts in under 10 days - raise access requests now","")&amp;IF(AND(ISNUMBER(BM41),BN41&lt;&gt;"Completed",BN41&lt;&gt;"N/A",BM41-TODAY()&lt;CodeReviewInviteCalendarDays)," | Code Review invite should be sent at least 4 days before Code Review","")="","",MID(IF(AND(ISNUMBER(J41),WEEKDAY(J41,2)&lt;&gt;2,WEEKDAY(J41,2)&lt;&gt;4)," | Release must be Tuesday or Thursday","")&amp;IF(AND(ISNUMBER(H41),WEEKDAY(H41,2)&lt;&gt;1)," | Sprint Start is not a Monday - dates still calculated from the date entered","")&amp;IF(AND(A41&lt;&gt;"",NOT(ISNUMBER(H41)),NOT(ISNUMBER(J41)))," | Enter Sprint Start or Release Date","")&amp;IF(AND(ISNUMBER(F41),F41&lt;TODAY(),D41&lt;&gt;"Completed")," | One or more raise-by dates are in the past and not completed","")&amp;IF(AND(ISNUMBER(K41),K41-TODAY()&lt;SprintWarningDays,K41&gt;=TODAY(),OR(D41="Yet to start",D41="Blocked"))," | Sprint starts in under 10 days - raise access requests now","")&amp;IF(AND(ISNUMBER(BM41),BN41&lt;&gt;"Completed",BN41&lt;&gt;"N/A",BM41-TODAY()&lt;CodeReviewInviteCalendarDays)," | Code Review invite should be sent at least 4 days before Code Review",""),4,500)))</f>
        <v>Release must be Tuesday or Thursday | Sprint Start is not a Monday - dates still calculated from the date entered</v>
      </c>
      <c r="BQ41" s="1">
        <f>IF(AND(ISNUMBER(Q41),S41&lt;&gt;"Completed",S41&lt;&gt;"N/A"),Q41,"")</f>
        <v>46262</v>
      </c>
      <c r="BR41" s="1">
        <f>IF(AND(ISNUMBER(T41),V41&lt;&gt;"Completed",V41&lt;&gt;"N/A"),T41,"")</f>
        <v>46266</v>
      </c>
      <c r="BS41" s="1">
        <f>IF(AND(ISNUMBER(W41),Y41&lt;&gt;"Completed",Y41&lt;&gt;"N/A"),W41,"")</f>
        <v>46267</v>
      </c>
      <c r="BT41" s="1" t="str">
        <f>IF(AND(ISNUMBER(AA41),AC41&lt;&gt;"Completed",AC41&lt;&gt;"N/A"),AA41,"")</f>
        <v/>
      </c>
      <c r="BU41" s="1">
        <f>IF(AND(ISNUMBER(AG41),AI41&lt;&gt;"Completed",AI41&lt;&gt;"N/A"),AG41,"")</f>
        <v>46262</v>
      </c>
      <c r="BV41" s="1">
        <f>IF(AND(ISNUMBER(AJ41),AL41&lt;&gt;"Completed",AL41&lt;&gt;"N/A"),AJ41,"")</f>
        <v>46266</v>
      </c>
      <c r="BW41" s="1">
        <f>IF(AND(ISNUMBER(AM41),AO41&lt;&gt;"Completed",AO41&lt;&gt;"N/A"),AM41,"")</f>
        <v>46267</v>
      </c>
      <c r="BX41" s="1" t="str">
        <f>IF(AND(ISNUMBER(AP41),AR41&lt;&gt;"Completed",AR41&lt;&gt;"N/A"),AP41,"")</f>
        <v/>
      </c>
      <c r="BY41" s="1">
        <f>IF(AND(ISNUMBER(AU41),AW41&lt;&gt;"Completed",AW41&lt;&gt;"N/A"),AU41,"")</f>
        <v>46262</v>
      </c>
      <c r="BZ41" s="1">
        <f>IF(AND(ISNUMBER(AX41),AZ41&lt;&gt;"Completed",AZ41&lt;&gt;"N/A"),AX41,"")</f>
        <v>46266</v>
      </c>
      <c r="CA41" s="1">
        <f>IF(AND(ISNUMBER(BA41),BC41&lt;&gt;"Completed",BC41&lt;&gt;"N/A"),BA41,"")</f>
        <v>46267</v>
      </c>
      <c r="CB41" s="1" t="str">
        <f>IF(AND(ISNUMBER(BD41),BF41&lt;&gt;"Completed",BF41&lt;&gt;"N/A"),BD41,"")</f>
        <v/>
      </c>
      <c r="CC41" s="1">
        <f>IF(AND(ISNUMBER(O41),P41&lt;&gt;"Completed",P41&lt;&gt;"N/A"),O41,"")</f>
        <v>46272</v>
      </c>
      <c r="CD41" s="1">
        <f>IF(AND(ISNUMBER(BM41),BN41&lt;&gt;"Completed",BN41&lt;&gt;"N/A"),BM41,"")</f>
        <v>46293</v>
      </c>
      <c r="CE41" s="1">
        <f>IF(AND(ISNUMBER(BK41),BL41&lt;&gt;"Completed",BL41&lt;&gt;"N/A"),BK41,"")</f>
        <v>46297</v>
      </c>
      <c r="CF41" s="1">
        <f>IF(AND(ISNUMBER(BI41),BJ41&lt;&gt;"Completed",BJ41&lt;&gt;"N/A"),BI41,"")</f>
        <v>46300</v>
      </c>
      <c r="CG41" s="1">
        <f ca="1">IF(OR(A41="",D41="Completed"),"",IF(N(G41)&gt;0,1/(N(G41)+ROW()/100000),IF(ISNUMBER(F41),1000+F41+ROW()/100000,TODAY()+400+ROW()/100000)))</f>
        <v>47262.000410000001</v>
      </c>
    </row>
    <row r="42" spans="1:85" ht="15.95" customHeight="1">
      <c r="A42" s="10" t="s">
        <v>146</v>
      </c>
      <c r="B42" s="10" t="s">
        <v>98</v>
      </c>
      <c r="C42" s="10" t="s">
        <v>140</v>
      </c>
      <c r="D42" s="11" t="str">
        <f>IF(A42="","",IF(((S42="Blocked")+(V42="Blocked")+(Y42="Blocked")+(AC42="Blocked")+(AI42="Blocked")+(AL42="Blocked")+(AO42="Blocked")+(AR42="Blocked")+(AW42="Blocked")+(AZ42="Blocked")+(BC42="Blocked")+(BF42="Blocked")+(P42="Blocked")+(BJ42="Blocked")+(BL42="Blocked")+(BN42="Blocked")+(BO42="Blocked"))&gt;0,"Blocked",IF((ISNUMBER(Q42)+ISNUMBER(T42)+ISNUMBER(W42)+ISNUMBER(AA42)+ISNUMBER(AG42)+ISNUMBER(AJ42)+ISNUMBER(AM42)+ISNUMBER(AP42)+ISNUMBER(AU42)+ISNUMBER(AX42)+ISNUMBER(BA42)+ISNUMBER(BD42)+ISNUMBER(O42)+ISNUMBER(BI42)+ISNUMBER(BK42)+ISNUMBER(BM42))=0,"Yet to start",IF(AND(OR(NOT(ISNUMBER(Q42)),S42="Completed",S42="N/A"),OR(NOT(ISNUMBER(T42)),V42="Completed",V42="N/A"),OR(NOT(ISNUMBER(W42)),Y42="Completed",Y42="N/A"),OR(NOT(ISNUMBER(AA42)),AC42="Completed",AC42="N/A"),OR(NOT(ISNUMBER(AG42)),AI42="Completed",AI42="N/A"),OR(NOT(ISNUMBER(AJ42)),AL42="Completed",AL42="N/A"),OR(NOT(ISNUMBER(AM42)),AO42="Completed",AO42="N/A"),OR(NOT(ISNUMBER(AP42)),AR42="Completed",AR42="N/A"),OR(NOT(ISNUMBER(AU42)),AW42="Completed",AW42="N/A"),OR(NOT(ISNUMBER(AX42)),AZ42="Completed",AZ42="N/A"),OR(NOT(ISNUMBER(BA42)),BC42="Completed",BC42="N/A"),OR(NOT(ISNUMBER(BD42)),BF42="Completed",BF42="N/A"),OR(NOT(ISNUMBER(O42)),P42="Completed",P42="N/A"),OR(NOT(ISNUMBER(BI42)),BJ42="Completed",BJ42="N/A"),OR(NOT(ISNUMBER(BK42)),BL42="Completed",BL42="N/A"),OR(NOT(ISNUMBER(BM42)),BN42="Completed",BN42="N/A"),OR(BO42="Completed",BO42="N/A")),"Completed",IF(((S42="In Progress")+(V42="In Progress")+(Y42="In Progress")+(AC42="In Progress")+(AI42="In Progress")+(AL42="In Progress")+(AO42="In Progress")+(AR42="In Progress")+(AW42="In Progress")+(AZ42="In Progress")+(BC42="In Progress")+(BF42="In Progress")+(P42="In Progress")+(BJ42="In Progress")+(BL42="In Progress")+(BN42="In Progress")+(BO42="In Progress"))&gt;0,"In Progress","Yet to start")))))</f>
        <v>Yet to start</v>
      </c>
      <c r="E42" s="11" t="str">
        <f>IF(A42="","",IF(F42="","All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Review","CAB"},MATCH(F42,BQ42:CF42,0))))</f>
        <v>Dev R-Task</v>
      </c>
      <c r="F42" s="12">
        <f>IF(A42="","",IF(COUNT(BQ42:CF42)=0,"",MIN(BQ42:CF42)))</f>
        <v>46262</v>
      </c>
      <c r="G42" s="13">
        <f ca="1">IF(A42="","",MAX(0,IF(AND(ISNUMBER(Q42),S42&lt;&gt;"Completed",S42&lt;&gt;"N/A",Q42&lt;TODAY()),TODAY()-Q42,0),IF(AND(ISNUMBER(T42),V42&lt;&gt;"Completed",V42&lt;&gt;"N/A",T42&lt;TODAY()),TODAY()-T42,0),IF(AND(ISNUMBER(W42),Y42&lt;&gt;"Completed",Y42&lt;&gt;"N/A",W42&lt;TODAY()),TODAY()-W42,0),IF(AND(ISNUMBER(AA42),AC42&lt;&gt;"Completed",AC42&lt;&gt;"N/A",AA42&lt;TODAY()),TODAY()-AA42,0),IF(AND(ISNUMBER(AG42),AI42&lt;&gt;"Completed",AI42&lt;&gt;"N/A",AG42&lt;TODAY()),TODAY()-AG42,0),IF(AND(ISNUMBER(AJ42),AL42&lt;&gt;"Completed",AL42&lt;&gt;"N/A",AJ42&lt;TODAY()),TODAY()-AJ42,0),IF(AND(ISNUMBER(AM42),AO42&lt;&gt;"Completed",AO42&lt;&gt;"N/A",AM42&lt;TODAY()),TODAY()-AM42,0),IF(AND(ISNUMBER(AP42),AR42&lt;&gt;"Completed",AR42&lt;&gt;"N/A",AP42&lt;TODAY()),TODAY()-AP42,0),IF(AND(ISNUMBER(AU42),AW42&lt;&gt;"Completed",AW42&lt;&gt;"N/A",AU42&lt;TODAY()),TODAY()-AU42,0),IF(AND(ISNUMBER(AX42),AZ42&lt;&gt;"Completed",AZ42&lt;&gt;"N/A",AX42&lt;TODAY()),TODAY()-AX42,0),IF(AND(ISNUMBER(BA42),BC42&lt;&gt;"Completed",BC42&lt;&gt;"N/A",BA42&lt;TODAY()),TODAY()-BA42,0),IF(AND(ISNUMBER(BD42),BF42&lt;&gt;"Completed",BF42&lt;&gt;"N/A",BD42&lt;TODAY()),TODAY()-BD42,0),IF(AND(ISNUMBER(O42),P42&lt;&gt;"Completed",P42&lt;&gt;"N/A",O42&lt;TODAY()),TODAY()-O42,0),IF(AND(ISNUMBER(BM42),BN42&lt;&gt;"Completed",BN42&lt;&gt;"N/A",BM42&lt;TODAY()),TODAY()-BM42,0),IF(AND(ISNUMBER(BK42),BL42&lt;&gt;"Completed",BL42&lt;&gt;"N/A",BK42&lt;TODAY()),TODAY()-BK42,0),IF(AND(ISNUMBER(BI42),BJ42&lt;&gt;"Completed",BJ42&lt;&gt;"N/A",BI42&lt;TODAY()),TODAY()-BI42,0)))</f>
        <v>0</v>
      </c>
      <c r="H42" s="14">
        <v>46274</v>
      </c>
      <c r="I42" s="14">
        <v>46287</v>
      </c>
      <c r="J42" s="15">
        <v>46300</v>
      </c>
      <c r="K42" s="12">
        <f>IF(ISNUMBER(H42),H42,IF(ISNUMBER(M42),M42-WEEKDAY(M42,2)+1-7,""))</f>
        <v>46274</v>
      </c>
      <c r="L42" s="12">
        <f>IF(ISNUMBER(I42),I42,IF(ISNUMBER(H42),WORKDAY(H42,SprintWorkingDays-1),IF(ISNUMBER(K42),WORKDAY(K42,SprintWorkingDays-1),"")))</f>
        <v>46287</v>
      </c>
      <c r="M42" s="12">
        <f>IF(ISNUMBER(J42),J42,IF(ISNUMBER(I42),I42-IF(OR(WEEKDAY(I42,2)=2,WEEKDAY(I42,2)=4),0,IF(WEEKDAY(I42,2)=3,1,IF(WEEKDAY(I42,2)=1,4,WEEKDAY(I42,2)-4))),IF(ISNUMBER(H42),WORKDAY(H42,SprintWorkingDays-1)-IF(OR(WEEKDAY(WORKDAY(H42,SprintWorkingDays-1),2)=2,WEEKDAY(WORKDAY(H42,SprintWorkingDays-1),2)=4),0,IF(WEEKDAY(WORKDAY(H42,SprintWorkingDays-1),2)=3,1,IF(WEEKDAY(WORKDAY(H42,SprintWorkingDays-1),2)=1,4,WEEKDAY(WORKDAY(H42,SprintWorkingDays-1),2)-4))),"")))</f>
        <v>46300</v>
      </c>
      <c r="N42" s="12">
        <f>IF(NOT(ISNUMBER(K42)),"",WORKDAY(K42,ReadyOffsetWD))</f>
        <v>46273</v>
      </c>
      <c r="O42" s="12">
        <f>IF(NOT(ISNUMBER(K42)),"",WORKDAY(K42,SprintReadinessOffsetWD))</f>
        <v>46272</v>
      </c>
      <c r="P42" s="10" t="s">
        <v>107</v>
      </c>
      <c r="Q42" s="12">
        <f>IF(A42="","",IF(V42="N/A",IF(NOT(ISNUMBER(W42)),"",WORKDAY(W42,RTSKOffsetFromOUR_WD)),IF(NOT(ISNUMBER(T42)),"",WORKDAY(T42,RTSKOffsetFromOUR_WD))))</f>
        <v>46262</v>
      </c>
      <c r="R42" s="15"/>
      <c r="S42" s="10"/>
      <c r="T42" s="12">
        <f>IF(OR(A42="",V42="N/A"),"",IF(NOT(ISNUMBER(W42)),"",WORKDAY(W42,OUROffsetFromSR_WD)))</f>
        <v>46266</v>
      </c>
      <c r="U42" s="15"/>
      <c r="V42" s="10"/>
      <c r="W42" s="12">
        <f>IF(OR(A42="",NOT(ISNUMBER(K42))),"",WORKDAY(K42,SROffsetFromStartWD))</f>
        <v>46267</v>
      </c>
      <c r="X42" s="15"/>
      <c r="Y42" s="10"/>
      <c r="Z42" s="10"/>
      <c r="AA42" s="12" t="str">
        <f>IF(OR(Z42="",Z42="N/A"),"",IF(ISNUMBER(Q42),Q42,""))</f>
        <v/>
      </c>
      <c r="AB42" s="15"/>
      <c r="AC42" s="10"/>
      <c r="AD42" s="10"/>
      <c r="AE42" s="10"/>
      <c r="AF42" s="10" t="str">
        <f>IF(Z42="N/A","N/A","")</f>
        <v/>
      </c>
      <c r="AG42" s="12">
        <f>IF(NOT(ISNUMBER(Q42)),"",Q42)</f>
        <v>46262</v>
      </c>
      <c r="AH42" s="15"/>
      <c r="AI42" s="10"/>
      <c r="AJ42" s="12">
        <f>IF(OR(AL42="N/A",NOT(ISNUMBER(T42))),"",T42)</f>
        <v>46266</v>
      </c>
      <c r="AK42" s="15"/>
      <c r="AL42" s="10"/>
      <c r="AM42" s="12">
        <f>IF(NOT(ISNUMBER(W42)),"",W42)</f>
        <v>46267</v>
      </c>
      <c r="AN42" s="15"/>
      <c r="AO42" s="10"/>
      <c r="AP42" s="12" t="str">
        <f>IF(OR(Z42="",Z42="N/A"),"",IF(ISNUMBER(AG42),AG42,""))</f>
        <v/>
      </c>
      <c r="AQ42" s="15"/>
      <c r="AR42" s="10"/>
      <c r="AS42" s="10"/>
      <c r="AT42" s="10"/>
      <c r="AU42" s="12">
        <f>IF(NOT(ISNUMBER(Q42)),"",Q42)</f>
        <v>46262</v>
      </c>
      <c r="AV42" s="15"/>
      <c r="AW42" s="10"/>
      <c r="AX42" s="12">
        <f>IF(OR(AZ42="N/A",NOT(ISNUMBER(T42))),"",T42)</f>
        <v>46266</v>
      </c>
      <c r="AY42" s="15"/>
      <c r="AZ42" s="10"/>
      <c r="BA42" s="12">
        <f>IF(NOT(ISNUMBER(W42)),"",W42)</f>
        <v>46267</v>
      </c>
      <c r="BB42" s="15"/>
      <c r="BC42" s="10"/>
      <c r="BD42" s="12" t="str">
        <f>IF(OR(Z42="",Z42="N/A"),"",IF(ISNUMBER(AU42),AU42,""))</f>
        <v/>
      </c>
      <c r="BE42" s="15"/>
      <c r="BF42" s="10"/>
      <c r="BG42" s="10"/>
      <c r="BH42" s="10"/>
      <c r="BI42" s="12">
        <v>46300</v>
      </c>
      <c r="BJ42" s="10"/>
      <c r="BK42" s="12">
        <f>IF(NOT(ISNUMBER(BI42)),"",IF(WEEKDAY(BI42-CodeReviewCalendarDays,2)&gt;5,BI42-CodeReviewCalendarDays-(WEEKDAY(BI42-CodeReviewCalendarDays,2)-5),BI42-CodeReviewCalendarDays))</f>
        <v>46297</v>
      </c>
      <c r="BL42" s="10"/>
      <c r="BM42" s="12">
        <f>IF(NOT(ISNUMBER(BK42)),"",IF(WEEKDAY(BK42-CodeReviewInviteCalendarDays,2)&gt;5,BK42-CodeReviewInviteCalendarDays-(WEEKDAY(BK42-CodeReviewInviteCalendarDays,2)-5),BK42-CodeReviewInviteCalendarDays))</f>
        <v>46293</v>
      </c>
      <c r="BN42" s="10"/>
      <c r="BO42" s="10"/>
      <c r="BP42" s="16" t="str">
        <f ca="1">IF(A42="","",IF(IF(AND(ISNUMBER(J42),WEEKDAY(J42,2)&lt;&gt;2,WEEKDAY(J42,2)&lt;&gt;4)," | Release must be Tuesday or Thursday","")&amp;IF(AND(ISNUMBER(H42),WEEKDAY(H42,2)&lt;&gt;1)," | Sprint Start is not a Monday - dates still calculated from the date entered","")&amp;IF(AND(A42&lt;&gt;"",NOT(ISNUMBER(H42)),NOT(ISNUMBER(J42)))," | Enter Sprint Start or Release Date","")&amp;IF(AND(ISNUMBER(F42),F42&lt;TODAY(),D42&lt;&gt;"Completed")," | One or more raise-by dates are in the past and not completed","")&amp;IF(AND(ISNUMBER(K42),K42-TODAY()&lt;SprintWarningDays,K42&gt;=TODAY(),OR(D42="Yet to start",D42="Blocked"))," | Sprint starts in under 10 days - raise access requests now","")&amp;IF(AND(ISNUMBER(BM42),BN42&lt;&gt;"Completed",BN42&lt;&gt;"N/A",BM42-TODAY()&lt;CodeReviewInviteCalendarDays)," | Code Review invite should be sent at least 4 days before Code Review","")="","",MID(IF(AND(ISNUMBER(J42),WEEKDAY(J42,2)&lt;&gt;2,WEEKDAY(J42,2)&lt;&gt;4)," | Release must be Tuesday or Thursday","")&amp;IF(AND(ISNUMBER(H42),WEEKDAY(H42,2)&lt;&gt;1)," | Sprint Start is not a Monday - dates still calculated from the date entered","")&amp;IF(AND(A42&lt;&gt;"",NOT(ISNUMBER(H42)),NOT(ISNUMBER(J42)))," | Enter Sprint Start or Release Date","")&amp;IF(AND(ISNUMBER(F42),F42&lt;TODAY(),D42&lt;&gt;"Completed")," | One or more raise-by dates are in the past and not completed","")&amp;IF(AND(ISNUMBER(K42),K42-TODAY()&lt;SprintWarningDays,K42&gt;=TODAY(),OR(D42="Yet to start",D42="Blocked"))," | Sprint starts in under 10 days - raise access requests now","")&amp;IF(AND(ISNUMBER(BM42),BN42&lt;&gt;"Completed",BN42&lt;&gt;"N/A",BM42-TODAY()&lt;CodeReviewInviteCalendarDays)," | Code Review invite should be sent at least 4 days before Code Review",""),4,500)))</f>
        <v>Release must be Tuesday or Thursday | Sprint Start is not a Monday - dates still calculated from the date entered</v>
      </c>
      <c r="BQ42" s="1">
        <f>IF(AND(ISNUMBER(Q42),S42&lt;&gt;"Completed",S42&lt;&gt;"N/A"),Q42,"")</f>
        <v>46262</v>
      </c>
      <c r="BR42" s="1">
        <f>IF(AND(ISNUMBER(T42),V42&lt;&gt;"Completed",V42&lt;&gt;"N/A"),T42,"")</f>
        <v>46266</v>
      </c>
      <c r="BS42" s="1">
        <f>IF(AND(ISNUMBER(W42),Y42&lt;&gt;"Completed",Y42&lt;&gt;"N/A"),W42,"")</f>
        <v>46267</v>
      </c>
      <c r="BT42" s="1" t="str">
        <f>IF(AND(ISNUMBER(AA42),AC42&lt;&gt;"Completed",AC42&lt;&gt;"N/A"),AA42,"")</f>
        <v/>
      </c>
      <c r="BU42" s="1">
        <f>IF(AND(ISNUMBER(AG42),AI42&lt;&gt;"Completed",AI42&lt;&gt;"N/A"),AG42,"")</f>
        <v>46262</v>
      </c>
      <c r="BV42" s="1">
        <f>IF(AND(ISNUMBER(AJ42),AL42&lt;&gt;"Completed",AL42&lt;&gt;"N/A"),AJ42,"")</f>
        <v>46266</v>
      </c>
      <c r="BW42" s="1">
        <f>IF(AND(ISNUMBER(AM42),AO42&lt;&gt;"Completed",AO42&lt;&gt;"N/A"),AM42,"")</f>
        <v>46267</v>
      </c>
      <c r="BX42" s="1" t="str">
        <f>IF(AND(ISNUMBER(AP42),AR42&lt;&gt;"Completed",AR42&lt;&gt;"N/A"),AP42,"")</f>
        <v/>
      </c>
      <c r="BY42" s="1">
        <f>IF(AND(ISNUMBER(AU42),AW42&lt;&gt;"Completed",AW42&lt;&gt;"N/A"),AU42,"")</f>
        <v>46262</v>
      </c>
      <c r="BZ42" s="1">
        <f>IF(AND(ISNUMBER(AX42),AZ42&lt;&gt;"Completed",AZ42&lt;&gt;"N/A"),AX42,"")</f>
        <v>46266</v>
      </c>
      <c r="CA42" s="1">
        <f>IF(AND(ISNUMBER(BA42),BC42&lt;&gt;"Completed",BC42&lt;&gt;"N/A"),BA42,"")</f>
        <v>46267</v>
      </c>
      <c r="CB42" s="1" t="str">
        <f>IF(AND(ISNUMBER(BD42),BF42&lt;&gt;"Completed",BF42&lt;&gt;"N/A"),BD42,"")</f>
        <v/>
      </c>
      <c r="CC42" s="1">
        <f>IF(AND(ISNUMBER(O42),P42&lt;&gt;"Completed",P42&lt;&gt;"N/A"),O42,"")</f>
        <v>46272</v>
      </c>
      <c r="CD42" s="1">
        <f>IF(AND(ISNUMBER(BM42),BN42&lt;&gt;"Completed",BN42&lt;&gt;"N/A"),BM42,"")</f>
        <v>46293</v>
      </c>
      <c r="CE42" s="1">
        <f>IF(AND(ISNUMBER(BK42),BL42&lt;&gt;"Completed",BL42&lt;&gt;"N/A"),BK42,"")</f>
        <v>46297</v>
      </c>
      <c r="CF42" s="1">
        <f>IF(AND(ISNUMBER(BI42),BJ42&lt;&gt;"Completed",BJ42&lt;&gt;"N/A"),BI42,"")</f>
        <v>46300</v>
      </c>
      <c r="CG42" s="1">
        <f ca="1">IF(OR(A42="",D42="Completed"),"",IF(N(G42)&gt;0,1/(N(G42)+ROW()/100000),IF(ISNUMBER(F42),1000+F42+ROW()/100000,TODAY()+400+ROW()/100000)))</f>
        <v>47262.000419999997</v>
      </c>
    </row>
    <row r="43" spans="1:85" ht="32.1" customHeight="1">
      <c r="A43" s="10" t="s">
        <v>147</v>
      </c>
      <c r="B43" s="10" t="s">
        <v>98</v>
      </c>
      <c r="C43" s="10" t="s">
        <v>140</v>
      </c>
      <c r="D43" s="11" t="str">
        <f>IF(A43="","",IF(((S43="Blocked")+(V43="Blocked")+(Y43="Blocked")+(AC43="Blocked")+(AI43="Blocked")+(AL43="Blocked")+(AO43="Blocked")+(AR43="Blocked")+(AW43="Blocked")+(AZ43="Blocked")+(BC43="Blocked")+(BF43="Blocked")+(P43="Blocked")+(BJ43="Blocked")+(BL43="Blocked")+(BN43="Blocked")+(BO43="Blocked"))&gt;0,"Blocked",IF((ISNUMBER(Q43)+ISNUMBER(T43)+ISNUMBER(W43)+ISNUMBER(AA43)+ISNUMBER(AG43)+ISNUMBER(AJ43)+ISNUMBER(AM43)+ISNUMBER(AP43)+ISNUMBER(AU43)+ISNUMBER(AX43)+ISNUMBER(BA43)+ISNUMBER(BD43)+ISNUMBER(O43)+ISNUMBER(BI43)+ISNUMBER(BK43)+ISNUMBER(BM43))=0,"Yet to start",IF(AND(OR(NOT(ISNUMBER(Q43)),S43="Completed",S43="N/A"),OR(NOT(ISNUMBER(T43)),V43="Completed",V43="N/A"),OR(NOT(ISNUMBER(W43)),Y43="Completed",Y43="N/A"),OR(NOT(ISNUMBER(AA43)),AC43="Completed",AC43="N/A"),OR(NOT(ISNUMBER(AG43)),AI43="Completed",AI43="N/A"),OR(NOT(ISNUMBER(AJ43)),AL43="Completed",AL43="N/A"),OR(NOT(ISNUMBER(AM43)),AO43="Completed",AO43="N/A"),OR(NOT(ISNUMBER(AP43)),AR43="Completed",AR43="N/A"),OR(NOT(ISNUMBER(AU43)),AW43="Completed",AW43="N/A"),OR(NOT(ISNUMBER(AX43)),AZ43="Completed",AZ43="N/A"),OR(NOT(ISNUMBER(BA43)),BC43="Completed",BC43="N/A"),OR(NOT(ISNUMBER(BD43)),BF43="Completed",BF43="N/A"),OR(NOT(ISNUMBER(O43)),P43="Completed",P43="N/A"),OR(NOT(ISNUMBER(BI43)),BJ43="Completed",BJ43="N/A"),OR(NOT(ISNUMBER(BK43)),BL43="Completed",BL43="N/A"),OR(NOT(ISNUMBER(BM43)),BN43="Completed",BN43="N/A"),OR(BO43="Completed",BO43="N/A")),"Completed",IF(((S43="In Progress")+(V43="In Progress")+(Y43="In Progress")+(AC43="In Progress")+(AI43="In Progress")+(AL43="In Progress")+(AO43="In Progress")+(AR43="In Progress")+(AW43="In Progress")+(AZ43="In Progress")+(BC43="In Progress")+(BF43="In Progress")+(P43="In Progress")+(BJ43="In Progress")+(BL43="In Progress")+(BN43="In Progress")+(BO43="In Progress"))&gt;0,"In Progress","Yet to start")))))</f>
        <v>Yet to start</v>
      </c>
      <c r="E43" s="11" t="str">
        <f>IF(A43="","",IF(F43="","All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Review","CAB"},MATCH(F43,BQ43:CF43,0))))</f>
        <v>Dev R-Task</v>
      </c>
      <c r="F43" s="12">
        <f>IF(A43="","",IF(COUNT(BQ43:CF43)=0,"",MIN(BQ43:CF43)))</f>
        <v>46262</v>
      </c>
      <c r="G43" s="13">
        <f ca="1">IF(A43="","",MAX(0,IF(AND(ISNUMBER(Q43),S43&lt;&gt;"Completed",S43&lt;&gt;"N/A",Q43&lt;TODAY()),TODAY()-Q43,0),IF(AND(ISNUMBER(T43),V43&lt;&gt;"Completed",V43&lt;&gt;"N/A",T43&lt;TODAY()),TODAY()-T43,0),IF(AND(ISNUMBER(W43),Y43&lt;&gt;"Completed",Y43&lt;&gt;"N/A",W43&lt;TODAY()),TODAY()-W43,0),IF(AND(ISNUMBER(AA43),AC43&lt;&gt;"Completed",AC43&lt;&gt;"N/A",AA43&lt;TODAY()),TODAY()-AA43,0),IF(AND(ISNUMBER(AG43),AI43&lt;&gt;"Completed",AI43&lt;&gt;"N/A",AG43&lt;TODAY()),TODAY()-AG43,0),IF(AND(ISNUMBER(AJ43),AL43&lt;&gt;"Completed",AL43&lt;&gt;"N/A",AJ43&lt;TODAY()),TODAY()-AJ43,0),IF(AND(ISNUMBER(AM43),AO43&lt;&gt;"Completed",AO43&lt;&gt;"N/A",AM43&lt;TODAY()),TODAY()-AM43,0),IF(AND(ISNUMBER(AP43),AR43&lt;&gt;"Completed",AR43&lt;&gt;"N/A",AP43&lt;TODAY()),TODAY()-AP43,0),IF(AND(ISNUMBER(AU43),AW43&lt;&gt;"Completed",AW43&lt;&gt;"N/A",AU43&lt;TODAY()),TODAY()-AU43,0),IF(AND(ISNUMBER(AX43),AZ43&lt;&gt;"Completed",AZ43&lt;&gt;"N/A",AX43&lt;TODAY()),TODAY()-AX43,0),IF(AND(ISNUMBER(BA43),BC43&lt;&gt;"Completed",BC43&lt;&gt;"N/A",BA43&lt;TODAY()),TODAY()-BA43,0),IF(AND(ISNUMBER(BD43),BF43&lt;&gt;"Completed",BF43&lt;&gt;"N/A",BD43&lt;TODAY()),TODAY()-BD43,0),IF(AND(ISNUMBER(O43),P43&lt;&gt;"Completed",P43&lt;&gt;"N/A",O43&lt;TODAY()),TODAY()-O43,0),IF(AND(ISNUMBER(BM43),BN43&lt;&gt;"Completed",BN43&lt;&gt;"N/A",BM43&lt;TODAY()),TODAY()-BM43,0),IF(AND(ISNUMBER(BK43),BL43&lt;&gt;"Completed",BL43&lt;&gt;"N/A",BK43&lt;TODAY()),TODAY()-BK43,0),IF(AND(ISNUMBER(BI43),BJ43&lt;&gt;"Completed",BJ43&lt;&gt;"N/A",BI43&lt;TODAY()),TODAY()-BI43,0)))</f>
        <v>0</v>
      </c>
      <c r="H43" s="14">
        <v>46274</v>
      </c>
      <c r="I43" s="14">
        <v>46287</v>
      </c>
      <c r="J43" s="15">
        <v>46300</v>
      </c>
      <c r="K43" s="12">
        <f>IF(ISNUMBER(H43),H43,IF(ISNUMBER(M43),M43-WEEKDAY(M43,2)+1-7,""))</f>
        <v>46274</v>
      </c>
      <c r="L43" s="12">
        <f>IF(ISNUMBER(I43),I43,IF(ISNUMBER(H43),WORKDAY(H43,SprintWorkingDays-1),IF(ISNUMBER(K43),WORKDAY(K43,SprintWorkingDays-1),"")))</f>
        <v>46287</v>
      </c>
      <c r="M43" s="12">
        <f>IF(ISNUMBER(J43),J43,IF(ISNUMBER(I43),I43-IF(OR(WEEKDAY(I43,2)=2,WEEKDAY(I43,2)=4),0,IF(WEEKDAY(I43,2)=3,1,IF(WEEKDAY(I43,2)=1,4,WEEKDAY(I43,2)-4))),IF(ISNUMBER(H43),WORKDAY(H43,SprintWorkingDays-1)-IF(OR(WEEKDAY(WORKDAY(H43,SprintWorkingDays-1),2)=2,WEEKDAY(WORKDAY(H43,SprintWorkingDays-1),2)=4),0,IF(WEEKDAY(WORKDAY(H43,SprintWorkingDays-1),2)=3,1,IF(WEEKDAY(WORKDAY(H43,SprintWorkingDays-1),2)=1,4,WEEKDAY(WORKDAY(H43,SprintWorkingDays-1),2)-4))),"")))</f>
        <v>46300</v>
      </c>
      <c r="N43" s="12">
        <f>IF(NOT(ISNUMBER(K43)),"",WORKDAY(K43,ReadyOffsetWD))</f>
        <v>46273</v>
      </c>
      <c r="O43" s="12">
        <f>IF(NOT(ISNUMBER(K43)),"",WORKDAY(K43,SprintReadinessOffsetWD))</f>
        <v>46272</v>
      </c>
      <c r="P43" s="10" t="s">
        <v>107</v>
      </c>
      <c r="Q43" s="12">
        <f>IF(A43="","",IF(V43="N/A",IF(NOT(ISNUMBER(W43)),"",WORKDAY(W43,RTSKOffsetFromOUR_WD)),IF(NOT(ISNUMBER(T43)),"",WORKDAY(T43,RTSKOffsetFromOUR_WD))))</f>
        <v>46262</v>
      </c>
      <c r="R43" s="15"/>
      <c r="S43" s="10"/>
      <c r="T43" s="12">
        <f>IF(OR(A43="",V43="N/A"),"",IF(NOT(ISNUMBER(W43)),"",WORKDAY(W43,OUROffsetFromSR_WD)))</f>
        <v>46266</v>
      </c>
      <c r="U43" s="15"/>
      <c r="V43" s="10"/>
      <c r="W43" s="12">
        <f>IF(OR(A43="",NOT(ISNUMBER(K43))),"",WORKDAY(K43,SROffsetFromStartWD))</f>
        <v>46267</v>
      </c>
      <c r="X43" s="15"/>
      <c r="Y43" s="10"/>
      <c r="Z43" s="10"/>
      <c r="AA43" s="12" t="str">
        <f>IF(OR(Z43="",Z43="N/A"),"",IF(ISNUMBER(Q43),Q43,""))</f>
        <v/>
      </c>
      <c r="AB43" s="15"/>
      <c r="AC43" s="10"/>
      <c r="AD43" s="10"/>
      <c r="AE43" s="10"/>
      <c r="AF43" s="10" t="str">
        <f>IF(Z43="N/A","N/A","")</f>
        <v/>
      </c>
      <c r="AG43" s="12">
        <f>IF(NOT(ISNUMBER(Q43)),"",Q43)</f>
        <v>46262</v>
      </c>
      <c r="AH43" s="15"/>
      <c r="AI43" s="10"/>
      <c r="AJ43" s="12">
        <f>IF(OR(AL43="N/A",NOT(ISNUMBER(T43))),"",T43)</f>
        <v>46266</v>
      </c>
      <c r="AK43" s="15"/>
      <c r="AL43" s="10"/>
      <c r="AM43" s="12">
        <f>IF(NOT(ISNUMBER(W43)),"",W43)</f>
        <v>46267</v>
      </c>
      <c r="AN43" s="15"/>
      <c r="AO43" s="10"/>
      <c r="AP43" s="12" t="str">
        <f>IF(OR(Z43="",Z43="N/A"),"",IF(ISNUMBER(AG43),AG43,""))</f>
        <v/>
      </c>
      <c r="AQ43" s="15"/>
      <c r="AR43" s="10"/>
      <c r="AS43" s="10"/>
      <c r="AT43" s="10"/>
      <c r="AU43" s="12">
        <f>IF(NOT(ISNUMBER(Q43)),"",Q43)</f>
        <v>46262</v>
      </c>
      <c r="AV43" s="15"/>
      <c r="AW43" s="10"/>
      <c r="AX43" s="12">
        <f>IF(OR(AZ43="N/A",NOT(ISNUMBER(T43))),"",T43)</f>
        <v>46266</v>
      </c>
      <c r="AY43" s="15"/>
      <c r="AZ43" s="10"/>
      <c r="BA43" s="12">
        <f>IF(NOT(ISNUMBER(W43)),"",W43)</f>
        <v>46267</v>
      </c>
      <c r="BB43" s="15"/>
      <c r="BC43" s="10"/>
      <c r="BD43" s="12" t="str">
        <f>IF(OR(Z43="",Z43="N/A"),"",IF(ISNUMBER(AU43),AU43,""))</f>
        <v/>
      </c>
      <c r="BE43" s="15"/>
      <c r="BF43" s="10"/>
      <c r="BG43" s="10"/>
      <c r="BH43" s="10"/>
      <c r="BI43" s="12">
        <v>46300</v>
      </c>
      <c r="BJ43" s="10"/>
      <c r="BK43" s="12">
        <f>IF(NOT(ISNUMBER(BI43)),"",IF(WEEKDAY(BI43-CodeReviewCalendarDays,2)&gt;5,BI43-CodeReviewCalendarDays-(WEEKDAY(BI43-CodeReviewCalendarDays,2)-5),BI43-CodeReviewCalendarDays))</f>
        <v>46297</v>
      </c>
      <c r="BL43" s="10"/>
      <c r="BM43" s="12">
        <f>IF(NOT(ISNUMBER(BK43)),"",IF(WEEKDAY(BK43-CodeReviewInviteCalendarDays,2)&gt;5,BK43-CodeReviewInviteCalendarDays-(WEEKDAY(BK43-CodeReviewInviteCalendarDays,2)-5),BK43-CodeReviewInviteCalendarDays))</f>
        <v>46293</v>
      </c>
      <c r="BN43" s="10"/>
      <c r="BO43" s="10"/>
      <c r="BP43" s="16" t="str">
        <f ca="1">IF(A43="","",IF(IF(AND(ISNUMBER(J43),WEEKDAY(J43,2)&lt;&gt;2,WEEKDAY(J43,2)&lt;&gt;4)," | Release must be Tuesday or Thursday","")&amp;IF(AND(ISNUMBER(H43),WEEKDAY(H43,2)&lt;&gt;1)," | Sprint Start is not a Monday - dates still calculated from the date entered","")&amp;IF(AND(A43&lt;&gt;"",NOT(ISNUMBER(H43)),NOT(ISNUMBER(J43)))," | Enter Sprint Start or Release Date","")&amp;IF(AND(ISNUMBER(F43),F43&lt;TODAY(),D43&lt;&gt;"Completed")," | One or more raise-by dates are in the past and not completed","")&amp;IF(AND(ISNUMBER(K43),K43-TODAY()&lt;SprintWarningDays,K43&gt;=TODAY(),OR(D43="Yet to start",D43="Blocked"))," | Sprint starts in under 10 days - raise access requests now","")&amp;IF(AND(ISNUMBER(BM43),BN43&lt;&gt;"Completed",BN43&lt;&gt;"N/A",BM43-TODAY()&lt;CodeReviewInviteCalendarDays)," | Code Review invite should be sent at least 4 days before Code Review","")="","",MID(IF(AND(ISNUMBER(J43),WEEKDAY(J43,2)&lt;&gt;2,WEEKDAY(J43,2)&lt;&gt;4)," | Release must be Tuesday or Thursday","")&amp;IF(AND(ISNUMBER(H43),WEEKDAY(H43,2)&lt;&gt;1)," | Sprint Start is not a Monday - dates still calculated from the date entered","")&amp;IF(AND(A43&lt;&gt;"",NOT(ISNUMBER(H43)),NOT(ISNUMBER(J43)))," | Enter Sprint Start or Release Date","")&amp;IF(AND(ISNUMBER(F43),F43&lt;TODAY(),D43&lt;&gt;"Completed")," | One or more raise-by dates are in the past and not completed","")&amp;IF(AND(ISNUMBER(K43),K43-TODAY()&lt;SprintWarningDays,K43&gt;=TODAY(),OR(D43="Yet to start",D43="Blocked"))," | Sprint starts in under 10 days - raise access requests now","")&amp;IF(AND(ISNUMBER(BM43),BN43&lt;&gt;"Completed",BN43&lt;&gt;"N/A",BM43-TODAY()&lt;CodeReviewInviteCalendarDays)," | Code Review invite should be sent at least 4 days before Code Review",""),4,500)))</f>
        <v>Release must be Tuesday or Thursday | Sprint Start is not a Monday - dates still calculated from the date entered</v>
      </c>
      <c r="BQ43" s="1">
        <f>IF(AND(ISNUMBER(Q43),S43&lt;&gt;"Completed",S43&lt;&gt;"N/A"),Q43,"")</f>
        <v>46262</v>
      </c>
      <c r="BR43" s="1">
        <f>IF(AND(ISNUMBER(T43),V43&lt;&gt;"Completed",V43&lt;&gt;"N/A"),T43,"")</f>
        <v>46266</v>
      </c>
      <c r="BS43" s="1">
        <f>IF(AND(ISNUMBER(W43),Y43&lt;&gt;"Completed",Y43&lt;&gt;"N/A"),W43,"")</f>
        <v>46267</v>
      </c>
      <c r="BT43" s="1" t="str">
        <f>IF(AND(ISNUMBER(AA43),AC43&lt;&gt;"Completed",AC43&lt;&gt;"N/A"),AA43,"")</f>
        <v/>
      </c>
      <c r="BU43" s="1">
        <f>IF(AND(ISNUMBER(AG43),AI43&lt;&gt;"Completed",AI43&lt;&gt;"N/A"),AG43,"")</f>
        <v>46262</v>
      </c>
      <c r="BV43" s="1">
        <f>IF(AND(ISNUMBER(AJ43),AL43&lt;&gt;"Completed",AL43&lt;&gt;"N/A"),AJ43,"")</f>
        <v>46266</v>
      </c>
      <c r="BW43" s="1">
        <f>IF(AND(ISNUMBER(AM43),AO43&lt;&gt;"Completed",AO43&lt;&gt;"N/A"),AM43,"")</f>
        <v>46267</v>
      </c>
      <c r="BX43" s="1" t="str">
        <f>IF(AND(ISNUMBER(AP43),AR43&lt;&gt;"Completed",AR43&lt;&gt;"N/A"),AP43,"")</f>
        <v/>
      </c>
      <c r="BY43" s="1">
        <f>IF(AND(ISNUMBER(AU43),AW43&lt;&gt;"Completed",AW43&lt;&gt;"N/A"),AU43,"")</f>
        <v>46262</v>
      </c>
      <c r="BZ43" s="1">
        <f>IF(AND(ISNUMBER(AX43),AZ43&lt;&gt;"Completed",AZ43&lt;&gt;"N/A"),AX43,"")</f>
        <v>46266</v>
      </c>
      <c r="CA43" s="1">
        <f>IF(AND(ISNUMBER(BA43),BC43&lt;&gt;"Completed",BC43&lt;&gt;"N/A"),BA43,"")</f>
        <v>46267</v>
      </c>
      <c r="CB43" s="1" t="str">
        <f>IF(AND(ISNUMBER(BD43),BF43&lt;&gt;"Completed",BF43&lt;&gt;"N/A"),BD43,"")</f>
        <v/>
      </c>
      <c r="CC43" s="1">
        <f>IF(AND(ISNUMBER(O43),P43&lt;&gt;"Completed",P43&lt;&gt;"N/A"),O43,"")</f>
        <v>46272</v>
      </c>
      <c r="CD43" s="1">
        <f>IF(AND(ISNUMBER(BM43),BN43&lt;&gt;"Completed",BN43&lt;&gt;"N/A"),BM43,"")</f>
        <v>46293</v>
      </c>
      <c r="CE43" s="1">
        <f>IF(AND(ISNUMBER(BK43),BL43&lt;&gt;"Completed",BL43&lt;&gt;"N/A"),BK43,"")</f>
        <v>46297</v>
      </c>
      <c r="CF43" s="1">
        <f>IF(AND(ISNUMBER(BI43),BJ43&lt;&gt;"Completed",BJ43&lt;&gt;"N/A"),BI43,"")</f>
        <v>46300</v>
      </c>
      <c r="CG43" s="1">
        <f ca="1">IF(OR(A43="",D43="Completed"),"",IF(N(G43)&gt;0,1/(N(G43)+ROW()/100000),IF(ISNUMBER(F43),1000+F43+ROW()/100000,TODAY()+400+ROW()/100000)))</f>
        <v>47262.00043</v>
      </c>
    </row>
    <row r="44" spans="1:85" ht="15.95" customHeight="1">
      <c r="A44" s="10" t="s">
        <v>148</v>
      </c>
      <c r="B44" s="10" t="s">
        <v>98</v>
      </c>
      <c r="C44" s="10" t="s">
        <v>140</v>
      </c>
      <c r="D44" s="11" t="str">
        <f>IF(A44="","",IF(((S44="Blocked")+(V44="Blocked")+(Y44="Blocked")+(AC44="Blocked")+(AI44="Blocked")+(AL44="Blocked")+(AO44="Blocked")+(AR44="Blocked")+(AW44="Blocked")+(AZ44="Blocked")+(BC44="Blocked")+(BF44="Blocked")+(P44="Blocked")+(BJ44="Blocked")+(BL44="Blocked")+(BN44="Blocked")+(BO44="Blocked"))&gt;0,"Blocked",IF((ISNUMBER(Q44)+ISNUMBER(T44)+ISNUMBER(W44)+ISNUMBER(AA44)+ISNUMBER(AG44)+ISNUMBER(AJ44)+ISNUMBER(AM44)+ISNUMBER(AP44)+ISNUMBER(AU44)+ISNUMBER(AX44)+ISNUMBER(BA44)+ISNUMBER(BD44)+ISNUMBER(O44)+ISNUMBER(BI44)+ISNUMBER(BK44)+ISNUMBER(BM44))=0,"Yet to start",IF(AND(OR(NOT(ISNUMBER(Q44)),S44="Completed",S44="N/A"),OR(NOT(ISNUMBER(T44)),V44="Completed",V44="N/A"),OR(NOT(ISNUMBER(W44)),Y44="Completed",Y44="N/A"),OR(NOT(ISNUMBER(AA44)),AC44="Completed",AC44="N/A"),OR(NOT(ISNUMBER(AG44)),AI44="Completed",AI44="N/A"),OR(NOT(ISNUMBER(AJ44)),AL44="Completed",AL44="N/A"),OR(NOT(ISNUMBER(AM44)),AO44="Completed",AO44="N/A"),OR(NOT(ISNUMBER(AP44)),AR44="Completed",AR44="N/A"),OR(NOT(ISNUMBER(AU44)),AW44="Completed",AW44="N/A"),OR(NOT(ISNUMBER(AX44)),AZ44="Completed",AZ44="N/A"),OR(NOT(ISNUMBER(BA44)),BC44="Completed",BC44="N/A"),OR(NOT(ISNUMBER(BD44)),BF44="Completed",BF44="N/A"),OR(NOT(ISNUMBER(O44)),P44="Completed",P44="N/A"),OR(NOT(ISNUMBER(BI44)),BJ44="Completed",BJ44="N/A"),OR(NOT(ISNUMBER(BK44)),BL44="Completed",BL44="N/A"),OR(NOT(ISNUMBER(BM44)),BN44="Completed",BN44="N/A"),OR(BO44="Completed",BO44="N/A")),"Completed",IF(((S44="In Progress")+(V44="In Progress")+(Y44="In Progress")+(AC44="In Progress")+(AI44="In Progress")+(AL44="In Progress")+(AO44="In Progress")+(AR44="In Progress")+(AW44="In Progress")+(AZ44="In Progress")+(BC44="In Progress")+(BF44="In Progress")+(P44="In Progress")+(BJ44="In Progress")+(BL44="In Progress")+(BN44="In Progress")+(BO44="In Progress"))&gt;0,"In Progress","Yet to start")))))</f>
        <v>Yet to start</v>
      </c>
      <c r="E44" s="11" t="str">
        <f>IF(A44="","",IF(F44="","All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Review","CAB"},MATCH(F44,BQ44:CF44,0))))</f>
        <v>Dev R-Task</v>
      </c>
      <c r="F44" s="12">
        <f>IF(A44="","",IF(COUNT(BQ44:CF44)=0,"",MIN(BQ44:CF44)))</f>
        <v>46262</v>
      </c>
      <c r="G44" s="13">
        <f ca="1">IF(A44="","",MAX(0,IF(AND(ISNUMBER(Q44),S44&lt;&gt;"Completed",S44&lt;&gt;"N/A",Q44&lt;TODAY()),TODAY()-Q44,0),IF(AND(ISNUMBER(T44),V44&lt;&gt;"Completed",V44&lt;&gt;"N/A",T44&lt;TODAY()),TODAY()-T44,0),IF(AND(ISNUMBER(W44),Y44&lt;&gt;"Completed",Y44&lt;&gt;"N/A",W44&lt;TODAY()),TODAY()-W44,0),IF(AND(ISNUMBER(AA44),AC44&lt;&gt;"Completed",AC44&lt;&gt;"N/A",AA44&lt;TODAY()),TODAY()-AA44,0),IF(AND(ISNUMBER(AG44),AI44&lt;&gt;"Completed",AI44&lt;&gt;"N/A",AG44&lt;TODAY()),TODAY()-AG44,0),IF(AND(ISNUMBER(AJ44),AL44&lt;&gt;"Completed",AL44&lt;&gt;"N/A",AJ44&lt;TODAY()),TODAY()-AJ44,0),IF(AND(ISNUMBER(AM44),AO44&lt;&gt;"Completed",AO44&lt;&gt;"N/A",AM44&lt;TODAY()),TODAY()-AM44,0),IF(AND(ISNUMBER(AP44),AR44&lt;&gt;"Completed",AR44&lt;&gt;"N/A",AP44&lt;TODAY()),TODAY()-AP44,0),IF(AND(ISNUMBER(AU44),AW44&lt;&gt;"Completed",AW44&lt;&gt;"N/A",AU44&lt;TODAY()),TODAY()-AU44,0),IF(AND(ISNUMBER(AX44),AZ44&lt;&gt;"Completed",AZ44&lt;&gt;"N/A",AX44&lt;TODAY()),TODAY()-AX44,0),IF(AND(ISNUMBER(BA44),BC44&lt;&gt;"Completed",BC44&lt;&gt;"N/A",BA44&lt;TODAY()),TODAY()-BA44,0),IF(AND(ISNUMBER(BD44),BF44&lt;&gt;"Completed",BF44&lt;&gt;"N/A",BD44&lt;TODAY()),TODAY()-BD44,0),IF(AND(ISNUMBER(O44),P44&lt;&gt;"Completed",P44&lt;&gt;"N/A",O44&lt;TODAY()),TODAY()-O44,0),IF(AND(ISNUMBER(BM44),BN44&lt;&gt;"Completed",BN44&lt;&gt;"N/A",BM44&lt;TODAY()),TODAY()-BM44,0),IF(AND(ISNUMBER(BK44),BL44&lt;&gt;"Completed",BL44&lt;&gt;"N/A",BK44&lt;TODAY()),TODAY()-BK44,0),IF(AND(ISNUMBER(BI44),BJ44&lt;&gt;"Completed",BJ44&lt;&gt;"N/A",BI44&lt;TODAY()),TODAY()-BI44,0)))</f>
        <v>0</v>
      </c>
      <c r="H44" s="14">
        <v>46274</v>
      </c>
      <c r="I44" s="14">
        <v>46287</v>
      </c>
      <c r="J44" s="15">
        <v>46300</v>
      </c>
      <c r="K44" s="12">
        <f>IF(ISNUMBER(H44),H44,IF(ISNUMBER(M44),M44-WEEKDAY(M44,2)+1-7,""))</f>
        <v>46274</v>
      </c>
      <c r="L44" s="12">
        <f>IF(ISNUMBER(I44),I44,IF(ISNUMBER(H44),WORKDAY(H44,SprintWorkingDays-1),IF(ISNUMBER(K44),WORKDAY(K44,SprintWorkingDays-1),"")))</f>
        <v>46287</v>
      </c>
      <c r="M44" s="12">
        <f>IF(ISNUMBER(J44),J44,IF(ISNUMBER(I44),I44-IF(OR(WEEKDAY(I44,2)=2,WEEKDAY(I44,2)=4),0,IF(WEEKDAY(I44,2)=3,1,IF(WEEKDAY(I44,2)=1,4,WEEKDAY(I44,2)-4))),IF(ISNUMBER(H44),WORKDAY(H44,SprintWorkingDays-1)-IF(OR(WEEKDAY(WORKDAY(H44,SprintWorkingDays-1),2)=2,WEEKDAY(WORKDAY(H44,SprintWorkingDays-1),2)=4),0,IF(WEEKDAY(WORKDAY(H44,SprintWorkingDays-1),2)=3,1,IF(WEEKDAY(WORKDAY(H44,SprintWorkingDays-1),2)=1,4,WEEKDAY(WORKDAY(H44,SprintWorkingDays-1),2)-4))),"")))</f>
        <v>46300</v>
      </c>
      <c r="N44" s="12">
        <f>IF(NOT(ISNUMBER(K44)),"",WORKDAY(K44,ReadyOffsetWD))</f>
        <v>46273</v>
      </c>
      <c r="O44" s="12">
        <f>IF(NOT(ISNUMBER(K44)),"",WORKDAY(K44,SprintReadinessOffsetWD))</f>
        <v>46272</v>
      </c>
      <c r="P44" s="10" t="s">
        <v>107</v>
      </c>
      <c r="Q44" s="12">
        <f>IF(A44="","",IF(V44="N/A",IF(NOT(ISNUMBER(W44)),"",WORKDAY(W44,RTSKOffsetFromOUR_WD)),IF(NOT(ISNUMBER(T44)),"",WORKDAY(T44,RTSKOffsetFromOUR_WD))))</f>
        <v>46262</v>
      </c>
      <c r="R44" s="15"/>
      <c r="S44" s="10"/>
      <c r="T44" s="12">
        <f>IF(OR(A44="",V44="N/A"),"",IF(NOT(ISNUMBER(W44)),"",WORKDAY(W44,OUROffsetFromSR_WD)))</f>
        <v>46266</v>
      </c>
      <c r="U44" s="15"/>
      <c r="V44" s="10"/>
      <c r="W44" s="12">
        <f>IF(OR(A44="",NOT(ISNUMBER(K44))),"",WORKDAY(K44,SROffsetFromStartWD))</f>
        <v>46267</v>
      </c>
      <c r="X44" s="15"/>
      <c r="Y44" s="10"/>
      <c r="Z44" s="10"/>
      <c r="AA44" s="12" t="str">
        <f>IF(OR(Z44="",Z44="N/A"),"",IF(ISNUMBER(Q44),Q44,""))</f>
        <v/>
      </c>
      <c r="AB44" s="15"/>
      <c r="AC44" s="10"/>
      <c r="AD44" s="10"/>
      <c r="AE44" s="10"/>
      <c r="AF44" s="10" t="str">
        <f>IF(Z44="N/A","N/A","")</f>
        <v/>
      </c>
      <c r="AG44" s="12">
        <f>IF(NOT(ISNUMBER(Q44)),"",Q44)</f>
        <v>46262</v>
      </c>
      <c r="AH44" s="15"/>
      <c r="AI44" s="10"/>
      <c r="AJ44" s="12">
        <f>IF(OR(AL44="N/A",NOT(ISNUMBER(T44))),"",T44)</f>
        <v>46266</v>
      </c>
      <c r="AK44" s="15"/>
      <c r="AL44" s="10"/>
      <c r="AM44" s="12">
        <f>IF(NOT(ISNUMBER(W44)),"",W44)</f>
        <v>46267</v>
      </c>
      <c r="AN44" s="15"/>
      <c r="AO44" s="10"/>
      <c r="AP44" s="12" t="str">
        <f>IF(OR(Z44="",Z44="N/A"),"",IF(ISNUMBER(AG44),AG44,""))</f>
        <v/>
      </c>
      <c r="AQ44" s="15"/>
      <c r="AR44" s="10"/>
      <c r="AS44" s="10"/>
      <c r="AT44" s="10"/>
      <c r="AU44" s="12">
        <f>IF(NOT(ISNUMBER(Q44)),"",Q44)</f>
        <v>46262</v>
      </c>
      <c r="AV44" s="15"/>
      <c r="AW44" s="10"/>
      <c r="AX44" s="12">
        <f>IF(OR(AZ44="N/A",NOT(ISNUMBER(T44))),"",T44)</f>
        <v>46266</v>
      </c>
      <c r="AY44" s="15"/>
      <c r="AZ44" s="10"/>
      <c r="BA44" s="12">
        <f>IF(NOT(ISNUMBER(W44)),"",W44)</f>
        <v>46267</v>
      </c>
      <c r="BB44" s="15"/>
      <c r="BC44" s="10"/>
      <c r="BD44" s="12" t="str">
        <f>IF(OR(Z44="",Z44="N/A"),"",IF(ISNUMBER(AU44),AU44,""))</f>
        <v/>
      </c>
      <c r="BE44" s="15"/>
      <c r="BF44" s="10"/>
      <c r="BG44" s="10"/>
      <c r="BH44" s="10"/>
      <c r="BI44" s="12">
        <v>46300</v>
      </c>
      <c r="BJ44" s="10"/>
      <c r="BK44" s="12">
        <f>IF(NOT(ISNUMBER(BI44)),"",IF(WEEKDAY(BI44-CodeReviewCalendarDays,2)&gt;5,BI44-CodeReviewCalendarDays-(WEEKDAY(BI44-CodeReviewCalendarDays,2)-5),BI44-CodeReviewCalendarDays))</f>
        <v>46297</v>
      </c>
      <c r="BL44" s="10"/>
      <c r="BM44" s="12">
        <f>IF(NOT(ISNUMBER(BK44)),"",IF(WEEKDAY(BK44-CodeReviewInviteCalendarDays,2)&gt;5,BK44-CodeReviewInviteCalendarDays-(WEEKDAY(BK44-CodeReviewInviteCalendarDays,2)-5),BK44-CodeReviewInviteCalendarDays))</f>
        <v>46293</v>
      </c>
      <c r="BN44" s="10"/>
      <c r="BO44" s="10"/>
      <c r="BP44" s="16" t="str">
        <f ca="1">IF(A44="","",IF(IF(AND(ISNUMBER(J44),WEEKDAY(J44,2)&lt;&gt;2,WEEKDAY(J44,2)&lt;&gt;4)," | Release must be Tuesday or Thursday","")&amp;IF(AND(ISNUMBER(H44),WEEKDAY(H44,2)&lt;&gt;1)," | Sprint Start is not a Monday - dates still calculated from the date entered","")&amp;IF(AND(A44&lt;&gt;"",NOT(ISNUMBER(H44)),NOT(ISNUMBER(J44)))," | Enter Sprint Start or Release Date","")&amp;IF(AND(ISNUMBER(F44),F44&lt;TODAY(),D44&lt;&gt;"Completed")," | One or more raise-by dates are in the past and not completed","")&amp;IF(AND(ISNUMBER(K44),K44-TODAY()&lt;SprintWarningDays,K44&gt;=TODAY(),OR(D44="Yet to start",D44="Blocked"))," | Sprint starts in under 10 days - raise access requests now","")&amp;IF(AND(ISNUMBER(BM44),BN44&lt;&gt;"Completed",BN44&lt;&gt;"N/A",BM44-TODAY()&lt;CodeReviewInviteCalendarDays)," | Code Review invite should be sent at least 4 days before Code Review","")="","",MID(IF(AND(ISNUMBER(J44),WEEKDAY(J44,2)&lt;&gt;2,WEEKDAY(J44,2)&lt;&gt;4)," | Release must be Tuesday or Thursday","")&amp;IF(AND(ISNUMBER(H44),WEEKDAY(H44,2)&lt;&gt;1)," | Sprint Start is not a Monday - dates still calculated from the date entered","")&amp;IF(AND(A44&lt;&gt;"",NOT(ISNUMBER(H44)),NOT(ISNUMBER(J44)))," | Enter Sprint Start or Release Date","")&amp;IF(AND(ISNUMBER(F44),F44&lt;TODAY(),D44&lt;&gt;"Completed")," | One or more raise-by dates are in the past and not completed","")&amp;IF(AND(ISNUMBER(K44),K44-TODAY()&lt;SprintWarningDays,K44&gt;=TODAY(),OR(D44="Yet to start",D44="Blocked"))," | Sprint starts in under 10 days - raise access requests now","")&amp;IF(AND(ISNUMBER(BM44),BN44&lt;&gt;"Completed",BN44&lt;&gt;"N/A",BM44-TODAY()&lt;CodeReviewInviteCalendarDays)," | Code Review invite should be sent at least 4 days before Code Review",""),4,500)))</f>
        <v>Release must be Tuesday or Thursday | Sprint Start is not a Monday - dates still calculated from the date entered</v>
      </c>
      <c r="BQ44" s="1">
        <f>IF(AND(ISNUMBER(Q44),S44&lt;&gt;"Completed",S44&lt;&gt;"N/A"),Q44,"")</f>
        <v>46262</v>
      </c>
      <c r="BR44" s="1">
        <f>IF(AND(ISNUMBER(T44),V44&lt;&gt;"Completed",V44&lt;&gt;"N/A"),T44,"")</f>
        <v>46266</v>
      </c>
      <c r="BS44" s="1">
        <f>IF(AND(ISNUMBER(W44),Y44&lt;&gt;"Completed",Y44&lt;&gt;"N/A"),W44,"")</f>
        <v>46267</v>
      </c>
      <c r="BT44" s="1" t="str">
        <f>IF(AND(ISNUMBER(AA44),AC44&lt;&gt;"Completed",AC44&lt;&gt;"N/A"),AA44,"")</f>
        <v/>
      </c>
      <c r="BU44" s="1">
        <f>IF(AND(ISNUMBER(AG44),AI44&lt;&gt;"Completed",AI44&lt;&gt;"N/A"),AG44,"")</f>
        <v>46262</v>
      </c>
      <c r="BV44" s="1">
        <f>IF(AND(ISNUMBER(AJ44),AL44&lt;&gt;"Completed",AL44&lt;&gt;"N/A"),AJ44,"")</f>
        <v>46266</v>
      </c>
      <c r="BW44" s="1">
        <f>IF(AND(ISNUMBER(AM44),AO44&lt;&gt;"Completed",AO44&lt;&gt;"N/A"),AM44,"")</f>
        <v>46267</v>
      </c>
      <c r="BX44" s="1" t="str">
        <f>IF(AND(ISNUMBER(AP44),AR44&lt;&gt;"Completed",AR44&lt;&gt;"N/A"),AP44,"")</f>
        <v/>
      </c>
      <c r="BY44" s="1">
        <f>IF(AND(ISNUMBER(AU44),AW44&lt;&gt;"Completed",AW44&lt;&gt;"N/A"),AU44,"")</f>
        <v>46262</v>
      </c>
      <c r="BZ44" s="1">
        <f>IF(AND(ISNUMBER(AX44),AZ44&lt;&gt;"Completed",AZ44&lt;&gt;"N/A"),AX44,"")</f>
        <v>46266</v>
      </c>
      <c r="CA44" s="1">
        <f>IF(AND(ISNUMBER(BA44),BC44&lt;&gt;"Completed",BC44&lt;&gt;"N/A"),BA44,"")</f>
        <v>46267</v>
      </c>
      <c r="CB44" s="1" t="str">
        <f>IF(AND(ISNUMBER(BD44),BF44&lt;&gt;"Completed",BF44&lt;&gt;"N/A"),BD44,"")</f>
        <v/>
      </c>
      <c r="CC44" s="1">
        <f>IF(AND(ISNUMBER(O44),P44&lt;&gt;"Completed",P44&lt;&gt;"N/A"),O44,"")</f>
        <v>46272</v>
      </c>
      <c r="CD44" s="1">
        <f>IF(AND(ISNUMBER(BM44),BN44&lt;&gt;"Completed",BN44&lt;&gt;"N/A"),BM44,"")</f>
        <v>46293</v>
      </c>
      <c r="CE44" s="1">
        <f>IF(AND(ISNUMBER(BK44),BL44&lt;&gt;"Completed",BL44&lt;&gt;"N/A"),BK44,"")</f>
        <v>46297</v>
      </c>
      <c r="CF44" s="1">
        <f>IF(AND(ISNUMBER(BI44),BJ44&lt;&gt;"Completed",BJ44&lt;&gt;"N/A"),BI44,"")</f>
        <v>46300</v>
      </c>
      <c r="CG44" s="1">
        <f ca="1">IF(OR(A44="",D44="Completed"),"",IF(N(G44)&gt;0,1/(N(G44)+ROW()/100000),IF(ISNUMBER(F44),1000+F44+ROW()/100000,TODAY()+400+ROW()/100000)))</f>
        <v>47262.000440000003</v>
      </c>
    </row>
    <row r="45" spans="1:85" ht="15.95" customHeight="1">
      <c r="A45" s="10" t="s">
        <v>149</v>
      </c>
      <c r="B45" s="10" t="s">
        <v>98</v>
      </c>
      <c r="C45" s="10" t="s">
        <v>140</v>
      </c>
      <c r="D45" s="11" t="str">
        <f>IF(A45="","",IF(((S45="Blocked")+(V45="Blocked")+(Y45="Blocked")+(AC45="Blocked")+(AI45="Blocked")+(AL45="Blocked")+(AO45="Blocked")+(AR45="Blocked")+(AW45="Blocked")+(AZ45="Blocked")+(BC45="Blocked")+(BF45="Blocked")+(P45="Blocked")+(BJ45="Blocked")+(BL45="Blocked")+(BN45="Blocked")+(BO45="Blocked"))&gt;0,"Blocked",IF((ISNUMBER(Q45)+ISNUMBER(T45)+ISNUMBER(W45)+ISNUMBER(AA45)+ISNUMBER(AG45)+ISNUMBER(AJ45)+ISNUMBER(AM45)+ISNUMBER(AP45)+ISNUMBER(AU45)+ISNUMBER(AX45)+ISNUMBER(BA45)+ISNUMBER(BD45)+ISNUMBER(O45)+ISNUMBER(BI45)+ISNUMBER(BK45)+ISNUMBER(BM45))=0,"Yet to start",IF(AND(OR(NOT(ISNUMBER(Q45)),S45="Completed",S45="N/A"),OR(NOT(ISNUMBER(T45)),V45="Completed",V45="N/A"),OR(NOT(ISNUMBER(W45)),Y45="Completed",Y45="N/A"),OR(NOT(ISNUMBER(AA45)),AC45="Completed",AC45="N/A"),OR(NOT(ISNUMBER(AG45)),AI45="Completed",AI45="N/A"),OR(NOT(ISNUMBER(AJ45)),AL45="Completed",AL45="N/A"),OR(NOT(ISNUMBER(AM45)),AO45="Completed",AO45="N/A"),OR(NOT(ISNUMBER(AP45)),AR45="Completed",AR45="N/A"),OR(NOT(ISNUMBER(AU45)),AW45="Completed",AW45="N/A"),OR(NOT(ISNUMBER(AX45)),AZ45="Completed",AZ45="N/A"),OR(NOT(ISNUMBER(BA45)),BC45="Completed",BC45="N/A"),OR(NOT(ISNUMBER(BD45)),BF45="Completed",BF45="N/A"),OR(NOT(ISNUMBER(O45)),P45="Completed",P45="N/A"),OR(NOT(ISNUMBER(BI45)),BJ45="Completed",BJ45="N/A"),OR(NOT(ISNUMBER(BK45)),BL45="Completed",BL45="N/A"),OR(NOT(ISNUMBER(BM45)),BN45="Completed",BN45="N/A"),OR(BO45="Completed",BO45="N/A")),"Completed",IF(((S45="In Progress")+(V45="In Progress")+(Y45="In Progress")+(AC45="In Progress")+(AI45="In Progress")+(AL45="In Progress")+(AO45="In Progress")+(AR45="In Progress")+(AW45="In Progress")+(AZ45="In Progress")+(BC45="In Progress")+(BF45="In Progress")+(P45="In Progress")+(BJ45="In Progress")+(BL45="In Progress")+(BN45="In Progress")+(BO45="In Progress"))&gt;0,"In Progress","Yet to start")))))</f>
        <v>Yet to start</v>
      </c>
      <c r="E45" s="11" t="str">
        <f>IF(A45="","",IF(F45="","All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Review","CAB"},MATCH(F45,BQ45:CF45,0))))</f>
        <v>Dev R-Task</v>
      </c>
      <c r="F45" s="12">
        <f>IF(A45="","",IF(COUNT(BQ45:CF45)=0,"",MIN(BQ45:CF45)))</f>
        <v>46262</v>
      </c>
      <c r="G45" s="13">
        <f ca="1">IF(A45="","",MAX(0,IF(AND(ISNUMBER(Q45),S45&lt;&gt;"Completed",S45&lt;&gt;"N/A",Q45&lt;TODAY()),TODAY()-Q45,0),IF(AND(ISNUMBER(T45),V45&lt;&gt;"Completed",V45&lt;&gt;"N/A",T45&lt;TODAY()),TODAY()-T45,0),IF(AND(ISNUMBER(W45),Y45&lt;&gt;"Completed",Y45&lt;&gt;"N/A",W45&lt;TODAY()),TODAY()-W45,0),IF(AND(ISNUMBER(AA45),AC45&lt;&gt;"Completed",AC45&lt;&gt;"N/A",AA45&lt;TODAY()),TODAY()-AA45,0),IF(AND(ISNUMBER(AG45),AI45&lt;&gt;"Completed",AI45&lt;&gt;"N/A",AG45&lt;TODAY()),TODAY()-AG45,0),IF(AND(ISNUMBER(AJ45),AL45&lt;&gt;"Completed",AL45&lt;&gt;"N/A",AJ45&lt;TODAY()),TODAY()-AJ45,0),IF(AND(ISNUMBER(AM45),AO45&lt;&gt;"Completed",AO45&lt;&gt;"N/A",AM45&lt;TODAY()),TODAY()-AM45,0),IF(AND(ISNUMBER(AP45),AR45&lt;&gt;"Completed",AR45&lt;&gt;"N/A",AP45&lt;TODAY()),TODAY()-AP45,0),IF(AND(ISNUMBER(AU45),AW45&lt;&gt;"Completed",AW45&lt;&gt;"N/A",AU45&lt;TODAY()),TODAY()-AU45,0),IF(AND(ISNUMBER(AX45),AZ45&lt;&gt;"Completed",AZ45&lt;&gt;"N/A",AX45&lt;TODAY()),TODAY()-AX45,0),IF(AND(ISNUMBER(BA45),BC45&lt;&gt;"Completed",BC45&lt;&gt;"N/A",BA45&lt;TODAY()),TODAY()-BA45,0),IF(AND(ISNUMBER(BD45),BF45&lt;&gt;"Completed",BF45&lt;&gt;"N/A",BD45&lt;TODAY()),TODAY()-BD45,0),IF(AND(ISNUMBER(O45),P45&lt;&gt;"Completed",P45&lt;&gt;"N/A",O45&lt;TODAY()),TODAY()-O45,0),IF(AND(ISNUMBER(BM45),BN45&lt;&gt;"Completed",BN45&lt;&gt;"N/A",BM45&lt;TODAY()),TODAY()-BM45,0),IF(AND(ISNUMBER(BK45),BL45&lt;&gt;"Completed",BL45&lt;&gt;"N/A",BK45&lt;TODAY()),TODAY()-BK45,0),IF(AND(ISNUMBER(BI45),BJ45&lt;&gt;"Completed",BJ45&lt;&gt;"N/A",BI45&lt;TODAY()),TODAY()-BI45,0)))</f>
        <v>0</v>
      </c>
      <c r="H45" s="14">
        <v>46274</v>
      </c>
      <c r="I45" s="14">
        <v>46287</v>
      </c>
      <c r="J45" s="15">
        <v>46300</v>
      </c>
      <c r="K45" s="12">
        <f>IF(ISNUMBER(H45),H45,IF(ISNUMBER(M45),M45-WEEKDAY(M45,2)+1-7,""))</f>
        <v>46274</v>
      </c>
      <c r="L45" s="12">
        <f>IF(ISNUMBER(I45),I45,IF(ISNUMBER(H45),WORKDAY(H45,SprintWorkingDays-1),IF(ISNUMBER(K45),WORKDAY(K45,SprintWorkingDays-1),"")))</f>
        <v>46287</v>
      </c>
      <c r="M45" s="12">
        <f>IF(ISNUMBER(J45),J45,IF(ISNUMBER(I45),I45-IF(OR(WEEKDAY(I45,2)=2,WEEKDAY(I45,2)=4),0,IF(WEEKDAY(I45,2)=3,1,IF(WEEKDAY(I45,2)=1,4,WEEKDAY(I45,2)-4))),IF(ISNUMBER(H45),WORKDAY(H45,SprintWorkingDays-1)-IF(OR(WEEKDAY(WORKDAY(H45,SprintWorkingDays-1),2)=2,WEEKDAY(WORKDAY(H45,SprintWorkingDays-1),2)=4),0,IF(WEEKDAY(WORKDAY(H45,SprintWorkingDays-1),2)=3,1,IF(WEEKDAY(WORKDAY(H45,SprintWorkingDays-1),2)=1,4,WEEKDAY(WORKDAY(H45,SprintWorkingDays-1),2)-4))),"")))</f>
        <v>46300</v>
      </c>
      <c r="N45" s="12">
        <f>IF(NOT(ISNUMBER(K45)),"",WORKDAY(K45,ReadyOffsetWD))</f>
        <v>46273</v>
      </c>
      <c r="O45" s="12">
        <f>IF(NOT(ISNUMBER(K45)),"",WORKDAY(K45,SprintReadinessOffsetWD))</f>
        <v>46272</v>
      </c>
      <c r="P45" s="10" t="s">
        <v>107</v>
      </c>
      <c r="Q45" s="12">
        <f>IF(A45="","",IF(V45="N/A",IF(NOT(ISNUMBER(W45)),"",WORKDAY(W45,RTSKOffsetFromOUR_WD)),IF(NOT(ISNUMBER(T45)),"",WORKDAY(T45,RTSKOffsetFromOUR_WD))))</f>
        <v>46262</v>
      </c>
      <c r="R45" s="15"/>
      <c r="S45" s="10"/>
      <c r="T45" s="12">
        <f>IF(OR(A45="",V45="N/A"),"",IF(NOT(ISNUMBER(W45)),"",WORKDAY(W45,OUROffsetFromSR_WD)))</f>
        <v>46266</v>
      </c>
      <c r="U45" s="15"/>
      <c r="V45" s="10"/>
      <c r="W45" s="12">
        <f>IF(OR(A45="",NOT(ISNUMBER(K45))),"",WORKDAY(K45,SROffsetFromStartWD))</f>
        <v>46267</v>
      </c>
      <c r="X45" s="15"/>
      <c r="Y45" s="10"/>
      <c r="Z45" s="10"/>
      <c r="AA45" s="12" t="str">
        <f>IF(OR(Z45="",Z45="N/A"),"",IF(ISNUMBER(Q45),Q45,""))</f>
        <v/>
      </c>
      <c r="AB45" s="15"/>
      <c r="AC45" s="10"/>
      <c r="AD45" s="10"/>
      <c r="AE45" s="10"/>
      <c r="AF45" s="10" t="str">
        <f>IF(Z45="N/A","N/A","")</f>
        <v/>
      </c>
      <c r="AG45" s="12">
        <f>IF(NOT(ISNUMBER(Q45)),"",Q45)</f>
        <v>46262</v>
      </c>
      <c r="AH45" s="15"/>
      <c r="AI45" s="10"/>
      <c r="AJ45" s="12">
        <f>IF(OR(AL45="N/A",NOT(ISNUMBER(T45))),"",T45)</f>
        <v>46266</v>
      </c>
      <c r="AK45" s="15"/>
      <c r="AL45" s="10"/>
      <c r="AM45" s="12">
        <f>IF(NOT(ISNUMBER(W45)),"",W45)</f>
        <v>46267</v>
      </c>
      <c r="AN45" s="15"/>
      <c r="AO45" s="10"/>
      <c r="AP45" s="12" t="str">
        <f>IF(OR(Z45="",Z45="N/A"),"",IF(ISNUMBER(AG45),AG45,""))</f>
        <v/>
      </c>
      <c r="AQ45" s="15"/>
      <c r="AR45" s="10"/>
      <c r="AS45" s="10"/>
      <c r="AT45" s="10"/>
      <c r="AU45" s="12">
        <f>IF(NOT(ISNUMBER(Q45)),"",Q45)</f>
        <v>46262</v>
      </c>
      <c r="AV45" s="15"/>
      <c r="AW45" s="10"/>
      <c r="AX45" s="12">
        <f>IF(OR(AZ45="N/A",NOT(ISNUMBER(T45))),"",T45)</f>
        <v>46266</v>
      </c>
      <c r="AY45" s="15"/>
      <c r="AZ45" s="10"/>
      <c r="BA45" s="12">
        <f>IF(NOT(ISNUMBER(W45)),"",W45)</f>
        <v>46267</v>
      </c>
      <c r="BB45" s="15"/>
      <c r="BC45" s="10"/>
      <c r="BD45" s="12" t="str">
        <f>IF(OR(Z45="",Z45="N/A"),"",IF(ISNUMBER(AU45),AU45,""))</f>
        <v/>
      </c>
      <c r="BE45" s="15"/>
      <c r="BF45" s="10"/>
      <c r="BG45" s="10"/>
      <c r="BH45" s="10"/>
      <c r="BI45" s="12">
        <v>46300</v>
      </c>
      <c r="BJ45" s="10"/>
      <c r="BK45" s="12">
        <f>IF(NOT(ISNUMBER(BI45)),"",IF(WEEKDAY(BI45-CodeReviewCalendarDays,2)&gt;5,BI45-CodeReviewCalendarDays-(WEEKDAY(BI45-CodeReviewCalendarDays,2)-5),BI45-CodeReviewCalendarDays))</f>
        <v>46297</v>
      </c>
      <c r="BL45" s="10"/>
      <c r="BM45" s="12">
        <f>IF(NOT(ISNUMBER(BK45)),"",IF(WEEKDAY(BK45-CodeReviewInviteCalendarDays,2)&gt;5,BK45-CodeReviewInviteCalendarDays-(WEEKDAY(BK45-CodeReviewInviteCalendarDays,2)-5),BK45-CodeReviewInviteCalendarDays))</f>
        <v>46293</v>
      </c>
      <c r="BN45" s="10"/>
      <c r="BO45" s="10"/>
      <c r="BP45" s="16" t="str">
        <f ca="1">IF(A45="","",IF(IF(AND(ISNUMBER(J45),WEEKDAY(J45,2)&lt;&gt;2,WEEKDAY(J45,2)&lt;&gt;4)," | Release must be Tuesday or Thursday","")&amp;IF(AND(ISNUMBER(H45),WEEKDAY(H45,2)&lt;&gt;1)," | Sprint Start is not a Monday - dates still calculated from the date entered","")&amp;IF(AND(A45&lt;&gt;"",NOT(ISNUMBER(H45)),NOT(ISNUMBER(J45)))," | Enter Sprint Start or Release Date","")&amp;IF(AND(ISNUMBER(F45),F45&lt;TODAY(),D45&lt;&gt;"Completed")," | One or more raise-by dates are in the past and not completed","")&amp;IF(AND(ISNUMBER(K45),K45-TODAY()&lt;SprintWarningDays,K45&gt;=TODAY(),OR(D45="Yet to start",D45="Blocked"))," | Sprint starts in under 10 days - raise access requests now","")&amp;IF(AND(ISNUMBER(BM45),BN45&lt;&gt;"Completed",BN45&lt;&gt;"N/A",BM45-TODAY()&lt;CodeReviewInviteCalendarDays)," | Code Review invite should be sent at least 4 days before Code Review","")="","",MID(IF(AND(ISNUMBER(J45),WEEKDAY(J45,2)&lt;&gt;2,WEEKDAY(J45,2)&lt;&gt;4)," | Release must be Tuesday or Thursday","")&amp;IF(AND(ISNUMBER(H45),WEEKDAY(H45,2)&lt;&gt;1)," | Sprint Start is not a Monday - dates still calculated from the date entered","")&amp;IF(AND(A45&lt;&gt;"",NOT(ISNUMBER(H45)),NOT(ISNUMBER(J45)))," | Enter Sprint Start or Release Date","")&amp;IF(AND(ISNUMBER(F45),F45&lt;TODAY(),D45&lt;&gt;"Completed")," | One or more raise-by dates are in the past and not completed","")&amp;IF(AND(ISNUMBER(K45),K45-TODAY()&lt;SprintWarningDays,K45&gt;=TODAY(),OR(D45="Yet to start",D45="Blocked"))," | Sprint starts in under 10 days - raise access requests now","")&amp;IF(AND(ISNUMBER(BM45),BN45&lt;&gt;"Completed",BN45&lt;&gt;"N/A",BM45-TODAY()&lt;CodeReviewInviteCalendarDays)," | Code Review invite should be sent at least 4 days before Code Review",""),4,500)))</f>
        <v>Release must be Tuesday or Thursday | Sprint Start is not a Monday - dates still calculated from the date entered</v>
      </c>
      <c r="BQ45" s="1">
        <f>IF(AND(ISNUMBER(Q45),S45&lt;&gt;"Completed",S45&lt;&gt;"N/A"),Q45,"")</f>
        <v>46262</v>
      </c>
      <c r="BR45" s="1">
        <f>IF(AND(ISNUMBER(T45),V45&lt;&gt;"Completed",V45&lt;&gt;"N/A"),T45,"")</f>
        <v>46266</v>
      </c>
      <c r="BS45" s="1">
        <f>IF(AND(ISNUMBER(W45),Y45&lt;&gt;"Completed",Y45&lt;&gt;"N/A"),W45,"")</f>
        <v>46267</v>
      </c>
      <c r="BT45" s="1" t="str">
        <f>IF(AND(ISNUMBER(AA45),AC45&lt;&gt;"Completed",AC45&lt;&gt;"N/A"),AA45,"")</f>
        <v/>
      </c>
      <c r="BU45" s="1">
        <f>IF(AND(ISNUMBER(AG45),AI45&lt;&gt;"Completed",AI45&lt;&gt;"N/A"),AG45,"")</f>
        <v>46262</v>
      </c>
      <c r="BV45" s="1">
        <f>IF(AND(ISNUMBER(AJ45),AL45&lt;&gt;"Completed",AL45&lt;&gt;"N/A"),AJ45,"")</f>
        <v>46266</v>
      </c>
      <c r="BW45" s="1">
        <f>IF(AND(ISNUMBER(AM45),AO45&lt;&gt;"Completed",AO45&lt;&gt;"N/A"),AM45,"")</f>
        <v>46267</v>
      </c>
      <c r="BX45" s="1" t="str">
        <f>IF(AND(ISNUMBER(AP45),AR45&lt;&gt;"Completed",AR45&lt;&gt;"N/A"),AP45,"")</f>
        <v/>
      </c>
      <c r="BY45" s="1">
        <f>IF(AND(ISNUMBER(AU45),AW45&lt;&gt;"Completed",AW45&lt;&gt;"N/A"),AU45,"")</f>
        <v>46262</v>
      </c>
      <c r="BZ45" s="1">
        <f>IF(AND(ISNUMBER(AX45),AZ45&lt;&gt;"Completed",AZ45&lt;&gt;"N/A"),AX45,"")</f>
        <v>46266</v>
      </c>
      <c r="CA45" s="1">
        <f>IF(AND(ISNUMBER(BA45),BC45&lt;&gt;"Completed",BC45&lt;&gt;"N/A"),BA45,"")</f>
        <v>46267</v>
      </c>
      <c r="CB45" s="1" t="str">
        <f>IF(AND(ISNUMBER(BD45),BF45&lt;&gt;"Completed",BF45&lt;&gt;"N/A"),BD45,"")</f>
        <v/>
      </c>
      <c r="CC45" s="1">
        <f>IF(AND(ISNUMBER(O45),P45&lt;&gt;"Completed",P45&lt;&gt;"N/A"),O45,"")</f>
        <v>46272</v>
      </c>
      <c r="CD45" s="1">
        <f>IF(AND(ISNUMBER(BM45),BN45&lt;&gt;"Completed",BN45&lt;&gt;"N/A"),BM45,"")</f>
        <v>46293</v>
      </c>
      <c r="CE45" s="1">
        <f>IF(AND(ISNUMBER(BK45),BL45&lt;&gt;"Completed",BL45&lt;&gt;"N/A"),BK45,"")</f>
        <v>46297</v>
      </c>
      <c r="CF45" s="1">
        <f>IF(AND(ISNUMBER(BI45),BJ45&lt;&gt;"Completed",BJ45&lt;&gt;"N/A"),BI45,"")</f>
        <v>46300</v>
      </c>
      <c r="CG45" s="1">
        <f ca="1">IF(OR(A45="",D45="Completed"),"",IF(N(G45)&gt;0,1/(N(G45)+ROW()/100000),IF(ISNUMBER(F45),1000+F45+ROW()/100000,TODAY()+400+ROW()/100000)))</f>
        <v>47262.00045</v>
      </c>
    </row>
    <row r="46" spans="1:85">
      <c r="A46" s="17"/>
      <c r="B46" s="17"/>
      <c r="C46" s="17"/>
      <c r="D46" s="18" t="str">
        <f>IF(A46="","",IF(((S46="Blocked")+(V46="Blocked")+(Y46="Blocked")+(AC46="Blocked")+(AI46="Blocked")+(AL46="Blocked")+(AO46="Blocked")+(AR46="Blocked")+(AW46="Blocked")+(AZ46="Blocked")+(BC46="Blocked")+(BF46="Blocked")+(P46="Blocked")+(BJ46="Blocked")+(BL46="Blocked")+(BN46="Blocked")+(BO46="Blocked"))&gt;0,"Blocked",IF((ISNUMBER(Q46)+ISNUMBER(T46)+ISNUMBER(W46)+ISNUMBER(AA46)+ISNUMBER(AG46)+ISNUMBER(AJ46)+ISNUMBER(AM46)+ISNUMBER(AP46)+ISNUMBER(AU46)+ISNUMBER(AX46)+ISNUMBER(BA46)+ISNUMBER(BD46)+ISNUMBER(O46)+ISNUMBER(BI46)+ISNUMBER(BK46)+ISNUMBER(BM46))=0,"Yet to start",IF(AND(OR(NOT(ISNUMBER(Q46)),S46="Completed",S46="N/A"),OR(NOT(ISNUMBER(T46)),V46="Completed",V46="N/A"),OR(NOT(ISNUMBER(W46)),Y46="Completed",Y46="N/A"),OR(NOT(ISNUMBER(AA46)),AC46="Completed",AC46="N/A"),OR(NOT(ISNUMBER(AG46)),AI46="Completed",AI46="N/A"),OR(NOT(ISNUMBER(AJ46)),AL46="Completed",AL46="N/A"),OR(NOT(ISNUMBER(AM46)),AO46="Completed",AO46="N/A"),OR(NOT(ISNUMBER(AP46)),AR46="Completed",AR46="N/A"),OR(NOT(ISNUMBER(AU46)),AW46="Completed",AW46="N/A"),OR(NOT(ISNUMBER(AX46)),AZ46="Completed",AZ46="N/A"),OR(NOT(ISNUMBER(BA46)),BC46="Completed",BC46="N/A"),OR(NOT(ISNUMBER(BD46)),BF46="Completed",BF46="N/A"),OR(NOT(ISNUMBER(O46)),P46="Completed",P46="N/A"),OR(NOT(ISNUMBER(BI46)),BJ46="Completed",BJ46="N/A"),OR(NOT(ISNUMBER(BK46)),BL46="Completed",BL46="N/A"),OR(NOT(ISNUMBER(BM46)),BN46="Completed",BN46="N/A"),OR(BO46="Completed",BO46="N/A")),"Completed",IF(((S46="In Progress")+(V46="In Progress")+(Y46="In Progress")+(AC46="In Progress")+(AI46="In Progress")+(AL46="In Progress")+(AO46="In Progress")+(AR46="In Progress")+(AW46="In Progress")+(AZ46="In Progress")+(BC46="In Progress")+(BF46="In Progress")+(P46="In Progress")+(BJ46="In Progress")+(BL46="In Progress")+(BN46="In Progress")+(BO46="In Progress"))&gt;0,"In Progress","Yet to start")))))</f>
        <v/>
      </c>
      <c r="E46" s="18" t="str">
        <f>IF(A46="","",IF(F46="","All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Review","CAB"},MATCH(F46,BQ46:CF46,0))))</f>
        <v/>
      </c>
      <c r="F46" s="19" t="str">
        <f>IF(A46="","",IF(COUNT(BQ46:CF46)=0,"",MIN(BQ46:CF46)))</f>
        <v/>
      </c>
      <c r="G46" s="18" t="str">
        <f ca="1">IF(A46="","",MAX(0,IF(AND(ISNUMBER(Q46),S46&lt;&gt;"Completed",S46&lt;&gt;"N/A",Q46&lt;TODAY()),TODAY()-Q46,0),IF(AND(ISNUMBER(T46),V46&lt;&gt;"Completed",V46&lt;&gt;"N/A",T46&lt;TODAY()),TODAY()-T46,0),IF(AND(ISNUMBER(W46),Y46&lt;&gt;"Completed",Y46&lt;&gt;"N/A",W46&lt;TODAY()),TODAY()-W46,0),IF(AND(ISNUMBER(AA46),AC46&lt;&gt;"Completed",AC46&lt;&gt;"N/A",AA46&lt;TODAY()),TODAY()-AA46,0),IF(AND(ISNUMBER(AG46),AI46&lt;&gt;"Completed",AI46&lt;&gt;"N/A",AG46&lt;TODAY()),TODAY()-AG46,0),IF(AND(ISNUMBER(AJ46),AL46&lt;&gt;"Completed",AL46&lt;&gt;"N/A",AJ46&lt;TODAY()),TODAY()-AJ46,0),IF(AND(ISNUMBER(AM46),AO46&lt;&gt;"Completed",AO46&lt;&gt;"N/A",AM46&lt;TODAY()),TODAY()-AM46,0),IF(AND(ISNUMBER(AP46),AR46&lt;&gt;"Completed",AR46&lt;&gt;"N/A",AP46&lt;TODAY()),TODAY()-AP46,0),IF(AND(ISNUMBER(AU46),AW46&lt;&gt;"Completed",AW46&lt;&gt;"N/A",AU46&lt;TODAY()),TODAY()-AU46,0),IF(AND(ISNUMBER(AX46),AZ46&lt;&gt;"Completed",AZ46&lt;&gt;"N/A",AX46&lt;TODAY()),TODAY()-AX46,0),IF(AND(ISNUMBER(BA46),BC46&lt;&gt;"Completed",BC46&lt;&gt;"N/A",BA46&lt;TODAY()),TODAY()-BA46,0),IF(AND(ISNUMBER(BD46),BF46&lt;&gt;"Completed",BF46&lt;&gt;"N/A",BD46&lt;TODAY()),TODAY()-BD46,0),IF(AND(ISNUMBER(O46),P46&lt;&gt;"Completed",P46&lt;&gt;"N/A",O46&lt;TODAY()),TODAY()-O46,0),IF(AND(ISNUMBER(BM46),BN46&lt;&gt;"Completed",BN46&lt;&gt;"N/A",BM46&lt;TODAY()),TODAY()-BM46,0),IF(AND(ISNUMBER(BK46),BL46&lt;&gt;"Completed",BL46&lt;&gt;"N/A",BK46&lt;TODAY()),TODAY()-BK46,0),IF(AND(ISNUMBER(BI46),BJ46&lt;&gt;"Completed",BJ46&lt;&gt;"N/A",BI46&lt;TODAY()),TODAY()-BI46,0)))</f>
        <v/>
      </c>
      <c r="H46" s="17"/>
      <c r="I46" s="17"/>
      <c r="J46" s="17"/>
      <c r="K46" s="19" t="str">
        <f>IF(ISNUMBER(H46),H46,IF(ISNUMBER(M46),M46-WEEKDAY(M46,2)+1-7,""))</f>
        <v/>
      </c>
      <c r="L46" s="19" t="str">
        <f>IF(ISNUMBER(I46),I46,IF(ISNUMBER(H46),WORKDAY(H46,SprintWorkingDays-1),IF(ISNUMBER(K46),WORKDAY(K46,SprintWorkingDays-1),"")))</f>
        <v/>
      </c>
      <c r="M46" s="19" t="str">
        <f>IF(ISNUMBER(J46),J46,IF(ISNUMBER(I46),I46-IF(OR(WEEKDAY(I46,2)=2,WEEKDAY(I46,2)=4),0,IF(WEEKDAY(I46,2)=3,1,IF(WEEKDAY(I46,2)=1,4,WEEKDAY(I46,2)-4))),IF(ISNUMBER(H46),WORKDAY(H46,SprintWorkingDays-1)-IF(OR(WEEKDAY(WORKDAY(H46,SprintWorkingDays-1),2)=2,WEEKDAY(WORKDAY(H46,SprintWorkingDays-1),2)=4),0,IF(WEEKDAY(WORKDAY(H46,SprintWorkingDays-1),2)=3,1,IF(WEEKDAY(WORKDAY(H46,SprintWorkingDays-1),2)=1,4,WEEKDAY(WORKDAY(H46,SprintWorkingDays-1),2)-4))),"")))</f>
        <v/>
      </c>
      <c r="N46" s="19" t="str">
        <f>IF(NOT(ISNUMBER(K46)),"",WORKDAY(K46,ReadyOffsetWD))</f>
        <v/>
      </c>
      <c r="O46" s="19" t="str">
        <f>IF(NOT(ISNUMBER(K46)),"",WORKDAY(K46,SprintReadinessOffsetWD))</f>
        <v/>
      </c>
      <c r="P46" s="17"/>
      <c r="Q46" s="19" t="str">
        <f>IF(A46="","",IF(V46="N/A",IF(NOT(ISNUMBER(W46)),"",WORKDAY(W46,RTSKOffsetFromOUR_WD)),IF(NOT(ISNUMBER(T46)),"",WORKDAY(T46,RTSKOffsetFromOUR_WD))))</f>
        <v/>
      </c>
      <c r="R46" s="17"/>
      <c r="S46" s="17"/>
      <c r="T46" s="19" t="str">
        <f>IF(OR(A46="",V46="N/A"),"",IF(NOT(ISNUMBER(W46)),"",WORKDAY(W46,OUROffsetFromSR_WD)))</f>
        <v/>
      </c>
      <c r="U46" s="17"/>
      <c r="V46" s="17"/>
      <c r="W46" s="19" t="str">
        <f>IF(OR(A46="",NOT(ISNUMBER(K46))),"",WORKDAY(K46,SROffsetFromStartWD))</f>
        <v/>
      </c>
      <c r="X46" s="17"/>
      <c r="Y46" s="17"/>
      <c r="Z46" s="17"/>
      <c r="AA46" s="19" t="str">
        <f>IF(OR(Z46="",Z46="N/A"),"",IF(ISNUMBER(Q46),Q46,""))</f>
        <v/>
      </c>
      <c r="AB46" s="17"/>
      <c r="AC46" s="17"/>
      <c r="AD46" s="17"/>
      <c r="AE46" s="17"/>
      <c r="AF46" s="17" t="str">
        <f>IF(Z46="N/A","N/A","")</f>
        <v/>
      </c>
      <c r="AG46" s="19" t="str">
        <f>IF(NOT(ISNUMBER(Q46)),"",Q46)</f>
        <v/>
      </c>
      <c r="AH46" s="17"/>
      <c r="AI46" s="17"/>
      <c r="AJ46" s="19" t="str">
        <f>IF(OR(AL46="N/A",NOT(ISNUMBER(T46))),"",T46)</f>
        <v/>
      </c>
      <c r="AK46" s="17"/>
      <c r="AL46" s="17"/>
      <c r="AM46" s="19" t="str">
        <f>IF(NOT(ISNUMBER(W46)),"",W46)</f>
        <v/>
      </c>
      <c r="AN46" s="17"/>
      <c r="AO46" s="17"/>
      <c r="AP46" s="19" t="str">
        <f>IF(OR(Z46="",Z46="N/A"),"",IF(ISNUMBER(AG46),AG46,""))</f>
        <v/>
      </c>
      <c r="AQ46" s="17"/>
      <c r="AR46" s="17"/>
      <c r="AS46" s="17"/>
      <c r="AT46" s="17"/>
      <c r="AU46" s="19" t="str">
        <f>IF(NOT(ISNUMBER(Q46)),"",Q46)</f>
        <v/>
      </c>
      <c r="AV46" s="17"/>
      <c r="AW46" s="17"/>
      <c r="AX46" s="19" t="str">
        <f>IF(OR(AZ46="N/A",NOT(ISNUMBER(T46))),"",T46)</f>
        <v/>
      </c>
      <c r="AY46" s="17"/>
      <c r="AZ46" s="17"/>
      <c r="BA46" s="19" t="str">
        <f>IF(NOT(ISNUMBER(W46)),"",W46)</f>
        <v/>
      </c>
      <c r="BB46" s="17"/>
      <c r="BC46" s="17"/>
      <c r="BD46" s="19" t="str">
        <f>IF(OR(Z46="",Z46="N/A"),"",IF(ISNUMBER(AU46),AU46,""))</f>
        <v/>
      </c>
      <c r="BE46" s="17"/>
      <c r="BF46" s="17"/>
      <c r="BG46" s="17"/>
      <c r="BH46" s="17"/>
      <c r="BI46" s="89" t="e">
        <f>IF(OR(A46="",NOT(ISNUMBER(M46)),AND(WEEKDAY(M46,2)&lt;&gt;2,WEEKDAY(M46,2)&lt;&gt;4)),"",WORKDAY(M46,CABOffsetFromReleaseWD))</f>
        <v>#VALUE!</v>
      </c>
      <c r="BJ46" s="17"/>
      <c r="BK46" s="19" t="str">
        <f>IF(NOT(ISNUMBER(BI46)),"",IF(WEEKDAY(BI46-CodeReviewCalendarDays,2)&gt;5,BI46-CodeReviewCalendarDays-(WEEKDAY(BI46-CodeReviewCalendarDays,2)-5),BI46-CodeReviewCalendarDays))</f>
        <v/>
      </c>
      <c r="BL46" s="17"/>
      <c r="BM46" s="19" t="str">
        <f>IF(NOT(ISNUMBER(BK46)),"",IF(WEEKDAY(BK46-CodeReviewInviteCalendarDays,2)&gt;5,BK46-CodeReviewInviteCalendarDays-(WEEKDAY(BK46-CodeReviewInviteCalendarDays,2)-5),BK46-CodeReviewInviteCalendarDays))</f>
        <v/>
      </c>
      <c r="BN46" s="17"/>
      <c r="BO46" s="17"/>
      <c r="BP46" s="18" t="str">
        <f ca="1">IF(A46="","",IF(IF(AND(ISNUMBER(J46),WEEKDAY(J46,2)&lt;&gt;2,WEEKDAY(J46,2)&lt;&gt;4)," | Release must be Tuesday or Thursday","")&amp;IF(AND(ISNUMBER(H46),WEEKDAY(H46,2)&lt;&gt;1)," | Sprint Start is not a Monday - dates still calculated from the date entered","")&amp;IF(AND(A46&lt;&gt;"",NOT(ISNUMBER(H46)),NOT(ISNUMBER(J46)))," | Enter Sprint Start or Release Date","")&amp;IF(AND(ISNUMBER(F46),F46&lt;TODAY(),D46&lt;&gt;"Completed")," | One or more raise-by dates are in the past and not completed","")&amp;IF(AND(ISNUMBER(K46),K46-TODAY()&lt;SprintWarningDays,K46&gt;=TODAY(),OR(D46="Yet to start",D46="Blocked"))," | Sprint starts in under 10 days - raise access requests now","")&amp;IF(AND(ISNUMBER(BM46),BN46&lt;&gt;"Completed",BN46&lt;&gt;"N/A",BM46-TODAY()&lt;CodeReviewInviteCalendarDays)," | Code Review invite should be sent at least 4 days before Code Review","")="","",MID(IF(AND(ISNUMBER(J46),WEEKDAY(J46,2)&lt;&gt;2,WEEKDAY(J46,2)&lt;&gt;4)," | Release must be Tuesday or Thursday","")&amp;IF(AND(ISNUMBER(H46),WEEKDAY(H46,2)&lt;&gt;1)," | Sprint Start is not a Monday - dates still calculated from the date entered","")&amp;IF(AND(A46&lt;&gt;"",NOT(ISNUMBER(H46)),NOT(ISNUMBER(J46)))," | Enter Sprint Start or Release Date","")&amp;IF(AND(ISNUMBER(F46),F46&lt;TODAY(),D46&lt;&gt;"Completed")," | One or more raise-by dates are in the past and not completed","")&amp;IF(AND(ISNUMBER(K46),K46-TODAY()&lt;SprintWarningDays,K46&gt;=TODAY(),OR(D46="Yet to start",D46="Blocked"))," | Sprint starts in under 10 days - raise access requests now","")&amp;IF(AND(ISNUMBER(BM46),BN46&lt;&gt;"Completed",BN46&lt;&gt;"N/A",BM46-TODAY()&lt;CodeReviewInviteCalendarDays)," | Code Review invite should be sent at least 4 days before Code Review",""),4,500)))</f>
        <v/>
      </c>
      <c r="BQ46" s="85" t="str">
        <f>IF(AND(ISNUMBER(Q46),S46&lt;&gt;"Completed",S46&lt;&gt;"N/A"),Q46,"")</f>
        <v/>
      </c>
      <c r="BR46" s="85" t="str">
        <f>IF(AND(ISNUMBER(T46),V46&lt;&gt;"Completed",V46&lt;&gt;"N/A"),T46,"")</f>
        <v/>
      </c>
      <c r="BS46" s="85" t="str">
        <f>IF(AND(ISNUMBER(W46),Y46&lt;&gt;"Completed",Y46&lt;&gt;"N/A"),W46,"")</f>
        <v/>
      </c>
      <c r="BT46" s="85" t="str">
        <f>IF(AND(ISNUMBER(AA46),AC46&lt;&gt;"Completed",AC46&lt;&gt;"N/A"),AA46,"")</f>
        <v/>
      </c>
      <c r="BU46" s="85" t="str">
        <f>IF(AND(ISNUMBER(AG46),AI46&lt;&gt;"Completed",AI46&lt;&gt;"N/A"),AG46,"")</f>
        <v/>
      </c>
      <c r="BV46" s="85" t="str">
        <f>IF(AND(ISNUMBER(AJ46),AL46&lt;&gt;"Completed",AL46&lt;&gt;"N/A"),AJ46,"")</f>
        <v/>
      </c>
      <c r="BW46" s="85" t="str">
        <f>IF(AND(ISNUMBER(AM46),AO46&lt;&gt;"Completed",AO46&lt;&gt;"N/A"),AM46,"")</f>
        <v/>
      </c>
      <c r="BX46" s="85" t="str">
        <f>IF(AND(ISNUMBER(AP46),AR46&lt;&gt;"Completed",AR46&lt;&gt;"N/A"),AP46,"")</f>
        <v/>
      </c>
      <c r="BY46" s="85" t="str">
        <f>IF(AND(ISNUMBER(AU46),AW46&lt;&gt;"Completed",AW46&lt;&gt;"N/A"),AU46,"")</f>
        <v/>
      </c>
      <c r="BZ46" s="85" t="str">
        <f>IF(AND(ISNUMBER(AX46),AZ46&lt;&gt;"Completed",AZ46&lt;&gt;"N/A"),AX46,"")</f>
        <v/>
      </c>
      <c r="CA46" s="85" t="str">
        <f>IF(AND(ISNUMBER(BA46),BC46&lt;&gt;"Completed",BC46&lt;&gt;"N/A"),BA46,"")</f>
        <v/>
      </c>
      <c r="CB46" s="85" t="str">
        <f>IF(AND(ISNUMBER(BD46),BF46&lt;&gt;"Completed",BF46&lt;&gt;"N/A"),BD46,"")</f>
        <v/>
      </c>
      <c r="CC46" s="85" t="str">
        <f>IF(AND(ISNUMBER(O46),P46&lt;&gt;"Completed",P46&lt;&gt;"N/A"),O46,"")</f>
        <v/>
      </c>
      <c r="CD46" s="85" t="str">
        <f>IF(AND(ISNUMBER(BM46),BN46&lt;&gt;"Completed",BN46&lt;&gt;"N/A"),BM46,"")</f>
        <v/>
      </c>
      <c r="CE46" s="85" t="str">
        <f>IF(AND(ISNUMBER(BK46),BL46&lt;&gt;"Completed",BL46&lt;&gt;"N/A"),BK46,"")</f>
        <v/>
      </c>
      <c r="CF46" s="85" t="str">
        <f>IF(AND(ISNUMBER(BI46),BJ46&lt;&gt;"Completed",BJ46&lt;&gt;"N/A"),BI46,"")</f>
        <v/>
      </c>
      <c r="CG46" s="85" t="str">
        <f ca="1">IF(OR(A46="",D46="Completed"),"",IF(N(G46)&gt;0,1/(N(G46)+ROW()/100000),IF(ISNUMBER(F46),1000+F46+ROW()/100000,TODAY()+400+ROW()/100000)))</f>
        <v/>
      </c>
    </row>
    <row r="47" spans="1:85">
      <c r="A47" s="17"/>
      <c r="B47" s="17"/>
      <c r="C47" s="17"/>
      <c r="D47" s="18" t="str">
        <f>IF(A47="","",IF(((S47="Blocked")+(V47="Blocked")+(Y47="Blocked")+(AC47="Blocked")+(AI47="Blocked")+(AL47="Blocked")+(AO47="Blocked")+(AR47="Blocked")+(AW47="Blocked")+(AZ47="Blocked")+(BC47="Blocked")+(BF47="Blocked")+(P47="Blocked")+(BJ47="Blocked")+(BL47="Blocked")+(BN47="Blocked")+(BO47="Blocked"))&gt;0,"Blocked",IF((ISNUMBER(Q47)+ISNUMBER(T47)+ISNUMBER(W47)+ISNUMBER(AA47)+ISNUMBER(AG47)+ISNUMBER(AJ47)+ISNUMBER(AM47)+ISNUMBER(AP47)+ISNUMBER(AU47)+ISNUMBER(AX47)+ISNUMBER(BA47)+ISNUMBER(BD47)+ISNUMBER(O47)+ISNUMBER(BI47)+ISNUMBER(BK47)+ISNUMBER(BM47))=0,"Yet to start",IF(AND(OR(NOT(ISNUMBER(Q47)),S47="Completed",S47="N/A"),OR(NOT(ISNUMBER(T47)),V47="Completed",V47="N/A"),OR(NOT(ISNUMBER(W47)),Y47="Completed",Y47="N/A"),OR(NOT(ISNUMBER(AA47)),AC47="Completed",AC47="N/A"),OR(NOT(ISNUMBER(AG47)),AI47="Completed",AI47="N/A"),OR(NOT(ISNUMBER(AJ47)),AL47="Completed",AL47="N/A"),OR(NOT(ISNUMBER(AM47)),AO47="Completed",AO47="N/A"),OR(NOT(ISNUMBER(AP47)),AR47="Completed",AR47="N/A"),OR(NOT(ISNUMBER(AU47)),AW47="Completed",AW47="N/A"),OR(NOT(ISNUMBER(AX47)),AZ47="Completed",AZ47="N/A"),OR(NOT(ISNUMBER(BA47)),BC47="Completed",BC47="N/A"),OR(NOT(ISNUMBER(BD47)),BF47="Completed",BF47="N/A"),OR(NOT(ISNUMBER(O47)),P47="Completed",P47="N/A"),OR(NOT(ISNUMBER(BI47)),BJ47="Completed",BJ47="N/A"),OR(NOT(ISNUMBER(BK47)),BL47="Completed",BL47="N/A"),OR(NOT(ISNUMBER(BM47)),BN47="Completed",BN47="N/A"),OR(BO47="Completed",BO47="N/A")),"Completed",IF(((S47="In Progress")+(V47="In Progress")+(Y47="In Progress")+(AC47="In Progress")+(AI47="In Progress")+(AL47="In Progress")+(AO47="In Progress")+(AR47="In Progress")+(AW47="In Progress")+(AZ47="In Progress")+(BC47="In Progress")+(BF47="In Progress")+(P47="In Progress")+(BJ47="In Progress")+(BL47="In Progress")+(BN47="In Progress")+(BO47="In Progress"))&gt;0,"In Progress","Yet to start")))))</f>
        <v/>
      </c>
      <c r="E47" s="18" t="str">
        <f>IF(A47="","",IF(F47="","All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Review","CAB"},MATCH(F47,BQ47:CF47,0))))</f>
        <v/>
      </c>
      <c r="F47" s="19" t="str">
        <f>IF(A47="","",IF(COUNT(BQ47:CF47)=0,"",MIN(BQ47:CF47)))</f>
        <v/>
      </c>
      <c r="G47" s="18" t="str">
        <f ca="1">IF(A47="","",MAX(0,IF(AND(ISNUMBER(Q47),S47&lt;&gt;"Completed",S47&lt;&gt;"N/A",Q47&lt;TODAY()),TODAY()-Q47,0),IF(AND(ISNUMBER(T47),V47&lt;&gt;"Completed",V47&lt;&gt;"N/A",T47&lt;TODAY()),TODAY()-T47,0),IF(AND(ISNUMBER(W47),Y47&lt;&gt;"Completed",Y47&lt;&gt;"N/A",W47&lt;TODAY()),TODAY()-W47,0),IF(AND(ISNUMBER(AA47),AC47&lt;&gt;"Completed",AC47&lt;&gt;"N/A",AA47&lt;TODAY()),TODAY()-AA47,0),IF(AND(ISNUMBER(AG47),AI47&lt;&gt;"Completed",AI47&lt;&gt;"N/A",AG47&lt;TODAY()),TODAY()-AG47,0),IF(AND(ISNUMBER(AJ47),AL47&lt;&gt;"Completed",AL47&lt;&gt;"N/A",AJ47&lt;TODAY()),TODAY()-AJ47,0),IF(AND(ISNUMBER(AM47),AO47&lt;&gt;"Completed",AO47&lt;&gt;"N/A",AM47&lt;TODAY()),TODAY()-AM47,0),IF(AND(ISNUMBER(AP47),AR47&lt;&gt;"Completed",AR47&lt;&gt;"N/A",AP47&lt;TODAY()),TODAY()-AP47,0),IF(AND(ISNUMBER(AU47),AW47&lt;&gt;"Completed",AW47&lt;&gt;"N/A",AU47&lt;TODAY()),TODAY()-AU47,0),IF(AND(ISNUMBER(AX47),AZ47&lt;&gt;"Completed",AZ47&lt;&gt;"N/A",AX47&lt;TODAY()),TODAY()-AX47,0),IF(AND(ISNUMBER(BA47),BC47&lt;&gt;"Completed",BC47&lt;&gt;"N/A",BA47&lt;TODAY()),TODAY()-BA47,0),IF(AND(ISNUMBER(BD47),BF47&lt;&gt;"Completed",BF47&lt;&gt;"N/A",BD47&lt;TODAY()),TODAY()-BD47,0),IF(AND(ISNUMBER(O47),P47&lt;&gt;"Completed",P47&lt;&gt;"N/A",O47&lt;TODAY()),TODAY()-O47,0),IF(AND(ISNUMBER(BM47),BN47&lt;&gt;"Completed",BN47&lt;&gt;"N/A",BM47&lt;TODAY()),TODAY()-BM47,0),IF(AND(ISNUMBER(BK47),BL47&lt;&gt;"Completed",BL47&lt;&gt;"N/A",BK47&lt;TODAY()),TODAY()-BK47,0),IF(AND(ISNUMBER(BI47),BJ47&lt;&gt;"Completed",BJ47&lt;&gt;"N/A",BI47&lt;TODAY()),TODAY()-BI47,0)))</f>
        <v/>
      </c>
      <c r="H47" s="17"/>
      <c r="I47" s="17"/>
      <c r="J47" s="17"/>
      <c r="K47" s="19" t="str">
        <f>IF(ISNUMBER(H47),H47,IF(ISNUMBER(M47),M47-WEEKDAY(M47,2)+1-7,""))</f>
        <v/>
      </c>
      <c r="L47" s="19" t="str">
        <f>IF(ISNUMBER(I47),I47,IF(ISNUMBER(H47),WORKDAY(H47,SprintWorkingDays-1),IF(ISNUMBER(K47),WORKDAY(K47,SprintWorkingDays-1),"")))</f>
        <v/>
      </c>
      <c r="M47" s="19" t="str">
        <f>IF(ISNUMBER(J47),J47,IF(ISNUMBER(I47),I47-IF(OR(WEEKDAY(I47,2)=2,WEEKDAY(I47,2)=4),0,IF(WEEKDAY(I47,2)=3,1,IF(WEEKDAY(I47,2)=1,4,WEEKDAY(I47,2)-4))),IF(ISNUMBER(H47),WORKDAY(H47,SprintWorkingDays-1)-IF(OR(WEEKDAY(WORKDAY(H47,SprintWorkingDays-1),2)=2,WEEKDAY(WORKDAY(H47,SprintWorkingDays-1),2)=4),0,IF(WEEKDAY(WORKDAY(H47,SprintWorkingDays-1),2)=3,1,IF(WEEKDAY(WORKDAY(H47,SprintWorkingDays-1),2)=1,4,WEEKDAY(WORKDAY(H47,SprintWorkingDays-1),2)-4))),"")))</f>
        <v/>
      </c>
      <c r="N47" s="19" t="str">
        <f>IF(NOT(ISNUMBER(K47)),"",WORKDAY(K47,ReadyOffsetWD))</f>
        <v/>
      </c>
      <c r="O47" s="19" t="str">
        <f>IF(NOT(ISNUMBER(K47)),"",WORKDAY(K47,SprintReadinessOffsetWD))</f>
        <v/>
      </c>
      <c r="P47" s="17"/>
      <c r="Q47" s="19" t="str">
        <f>IF(A47="","",IF(V47="N/A",IF(NOT(ISNUMBER(W47)),"",WORKDAY(W47,RTSKOffsetFromOUR_WD)),IF(NOT(ISNUMBER(T47)),"",WORKDAY(T47,RTSKOffsetFromOUR_WD))))</f>
        <v/>
      </c>
      <c r="R47" s="17"/>
      <c r="S47" s="17"/>
      <c r="T47" s="19" t="str">
        <f>IF(OR(A47="",V47="N/A"),"",IF(NOT(ISNUMBER(W47)),"",WORKDAY(W47,OUROffsetFromSR_WD)))</f>
        <v/>
      </c>
      <c r="U47" s="17"/>
      <c r="V47" s="17"/>
      <c r="W47" s="19" t="str">
        <f>IF(OR(A47="",NOT(ISNUMBER(K47))),"",WORKDAY(K47,SROffsetFromStartWD))</f>
        <v/>
      </c>
      <c r="X47" s="17"/>
      <c r="Y47" s="17"/>
      <c r="Z47" s="17"/>
      <c r="AA47" s="19" t="str">
        <f>IF(OR(Z47="",Z47="N/A"),"",IF(ISNUMBER(Q47),Q47,""))</f>
        <v/>
      </c>
      <c r="AB47" s="17"/>
      <c r="AC47" s="17"/>
      <c r="AD47" s="17"/>
      <c r="AE47" s="17"/>
      <c r="AF47" s="17" t="str">
        <f>IF(Z47="N/A","N/A","")</f>
        <v/>
      </c>
      <c r="AG47" s="19" t="str">
        <f>IF(NOT(ISNUMBER(Q47)),"",Q47)</f>
        <v/>
      </c>
      <c r="AH47" s="17"/>
      <c r="AI47" s="17"/>
      <c r="AJ47" s="19" t="str">
        <f>IF(OR(AL47="N/A",NOT(ISNUMBER(T47))),"",T47)</f>
        <v/>
      </c>
      <c r="AK47" s="17"/>
      <c r="AL47" s="17"/>
      <c r="AM47" s="19" t="str">
        <f>IF(NOT(ISNUMBER(W47)),"",W47)</f>
        <v/>
      </c>
      <c r="AN47" s="17"/>
      <c r="AO47" s="17"/>
      <c r="AP47" s="19" t="str">
        <f>IF(OR(Z47="",Z47="N/A"),"",IF(ISNUMBER(AG47),AG47,""))</f>
        <v/>
      </c>
      <c r="AQ47" s="17"/>
      <c r="AR47" s="17"/>
      <c r="AS47" s="17"/>
      <c r="AT47" s="17"/>
      <c r="AU47" s="19" t="str">
        <f>IF(NOT(ISNUMBER(Q47)),"",Q47)</f>
        <v/>
      </c>
      <c r="AV47" s="17"/>
      <c r="AW47" s="17"/>
      <c r="AX47" s="19" t="str">
        <f>IF(OR(AZ47="N/A",NOT(ISNUMBER(T47))),"",T47)</f>
        <v/>
      </c>
      <c r="AY47" s="17"/>
      <c r="AZ47" s="17"/>
      <c r="BA47" s="19" t="str">
        <f>IF(NOT(ISNUMBER(W47)),"",W47)</f>
        <v/>
      </c>
      <c r="BB47" s="17"/>
      <c r="BC47" s="17"/>
      <c r="BD47" s="19" t="str">
        <f>IF(OR(Z47="",Z47="N/A"),"",IF(ISNUMBER(AU47),AU47,""))</f>
        <v/>
      </c>
      <c r="BE47" s="17"/>
      <c r="BF47" s="17"/>
      <c r="BG47" s="17"/>
      <c r="BH47" s="17"/>
      <c r="BI47" s="89" t="e">
        <f>IF(OR(A47="",NOT(ISNUMBER(M47)),AND(WEEKDAY(M47,2)&lt;&gt;2,WEEKDAY(M47,2)&lt;&gt;4)),"",WORKDAY(M47,CABOffsetFromReleaseWD))</f>
        <v>#VALUE!</v>
      </c>
      <c r="BJ47" s="17"/>
      <c r="BK47" s="19" t="str">
        <f>IF(NOT(ISNUMBER(BI47)),"",IF(WEEKDAY(BI47-CodeReviewCalendarDays,2)&gt;5,BI47-CodeReviewCalendarDays-(WEEKDAY(BI47-CodeReviewCalendarDays,2)-5),BI47-CodeReviewCalendarDays))</f>
        <v/>
      </c>
      <c r="BL47" s="17"/>
      <c r="BM47" s="19" t="str">
        <f>IF(NOT(ISNUMBER(BK47)),"",IF(WEEKDAY(BK47-CodeReviewInviteCalendarDays,2)&gt;5,BK47-CodeReviewInviteCalendarDays-(WEEKDAY(BK47-CodeReviewInviteCalendarDays,2)-5),BK47-CodeReviewInviteCalendarDays))</f>
        <v/>
      </c>
      <c r="BN47" s="17"/>
      <c r="BO47" s="17"/>
      <c r="BP47" s="18" t="str">
        <f ca="1">IF(A47="","",IF(IF(AND(ISNUMBER(J47),WEEKDAY(J47,2)&lt;&gt;2,WEEKDAY(J47,2)&lt;&gt;4)," | Release must be Tuesday or Thursday","")&amp;IF(AND(ISNUMBER(H47),WEEKDAY(H47,2)&lt;&gt;1)," | Sprint Start is not a Monday - dates still calculated from the date entered","")&amp;IF(AND(A47&lt;&gt;"",NOT(ISNUMBER(H47)),NOT(ISNUMBER(J47)))," | Enter Sprint Start or Release Date","")&amp;IF(AND(ISNUMBER(F47),F47&lt;TODAY(),D47&lt;&gt;"Completed")," | One or more raise-by dates are in the past and not completed","")&amp;IF(AND(ISNUMBER(K47),K47-TODAY()&lt;SprintWarningDays,K47&gt;=TODAY(),OR(D47="Yet to start",D47="Blocked"))," | Sprint starts in under 10 days - raise access requests now","")&amp;IF(AND(ISNUMBER(BM47),BN47&lt;&gt;"Completed",BN47&lt;&gt;"N/A",BM47-TODAY()&lt;CodeReviewInviteCalendarDays)," | Code Review invite should be sent at least 4 days before Code Review","")="","",MID(IF(AND(ISNUMBER(J47),WEEKDAY(J47,2)&lt;&gt;2,WEEKDAY(J47,2)&lt;&gt;4)," | Release must be Tuesday or Thursday","")&amp;IF(AND(ISNUMBER(H47),WEEKDAY(H47,2)&lt;&gt;1)," | Sprint Start is not a Monday - dates still calculated from the date entered","")&amp;IF(AND(A47&lt;&gt;"",NOT(ISNUMBER(H47)),NOT(ISNUMBER(J47)))," | Enter Sprint Start or Release Date","")&amp;IF(AND(ISNUMBER(F47),F47&lt;TODAY(),D47&lt;&gt;"Completed")," | One or more raise-by dates are in the past and not completed","")&amp;IF(AND(ISNUMBER(K47),K47-TODAY()&lt;SprintWarningDays,K47&gt;=TODAY(),OR(D47="Yet to start",D47="Blocked"))," | Sprint starts in under 10 days - raise access requests now","")&amp;IF(AND(ISNUMBER(BM47),BN47&lt;&gt;"Completed",BN47&lt;&gt;"N/A",BM47-TODAY()&lt;CodeReviewInviteCalendarDays)," | Code Review invite should be sent at least 4 days before Code Review",""),4,500)))</f>
        <v/>
      </c>
      <c r="BQ47" s="85" t="str">
        <f>IF(AND(ISNUMBER(Q47),S47&lt;&gt;"Completed",S47&lt;&gt;"N/A"),Q47,"")</f>
        <v/>
      </c>
      <c r="BR47" s="85" t="str">
        <f>IF(AND(ISNUMBER(T47),V47&lt;&gt;"Completed",V47&lt;&gt;"N/A"),T47,"")</f>
        <v/>
      </c>
      <c r="BS47" s="85" t="str">
        <f>IF(AND(ISNUMBER(W47),Y47&lt;&gt;"Completed",Y47&lt;&gt;"N/A"),W47,"")</f>
        <v/>
      </c>
      <c r="BT47" s="85" t="str">
        <f>IF(AND(ISNUMBER(AA47),AC47&lt;&gt;"Completed",AC47&lt;&gt;"N/A"),AA47,"")</f>
        <v/>
      </c>
      <c r="BU47" s="85" t="str">
        <f>IF(AND(ISNUMBER(AG47),AI47&lt;&gt;"Completed",AI47&lt;&gt;"N/A"),AG47,"")</f>
        <v/>
      </c>
      <c r="BV47" s="85" t="str">
        <f>IF(AND(ISNUMBER(AJ47),AL47&lt;&gt;"Completed",AL47&lt;&gt;"N/A"),AJ47,"")</f>
        <v/>
      </c>
      <c r="BW47" s="85" t="str">
        <f>IF(AND(ISNUMBER(AM47),AO47&lt;&gt;"Completed",AO47&lt;&gt;"N/A"),AM47,"")</f>
        <v/>
      </c>
      <c r="BX47" s="85" t="str">
        <f>IF(AND(ISNUMBER(AP47),AR47&lt;&gt;"Completed",AR47&lt;&gt;"N/A"),AP47,"")</f>
        <v/>
      </c>
      <c r="BY47" s="85" t="str">
        <f>IF(AND(ISNUMBER(AU47),AW47&lt;&gt;"Completed",AW47&lt;&gt;"N/A"),AU47,"")</f>
        <v/>
      </c>
      <c r="BZ47" s="85" t="str">
        <f>IF(AND(ISNUMBER(AX47),AZ47&lt;&gt;"Completed",AZ47&lt;&gt;"N/A"),AX47,"")</f>
        <v/>
      </c>
      <c r="CA47" s="85" t="str">
        <f>IF(AND(ISNUMBER(BA47),BC47&lt;&gt;"Completed",BC47&lt;&gt;"N/A"),BA47,"")</f>
        <v/>
      </c>
      <c r="CB47" s="85" t="str">
        <f>IF(AND(ISNUMBER(BD47),BF47&lt;&gt;"Completed",BF47&lt;&gt;"N/A"),BD47,"")</f>
        <v/>
      </c>
      <c r="CC47" s="85" t="str">
        <f>IF(AND(ISNUMBER(O47),P47&lt;&gt;"Completed",P47&lt;&gt;"N/A"),O47,"")</f>
        <v/>
      </c>
      <c r="CD47" s="85" t="str">
        <f>IF(AND(ISNUMBER(BM47),BN47&lt;&gt;"Completed",BN47&lt;&gt;"N/A"),BM47,"")</f>
        <v/>
      </c>
      <c r="CE47" s="85" t="str">
        <f>IF(AND(ISNUMBER(BK47),BL47&lt;&gt;"Completed",BL47&lt;&gt;"N/A"),BK47,"")</f>
        <v/>
      </c>
      <c r="CF47" s="85" t="str">
        <f>IF(AND(ISNUMBER(BI47),BJ47&lt;&gt;"Completed",BJ47&lt;&gt;"N/A"),BI47,"")</f>
        <v/>
      </c>
      <c r="CG47" s="85" t="str">
        <f ca="1">IF(OR(A47="",D47="Completed"),"",IF(N(G47)&gt;0,1/(N(G47)+ROW()/100000),IF(ISNUMBER(F47),1000+F47+ROW()/100000,TODAY()+400+ROW()/100000)))</f>
        <v/>
      </c>
    </row>
    <row r="48" spans="1:85">
      <c r="A48" s="17"/>
      <c r="B48" s="17"/>
      <c r="C48" s="17"/>
      <c r="D48" s="18" t="str">
        <f>IF(A48="","",IF(((S48="Blocked")+(V48="Blocked")+(Y48="Blocked")+(AC48="Blocked")+(AI48="Blocked")+(AL48="Blocked")+(AO48="Blocked")+(AR48="Blocked")+(AW48="Blocked")+(AZ48="Blocked")+(BC48="Blocked")+(BF48="Blocked")+(P48="Blocked")+(BJ48="Blocked")+(BL48="Blocked")+(BN48="Blocked")+(BO48="Blocked"))&gt;0,"Blocked",IF((ISNUMBER(Q48)+ISNUMBER(T48)+ISNUMBER(W48)+ISNUMBER(AA48)+ISNUMBER(AG48)+ISNUMBER(AJ48)+ISNUMBER(AM48)+ISNUMBER(AP48)+ISNUMBER(AU48)+ISNUMBER(AX48)+ISNUMBER(BA48)+ISNUMBER(BD48)+ISNUMBER(O48)+ISNUMBER(BI48)+ISNUMBER(BK48)+ISNUMBER(BM48))=0,"Yet to start",IF(AND(OR(NOT(ISNUMBER(Q48)),S48="Completed",S48="N/A"),OR(NOT(ISNUMBER(T48)),V48="Completed",V48="N/A"),OR(NOT(ISNUMBER(W48)),Y48="Completed",Y48="N/A"),OR(NOT(ISNUMBER(AA48)),AC48="Completed",AC48="N/A"),OR(NOT(ISNUMBER(AG48)),AI48="Completed",AI48="N/A"),OR(NOT(ISNUMBER(AJ48)),AL48="Completed",AL48="N/A"),OR(NOT(ISNUMBER(AM48)),AO48="Completed",AO48="N/A"),OR(NOT(ISNUMBER(AP48)),AR48="Completed",AR48="N/A"),OR(NOT(ISNUMBER(AU48)),AW48="Completed",AW48="N/A"),OR(NOT(ISNUMBER(AX48)),AZ48="Completed",AZ48="N/A"),OR(NOT(ISNUMBER(BA48)),BC48="Completed",BC48="N/A"),OR(NOT(ISNUMBER(BD48)),BF48="Completed",BF48="N/A"),OR(NOT(ISNUMBER(O48)),P48="Completed",P48="N/A"),OR(NOT(ISNUMBER(BI48)),BJ48="Completed",BJ48="N/A"),OR(NOT(ISNUMBER(BK48)),BL48="Completed",BL48="N/A"),OR(NOT(ISNUMBER(BM48)),BN48="Completed",BN48="N/A"),OR(BO48="Completed",BO48="N/A")),"Completed",IF(((S48="In Progress")+(V48="In Progress")+(Y48="In Progress")+(AC48="In Progress")+(AI48="In Progress")+(AL48="In Progress")+(AO48="In Progress")+(AR48="In Progress")+(AW48="In Progress")+(AZ48="In Progress")+(BC48="In Progress")+(BF48="In Progress")+(P48="In Progress")+(BJ48="In Progress")+(BL48="In Progress")+(BN48="In Progress")+(BO48="In Progress"))&gt;0,"In Progress","Yet to start")))))</f>
        <v/>
      </c>
      <c r="E48" s="18" t="str">
        <f>IF(A48="","",IF(F48="","All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Review","CAB"},MATCH(F48,BQ48:CF48,0))))</f>
        <v/>
      </c>
      <c r="F48" s="19" t="str">
        <f>IF(A48="","",IF(COUNT(BQ48:CF48)=0,"",MIN(BQ48:CF48)))</f>
        <v/>
      </c>
      <c r="G48" s="18" t="str">
        <f ca="1">IF(A48="","",MAX(0,IF(AND(ISNUMBER(Q48),S48&lt;&gt;"Completed",S48&lt;&gt;"N/A",Q48&lt;TODAY()),TODAY()-Q48,0),IF(AND(ISNUMBER(T48),V48&lt;&gt;"Completed",V48&lt;&gt;"N/A",T48&lt;TODAY()),TODAY()-T48,0),IF(AND(ISNUMBER(W48),Y48&lt;&gt;"Completed",Y48&lt;&gt;"N/A",W48&lt;TODAY()),TODAY()-W48,0),IF(AND(ISNUMBER(AA48),AC48&lt;&gt;"Completed",AC48&lt;&gt;"N/A",AA48&lt;TODAY()),TODAY()-AA48,0),IF(AND(ISNUMBER(AG48),AI48&lt;&gt;"Completed",AI48&lt;&gt;"N/A",AG48&lt;TODAY()),TODAY()-AG48,0),IF(AND(ISNUMBER(AJ48),AL48&lt;&gt;"Completed",AL48&lt;&gt;"N/A",AJ48&lt;TODAY()),TODAY()-AJ48,0),IF(AND(ISNUMBER(AM48),AO48&lt;&gt;"Completed",AO48&lt;&gt;"N/A",AM48&lt;TODAY()),TODAY()-AM48,0),IF(AND(ISNUMBER(AP48),AR48&lt;&gt;"Completed",AR48&lt;&gt;"N/A",AP48&lt;TODAY()),TODAY()-AP48,0),IF(AND(ISNUMBER(AU48),AW48&lt;&gt;"Completed",AW48&lt;&gt;"N/A",AU48&lt;TODAY()),TODAY()-AU48,0),IF(AND(ISNUMBER(AX48),AZ48&lt;&gt;"Completed",AZ48&lt;&gt;"N/A",AX48&lt;TODAY()),TODAY()-AX48,0),IF(AND(ISNUMBER(BA48),BC48&lt;&gt;"Completed",BC48&lt;&gt;"N/A",BA48&lt;TODAY()),TODAY()-BA48,0),IF(AND(ISNUMBER(BD48),BF48&lt;&gt;"Completed",BF48&lt;&gt;"N/A",BD48&lt;TODAY()),TODAY()-BD48,0),IF(AND(ISNUMBER(O48),P48&lt;&gt;"Completed",P48&lt;&gt;"N/A",O48&lt;TODAY()),TODAY()-O48,0),IF(AND(ISNUMBER(BM48),BN48&lt;&gt;"Completed",BN48&lt;&gt;"N/A",BM48&lt;TODAY()),TODAY()-BM48,0),IF(AND(ISNUMBER(BK48),BL48&lt;&gt;"Completed",BL48&lt;&gt;"N/A",BK48&lt;TODAY()),TODAY()-BK48,0),IF(AND(ISNUMBER(BI48),BJ48&lt;&gt;"Completed",BJ48&lt;&gt;"N/A",BI48&lt;TODAY()),TODAY()-BI48,0)))</f>
        <v/>
      </c>
      <c r="H48" s="17"/>
      <c r="I48" s="17"/>
      <c r="J48" s="17"/>
      <c r="K48" s="19" t="str">
        <f>IF(ISNUMBER(H48),H48,IF(ISNUMBER(M48),M48-WEEKDAY(M48,2)+1-7,""))</f>
        <v/>
      </c>
      <c r="L48" s="19" t="str">
        <f>IF(ISNUMBER(I48),I48,IF(ISNUMBER(H48),WORKDAY(H48,SprintWorkingDays-1),IF(ISNUMBER(K48),WORKDAY(K48,SprintWorkingDays-1),"")))</f>
        <v/>
      </c>
      <c r="M48" s="19" t="str">
        <f>IF(ISNUMBER(J48),J48,IF(ISNUMBER(I48),I48-IF(OR(WEEKDAY(I48,2)=2,WEEKDAY(I48,2)=4),0,IF(WEEKDAY(I48,2)=3,1,IF(WEEKDAY(I48,2)=1,4,WEEKDAY(I48,2)-4))),IF(ISNUMBER(H48),WORKDAY(H48,SprintWorkingDays-1)-IF(OR(WEEKDAY(WORKDAY(H48,SprintWorkingDays-1),2)=2,WEEKDAY(WORKDAY(H48,SprintWorkingDays-1),2)=4),0,IF(WEEKDAY(WORKDAY(H48,SprintWorkingDays-1),2)=3,1,IF(WEEKDAY(WORKDAY(H48,SprintWorkingDays-1),2)=1,4,WEEKDAY(WORKDAY(H48,SprintWorkingDays-1),2)-4))),"")))</f>
        <v/>
      </c>
      <c r="N48" s="19" t="str">
        <f>IF(NOT(ISNUMBER(K48)),"",WORKDAY(K48,ReadyOffsetWD))</f>
        <v/>
      </c>
      <c r="O48" s="19" t="str">
        <f>IF(NOT(ISNUMBER(K48)),"",WORKDAY(K48,SprintReadinessOffsetWD))</f>
        <v/>
      </c>
      <c r="P48" s="17"/>
      <c r="Q48" s="19" t="str">
        <f>IF(A48="","",IF(V48="N/A",IF(NOT(ISNUMBER(W48)),"",WORKDAY(W48,RTSKOffsetFromOUR_WD)),IF(NOT(ISNUMBER(T48)),"",WORKDAY(T48,RTSKOffsetFromOUR_WD))))</f>
        <v/>
      </c>
      <c r="R48" s="17"/>
      <c r="S48" s="17"/>
      <c r="T48" s="19" t="str">
        <f>IF(OR(A48="",V48="N/A"),"",IF(NOT(ISNUMBER(W48)),"",WORKDAY(W48,OUROffsetFromSR_WD)))</f>
        <v/>
      </c>
      <c r="U48" s="17"/>
      <c r="V48" s="17"/>
      <c r="W48" s="19" t="str">
        <f>IF(OR(A48="",NOT(ISNUMBER(K48))),"",WORKDAY(K48,SROffsetFromStartWD))</f>
        <v/>
      </c>
      <c r="X48" s="17"/>
      <c r="Y48" s="17"/>
      <c r="Z48" s="17"/>
      <c r="AA48" s="19" t="str">
        <f>IF(OR(Z48="",Z48="N/A"),"",IF(ISNUMBER(Q48),Q48,""))</f>
        <v/>
      </c>
      <c r="AB48" s="17"/>
      <c r="AC48" s="17"/>
      <c r="AD48" s="17"/>
      <c r="AE48" s="17"/>
      <c r="AF48" s="17" t="str">
        <f>IF(Z48="N/A","N/A","")</f>
        <v/>
      </c>
      <c r="AG48" s="19" t="str">
        <f>IF(NOT(ISNUMBER(Q48)),"",Q48)</f>
        <v/>
      </c>
      <c r="AH48" s="17"/>
      <c r="AI48" s="17"/>
      <c r="AJ48" s="19" t="str">
        <f>IF(OR(AL48="N/A",NOT(ISNUMBER(T48))),"",T48)</f>
        <v/>
      </c>
      <c r="AK48" s="17"/>
      <c r="AL48" s="17"/>
      <c r="AM48" s="19" t="str">
        <f>IF(NOT(ISNUMBER(W48)),"",W48)</f>
        <v/>
      </c>
      <c r="AN48" s="17"/>
      <c r="AO48" s="17"/>
      <c r="AP48" s="19" t="str">
        <f>IF(OR(Z48="",Z48="N/A"),"",IF(ISNUMBER(AG48),AG48,""))</f>
        <v/>
      </c>
      <c r="AQ48" s="17"/>
      <c r="AR48" s="17"/>
      <c r="AS48" s="17"/>
      <c r="AT48" s="17"/>
      <c r="AU48" s="19" t="str">
        <f>IF(NOT(ISNUMBER(Q48)),"",Q48)</f>
        <v/>
      </c>
      <c r="AV48" s="17"/>
      <c r="AW48" s="17"/>
      <c r="AX48" s="19" t="str">
        <f>IF(OR(AZ48="N/A",NOT(ISNUMBER(T48))),"",T48)</f>
        <v/>
      </c>
      <c r="AY48" s="17"/>
      <c r="AZ48" s="17"/>
      <c r="BA48" s="19" t="str">
        <f>IF(NOT(ISNUMBER(W48)),"",W48)</f>
        <v/>
      </c>
      <c r="BB48" s="17"/>
      <c r="BC48" s="17"/>
      <c r="BD48" s="19" t="str">
        <f>IF(OR(Z48="",Z48="N/A"),"",IF(ISNUMBER(AU48),AU48,""))</f>
        <v/>
      </c>
      <c r="BE48" s="17"/>
      <c r="BF48" s="17"/>
      <c r="BG48" s="17"/>
      <c r="BH48" s="17"/>
      <c r="BI48" s="89" t="e">
        <f>IF(OR(A48="",NOT(ISNUMBER(M48)),AND(WEEKDAY(M48,2)&lt;&gt;2,WEEKDAY(M48,2)&lt;&gt;4)),"",WORKDAY(M48,CABOffsetFromReleaseWD))</f>
        <v>#VALUE!</v>
      </c>
      <c r="BJ48" s="17"/>
      <c r="BK48" s="19" t="str">
        <f>IF(NOT(ISNUMBER(BI48)),"",IF(WEEKDAY(BI48-CodeReviewCalendarDays,2)&gt;5,BI48-CodeReviewCalendarDays-(WEEKDAY(BI48-CodeReviewCalendarDays,2)-5),BI48-CodeReviewCalendarDays))</f>
        <v/>
      </c>
      <c r="BL48" s="17"/>
      <c r="BM48" s="19" t="str">
        <f>IF(NOT(ISNUMBER(BK48)),"",IF(WEEKDAY(BK48-CodeReviewInviteCalendarDays,2)&gt;5,BK48-CodeReviewInviteCalendarDays-(WEEKDAY(BK48-CodeReviewInviteCalendarDays,2)-5),BK48-CodeReviewInviteCalendarDays))</f>
        <v/>
      </c>
      <c r="BN48" s="17"/>
      <c r="BO48" s="17"/>
      <c r="BP48" s="18" t="str">
        <f ca="1">IF(A48="","",IF(IF(AND(ISNUMBER(J48),WEEKDAY(J48,2)&lt;&gt;2,WEEKDAY(J48,2)&lt;&gt;4)," | Release must be Tuesday or Thursday","")&amp;IF(AND(ISNUMBER(H48),WEEKDAY(H48,2)&lt;&gt;1)," | Sprint Start is not a Monday - dates still calculated from the date entered","")&amp;IF(AND(A48&lt;&gt;"",NOT(ISNUMBER(H48)),NOT(ISNUMBER(J48)))," | Enter Sprint Start or Release Date","")&amp;IF(AND(ISNUMBER(F48),F48&lt;TODAY(),D48&lt;&gt;"Completed")," | One or more raise-by dates are in the past and not completed","")&amp;IF(AND(ISNUMBER(K48),K48-TODAY()&lt;SprintWarningDays,K48&gt;=TODAY(),OR(D48="Yet to start",D48="Blocked"))," | Sprint starts in under 10 days - raise access requests now","")&amp;IF(AND(ISNUMBER(BM48),BN48&lt;&gt;"Completed",BN48&lt;&gt;"N/A",BM48-TODAY()&lt;CodeReviewInviteCalendarDays)," | Code Review invite should be sent at least 4 days before Code Review","")="","",MID(IF(AND(ISNUMBER(J48),WEEKDAY(J48,2)&lt;&gt;2,WEEKDAY(J48,2)&lt;&gt;4)," | Release must be Tuesday or Thursday","")&amp;IF(AND(ISNUMBER(H48),WEEKDAY(H48,2)&lt;&gt;1)," | Sprint Start is not a Monday - dates still calculated from the date entered","")&amp;IF(AND(A48&lt;&gt;"",NOT(ISNUMBER(H48)),NOT(ISNUMBER(J48)))," | Enter Sprint Start or Release Date","")&amp;IF(AND(ISNUMBER(F48),F48&lt;TODAY(),D48&lt;&gt;"Completed")," | One or more raise-by dates are in the past and not completed","")&amp;IF(AND(ISNUMBER(K48),K48-TODAY()&lt;SprintWarningDays,K48&gt;=TODAY(),OR(D48="Yet to start",D48="Blocked"))," | Sprint starts in under 10 days - raise access requests now","")&amp;IF(AND(ISNUMBER(BM48),BN48&lt;&gt;"Completed",BN48&lt;&gt;"N/A",BM48-TODAY()&lt;CodeReviewInviteCalendarDays)," | Code Review invite should be sent at least 4 days before Code Review",""),4,500)))</f>
        <v/>
      </c>
      <c r="BQ48" s="85" t="str">
        <f>IF(AND(ISNUMBER(Q48),S48&lt;&gt;"Completed",S48&lt;&gt;"N/A"),Q48,"")</f>
        <v/>
      </c>
      <c r="BR48" s="85" t="str">
        <f>IF(AND(ISNUMBER(T48),V48&lt;&gt;"Completed",V48&lt;&gt;"N/A"),T48,"")</f>
        <v/>
      </c>
      <c r="BS48" s="85" t="str">
        <f>IF(AND(ISNUMBER(W48),Y48&lt;&gt;"Completed",Y48&lt;&gt;"N/A"),W48,"")</f>
        <v/>
      </c>
      <c r="BT48" s="85" t="str">
        <f>IF(AND(ISNUMBER(AA48),AC48&lt;&gt;"Completed",AC48&lt;&gt;"N/A"),AA48,"")</f>
        <v/>
      </c>
      <c r="BU48" s="85" t="str">
        <f>IF(AND(ISNUMBER(AG48),AI48&lt;&gt;"Completed",AI48&lt;&gt;"N/A"),AG48,"")</f>
        <v/>
      </c>
      <c r="BV48" s="85" t="str">
        <f>IF(AND(ISNUMBER(AJ48),AL48&lt;&gt;"Completed",AL48&lt;&gt;"N/A"),AJ48,"")</f>
        <v/>
      </c>
      <c r="BW48" s="85" t="str">
        <f>IF(AND(ISNUMBER(AM48),AO48&lt;&gt;"Completed",AO48&lt;&gt;"N/A"),AM48,"")</f>
        <v/>
      </c>
      <c r="BX48" s="85" t="str">
        <f>IF(AND(ISNUMBER(AP48),AR48&lt;&gt;"Completed",AR48&lt;&gt;"N/A"),AP48,"")</f>
        <v/>
      </c>
      <c r="BY48" s="85" t="str">
        <f>IF(AND(ISNUMBER(AU48),AW48&lt;&gt;"Completed",AW48&lt;&gt;"N/A"),AU48,"")</f>
        <v/>
      </c>
      <c r="BZ48" s="85" t="str">
        <f>IF(AND(ISNUMBER(AX48),AZ48&lt;&gt;"Completed",AZ48&lt;&gt;"N/A"),AX48,"")</f>
        <v/>
      </c>
      <c r="CA48" s="85" t="str">
        <f>IF(AND(ISNUMBER(BA48),BC48&lt;&gt;"Completed",BC48&lt;&gt;"N/A"),BA48,"")</f>
        <v/>
      </c>
      <c r="CB48" s="85" t="str">
        <f>IF(AND(ISNUMBER(BD48),BF48&lt;&gt;"Completed",BF48&lt;&gt;"N/A"),BD48,"")</f>
        <v/>
      </c>
      <c r="CC48" s="85" t="str">
        <f>IF(AND(ISNUMBER(O48),P48&lt;&gt;"Completed",P48&lt;&gt;"N/A"),O48,"")</f>
        <v/>
      </c>
      <c r="CD48" s="85" t="str">
        <f>IF(AND(ISNUMBER(BM48),BN48&lt;&gt;"Completed",BN48&lt;&gt;"N/A"),BM48,"")</f>
        <v/>
      </c>
      <c r="CE48" s="85" t="str">
        <f>IF(AND(ISNUMBER(BK48),BL48&lt;&gt;"Completed",BL48&lt;&gt;"N/A"),BK48,"")</f>
        <v/>
      </c>
      <c r="CF48" s="85" t="str">
        <f>IF(AND(ISNUMBER(BI48),BJ48&lt;&gt;"Completed",BJ48&lt;&gt;"N/A"),BI48,"")</f>
        <v/>
      </c>
      <c r="CG48" s="85" t="str">
        <f ca="1">IF(OR(A48="",D48="Completed"),"",IF(N(G48)&gt;0,1/(N(G48)+ROW()/100000),IF(ISNUMBER(F48),1000+F48+ROW()/100000,TODAY()+400+ROW()/100000)))</f>
        <v/>
      </c>
    </row>
    <row r="49" spans="1:85">
      <c r="A49" s="17"/>
      <c r="B49" s="17"/>
      <c r="C49" s="17"/>
      <c r="D49" s="18" t="str">
        <f>IF(A49="","",IF(((S49="Blocked")+(V49="Blocked")+(Y49="Blocked")+(AC49="Blocked")+(AI49="Blocked")+(AL49="Blocked")+(AO49="Blocked")+(AR49="Blocked")+(AW49="Blocked")+(AZ49="Blocked")+(BC49="Blocked")+(BF49="Blocked")+(P49="Blocked")+(BJ49="Blocked")+(BL49="Blocked")+(BN49="Blocked")+(BO49="Blocked"))&gt;0,"Blocked",IF((ISNUMBER(Q49)+ISNUMBER(T49)+ISNUMBER(W49)+ISNUMBER(AA49)+ISNUMBER(AG49)+ISNUMBER(AJ49)+ISNUMBER(AM49)+ISNUMBER(AP49)+ISNUMBER(AU49)+ISNUMBER(AX49)+ISNUMBER(BA49)+ISNUMBER(BD49)+ISNUMBER(O49)+ISNUMBER(BI49)+ISNUMBER(BK49)+ISNUMBER(BM49))=0,"Yet to start",IF(AND(OR(NOT(ISNUMBER(Q49)),S49="Completed",S49="N/A"),OR(NOT(ISNUMBER(T49)),V49="Completed",V49="N/A"),OR(NOT(ISNUMBER(W49)),Y49="Completed",Y49="N/A"),OR(NOT(ISNUMBER(AA49)),AC49="Completed",AC49="N/A"),OR(NOT(ISNUMBER(AG49)),AI49="Completed",AI49="N/A"),OR(NOT(ISNUMBER(AJ49)),AL49="Completed",AL49="N/A"),OR(NOT(ISNUMBER(AM49)),AO49="Completed",AO49="N/A"),OR(NOT(ISNUMBER(AP49)),AR49="Completed",AR49="N/A"),OR(NOT(ISNUMBER(AU49)),AW49="Completed",AW49="N/A"),OR(NOT(ISNUMBER(AX49)),AZ49="Completed",AZ49="N/A"),OR(NOT(ISNUMBER(BA49)),BC49="Completed",BC49="N/A"),OR(NOT(ISNUMBER(BD49)),BF49="Completed",BF49="N/A"),OR(NOT(ISNUMBER(O49)),P49="Completed",P49="N/A"),OR(NOT(ISNUMBER(BI49)),BJ49="Completed",BJ49="N/A"),OR(NOT(ISNUMBER(BK49)),BL49="Completed",BL49="N/A"),OR(NOT(ISNUMBER(BM49)),BN49="Completed",BN49="N/A"),OR(BO49="Completed",BO49="N/A")),"Completed",IF(((S49="In Progress")+(V49="In Progress")+(Y49="In Progress")+(AC49="In Progress")+(AI49="In Progress")+(AL49="In Progress")+(AO49="In Progress")+(AR49="In Progress")+(AW49="In Progress")+(AZ49="In Progress")+(BC49="In Progress")+(BF49="In Progress")+(P49="In Progress")+(BJ49="In Progress")+(BL49="In Progress")+(BN49="In Progress")+(BO49="In Progress"))&gt;0,"In Progress","Yet to start")))))</f>
        <v/>
      </c>
      <c r="E49" s="18" t="str">
        <f>IF(A49="","",IF(F49="","All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Review","CAB"},MATCH(F49,BQ49:CF49,0))))</f>
        <v/>
      </c>
      <c r="F49" s="19" t="str">
        <f>IF(A49="","",IF(COUNT(BQ49:CF49)=0,"",MIN(BQ49:CF49)))</f>
        <v/>
      </c>
      <c r="G49" s="18" t="str">
        <f ca="1">IF(A49="","",MAX(0,IF(AND(ISNUMBER(Q49),S49&lt;&gt;"Completed",S49&lt;&gt;"N/A",Q49&lt;TODAY()),TODAY()-Q49,0),IF(AND(ISNUMBER(T49),V49&lt;&gt;"Completed",V49&lt;&gt;"N/A",T49&lt;TODAY()),TODAY()-T49,0),IF(AND(ISNUMBER(W49),Y49&lt;&gt;"Completed",Y49&lt;&gt;"N/A",W49&lt;TODAY()),TODAY()-W49,0),IF(AND(ISNUMBER(AA49),AC49&lt;&gt;"Completed",AC49&lt;&gt;"N/A",AA49&lt;TODAY()),TODAY()-AA49,0),IF(AND(ISNUMBER(AG49),AI49&lt;&gt;"Completed",AI49&lt;&gt;"N/A",AG49&lt;TODAY()),TODAY()-AG49,0),IF(AND(ISNUMBER(AJ49),AL49&lt;&gt;"Completed",AL49&lt;&gt;"N/A",AJ49&lt;TODAY()),TODAY()-AJ49,0),IF(AND(ISNUMBER(AM49),AO49&lt;&gt;"Completed",AO49&lt;&gt;"N/A",AM49&lt;TODAY()),TODAY()-AM49,0),IF(AND(ISNUMBER(AP49),AR49&lt;&gt;"Completed",AR49&lt;&gt;"N/A",AP49&lt;TODAY()),TODAY()-AP49,0),IF(AND(ISNUMBER(AU49),AW49&lt;&gt;"Completed",AW49&lt;&gt;"N/A",AU49&lt;TODAY()),TODAY()-AU49,0),IF(AND(ISNUMBER(AX49),AZ49&lt;&gt;"Completed",AZ49&lt;&gt;"N/A",AX49&lt;TODAY()),TODAY()-AX49,0),IF(AND(ISNUMBER(BA49),BC49&lt;&gt;"Completed",BC49&lt;&gt;"N/A",BA49&lt;TODAY()),TODAY()-BA49,0),IF(AND(ISNUMBER(BD49),BF49&lt;&gt;"Completed",BF49&lt;&gt;"N/A",BD49&lt;TODAY()),TODAY()-BD49,0),IF(AND(ISNUMBER(O49),P49&lt;&gt;"Completed",P49&lt;&gt;"N/A",O49&lt;TODAY()),TODAY()-O49,0),IF(AND(ISNUMBER(BM49),BN49&lt;&gt;"Completed",BN49&lt;&gt;"N/A",BM49&lt;TODAY()),TODAY()-BM49,0),IF(AND(ISNUMBER(BK49),BL49&lt;&gt;"Completed",BL49&lt;&gt;"N/A",BK49&lt;TODAY()),TODAY()-BK49,0),IF(AND(ISNUMBER(BI49),BJ49&lt;&gt;"Completed",BJ49&lt;&gt;"N/A",BI49&lt;TODAY()),TODAY()-BI49,0)))</f>
        <v/>
      </c>
      <c r="H49" s="17"/>
      <c r="I49" s="17"/>
      <c r="J49" s="17"/>
      <c r="K49" s="19" t="str">
        <f>IF(ISNUMBER(H49),H49,IF(ISNUMBER(M49),M49-WEEKDAY(M49,2)+1-7,""))</f>
        <v/>
      </c>
      <c r="L49" s="19" t="str">
        <f>IF(ISNUMBER(I49),I49,IF(ISNUMBER(H49),WORKDAY(H49,SprintWorkingDays-1),IF(ISNUMBER(K49),WORKDAY(K49,SprintWorkingDays-1),"")))</f>
        <v/>
      </c>
      <c r="M49" s="19" t="str">
        <f>IF(ISNUMBER(J49),J49,IF(ISNUMBER(I49),I49-IF(OR(WEEKDAY(I49,2)=2,WEEKDAY(I49,2)=4),0,IF(WEEKDAY(I49,2)=3,1,IF(WEEKDAY(I49,2)=1,4,WEEKDAY(I49,2)-4))),IF(ISNUMBER(H49),WORKDAY(H49,SprintWorkingDays-1)-IF(OR(WEEKDAY(WORKDAY(H49,SprintWorkingDays-1),2)=2,WEEKDAY(WORKDAY(H49,SprintWorkingDays-1),2)=4),0,IF(WEEKDAY(WORKDAY(H49,SprintWorkingDays-1),2)=3,1,IF(WEEKDAY(WORKDAY(H49,SprintWorkingDays-1),2)=1,4,WEEKDAY(WORKDAY(H49,SprintWorkingDays-1),2)-4))),"")))</f>
        <v/>
      </c>
      <c r="N49" s="19" t="str">
        <f>IF(NOT(ISNUMBER(K49)),"",WORKDAY(K49,ReadyOffsetWD))</f>
        <v/>
      </c>
      <c r="O49" s="19" t="str">
        <f>IF(NOT(ISNUMBER(K49)),"",WORKDAY(K49,SprintReadinessOffsetWD))</f>
        <v/>
      </c>
      <c r="P49" s="17"/>
      <c r="Q49" s="19" t="str">
        <f>IF(A49="","",IF(V49="N/A",IF(NOT(ISNUMBER(W49)),"",WORKDAY(W49,RTSKOffsetFromOUR_WD)),IF(NOT(ISNUMBER(T49)),"",WORKDAY(T49,RTSKOffsetFromOUR_WD))))</f>
        <v/>
      </c>
      <c r="R49" s="17"/>
      <c r="S49" s="17"/>
      <c r="T49" s="19" t="str">
        <f>IF(OR(A49="",V49="N/A"),"",IF(NOT(ISNUMBER(W49)),"",WORKDAY(W49,OUROffsetFromSR_WD)))</f>
        <v/>
      </c>
      <c r="U49" s="17"/>
      <c r="V49" s="17"/>
      <c r="W49" s="19" t="str">
        <f>IF(OR(A49="",NOT(ISNUMBER(K49))),"",WORKDAY(K49,SROffsetFromStartWD))</f>
        <v/>
      </c>
      <c r="X49" s="17"/>
      <c r="Y49" s="17"/>
      <c r="Z49" s="17"/>
      <c r="AA49" s="19" t="str">
        <f>IF(OR(Z49="",Z49="N/A"),"",IF(ISNUMBER(Q49),Q49,""))</f>
        <v/>
      </c>
      <c r="AB49" s="17"/>
      <c r="AC49" s="17"/>
      <c r="AD49" s="17"/>
      <c r="AE49" s="17"/>
      <c r="AF49" s="17" t="str">
        <f>IF(Z49="N/A","N/A","")</f>
        <v/>
      </c>
      <c r="AG49" s="19" t="str">
        <f>IF(NOT(ISNUMBER(Q49)),"",Q49)</f>
        <v/>
      </c>
      <c r="AH49" s="17"/>
      <c r="AI49" s="17"/>
      <c r="AJ49" s="19" t="str">
        <f>IF(OR(AL49="N/A",NOT(ISNUMBER(T49))),"",T49)</f>
        <v/>
      </c>
      <c r="AK49" s="17"/>
      <c r="AL49" s="17"/>
      <c r="AM49" s="19" t="str">
        <f>IF(NOT(ISNUMBER(W49)),"",W49)</f>
        <v/>
      </c>
      <c r="AN49" s="17"/>
      <c r="AO49" s="17"/>
      <c r="AP49" s="19" t="str">
        <f>IF(OR(Z49="",Z49="N/A"),"",IF(ISNUMBER(AG49),AG49,""))</f>
        <v/>
      </c>
      <c r="AQ49" s="17"/>
      <c r="AR49" s="17"/>
      <c r="AS49" s="17"/>
      <c r="AT49" s="17"/>
      <c r="AU49" s="19" t="str">
        <f>IF(NOT(ISNUMBER(Q49)),"",Q49)</f>
        <v/>
      </c>
      <c r="AV49" s="17"/>
      <c r="AW49" s="17"/>
      <c r="AX49" s="19" t="str">
        <f>IF(OR(AZ49="N/A",NOT(ISNUMBER(T49))),"",T49)</f>
        <v/>
      </c>
      <c r="AY49" s="17"/>
      <c r="AZ49" s="17"/>
      <c r="BA49" s="19" t="str">
        <f>IF(NOT(ISNUMBER(W49)),"",W49)</f>
        <v/>
      </c>
      <c r="BB49" s="17"/>
      <c r="BC49" s="17"/>
      <c r="BD49" s="19" t="str">
        <f>IF(OR(Z49="",Z49="N/A"),"",IF(ISNUMBER(AU49),AU49,""))</f>
        <v/>
      </c>
      <c r="BE49" s="17"/>
      <c r="BF49" s="17"/>
      <c r="BG49" s="17"/>
      <c r="BH49" s="17"/>
      <c r="BI49" s="89" t="e">
        <f>IF(OR(A49="",NOT(ISNUMBER(M49)),AND(WEEKDAY(M49,2)&lt;&gt;2,WEEKDAY(M49,2)&lt;&gt;4)),"",WORKDAY(M49,CABOffsetFromReleaseWD))</f>
        <v>#VALUE!</v>
      </c>
      <c r="BJ49" s="17"/>
      <c r="BK49" s="19" t="str">
        <f>IF(NOT(ISNUMBER(BI49)),"",IF(WEEKDAY(BI49-CodeReviewCalendarDays,2)&gt;5,BI49-CodeReviewCalendarDays-(WEEKDAY(BI49-CodeReviewCalendarDays,2)-5),BI49-CodeReviewCalendarDays))</f>
        <v/>
      </c>
      <c r="BL49" s="17"/>
      <c r="BM49" s="19" t="str">
        <f>IF(NOT(ISNUMBER(BK49)),"",IF(WEEKDAY(BK49-CodeReviewInviteCalendarDays,2)&gt;5,BK49-CodeReviewInviteCalendarDays-(WEEKDAY(BK49-CodeReviewInviteCalendarDays,2)-5),BK49-CodeReviewInviteCalendarDays))</f>
        <v/>
      </c>
      <c r="BN49" s="17"/>
      <c r="BO49" s="17"/>
      <c r="BP49" s="18" t="str">
        <f ca="1">IF(A49="","",IF(IF(AND(ISNUMBER(J49),WEEKDAY(J49,2)&lt;&gt;2,WEEKDAY(J49,2)&lt;&gt;4)," | Release must be Tuesday or Thursday","")&amp;IF(AND(ISNUMBER(H49),WEEKDAY(H49,2)&lt;&gt;1)," | Sprint Start is not a Monday - dates still calculated from the date entered","")&amp;IF(AND(A49&lt;&gt;"",NOT(ISNUMBER(H49)),NOT(ISNUMBER(J49)))," | Enter Sprint Start or Release Date","")&amp;IF(AND(ISNUMBER(F49),F49&lt;TODAY(),D49&lt;&gt;"Completed")," | One or more raise-by dates are in the past and not completed","")&amp;IF(AND(ISNUMBER(K49),K49-TODAY()&lt;SprintWarningDays,K49&gt;=TODAY(),OR(D49="Yet to start",D49="Blocked"))," | Sprint starts in under 10 days - raise access requests now","")&amp;IF(AND(ISNUMBER(BM49),BN49&lt;&gt;"Completed",BN49&lt;&gt;"N/A",BM49-TODAY()&lt;CodeReviewInviteCalendarDays)," | Code Review invite should be sent at least 4 days before Code Review","")="","",MID(IF(AND(ISNUMBER(J49),WEEKDAY(J49,2)&lt;&gt;2,WEEKDAY(J49,2)&lt;&gt;4)," | Release must be Tuesday or Thursday","")&amp;IF(AND(ISNUMBER(H49),WEEKDAY(H49,2)&lt;&gt;1)," | Sprint Start is not a Monday - dates still calculated from the date entered","")&amp;IF(AND(A49&lt;&gt;"",NOT(ISNUMBER(H49)),NOT(ISNUMBER(J49)))," | Enter Sprint Start or Release Date","")&amp;IF(AND(ISNUMBER(F49),F49&lt;TODAY(),D49&lt;&gt;"Completed")," | One or more raise-by dates are in the past and not completed","")&amp;IF(AND(ISNUMBER(K49),K49-TODAY()&lt;SprintWarningDays,K49&gt;=TODAY(),OR(D49="Yet to start",D49="Blocked"))," | Sprint starts in under 10 days - raise access requests now","")&amp;IF(AND(ISNUMBER(BM49),BN49&lt;&gt;"Completed",BN49&lt;&gt;"N/A",BM49-TODAY()&lt;CodeReviewInviteCalendarDays)," | Code Review invite should be sent at least 4 days before Code Review",""),4,500)))</f>
        <v/>
      </c>
      <c r="BQ49" s="85" t="str">
        <f>IF(AND(ISNUMBER(Q49),S49&lt;&gt;"Completed",S49&lt;&gt;"N/A"),Q49,"")</f>
        <v/>
      </c>
      <c r="BR49" s="85" t="str">
        <f>IF(AND(ISNUMBER(T49),V49&lt;&gt;"Completed",V49&lt;&gt;"N/A"),T49,"")</f>
        <v/>
      </c>
      <c r="BS49" s="85" t="str">
        <f>IF(AND(ISNUMBER(W49),Y49&lt;&gt;"Completed",Y49&lt;&gt;"N/A"),W49,"")</f>
        <v/>
      </c>
      <c r="BT49" s="85" t="str">
        <f>IF(AND(ISNUMBER(AA49),AC49&lt;&gt;"Completed",AC49&lt;&gt;"N/A"),AA49,"")</f>
        <v/>
      </c>
      <c r="BU49" s="85" t="str">
        <f>IF(AND(ISNUMBER(AG49),AI49&lt;&gt;"Completed",AI49&lt;&gt;"N/A"),AG49,"")</f>
        <v/>
      </c>
      <c r="BV49" s="85" t="str">
        <f>IF(AND(ISNUMBER(AJ49),AL49&lt;&gt;"Completed",AL49&lt;&gt;"N/A"),AJ49,"")</f>
        <v/>
      </c>
      <c r="BW49" s="85" t="str">
        <f>IF(AND(ISNUMBER(AM49),AO49&lt;&gt;"Completed",AO49&lt;&gt;"N/A"),AM49,"")</f>
        <v/>
      </c>
      <c r="BX49" s="85" t="str">
        <f>IF(AND(ISNUMBER(AP49),AR49&lt;&gt;"Completed",AR49&lt;&gt;"N/A"),AP49,"")</f>
        <v/>
      </c>
      <c r="BY49" s="85" t="str">
        <f>IF(AND(ISNUMBER(AU49),AW49&lt;&gt;"Completed",AW49&lt;&gt;"N/A"),AU49,"")</f>
        <v/>
      </c>
      <c r="BZ49" s="85" t="str">
        <f>IF(AND(ISNUMBER(AX49),AZ49&lt;&gt;"Completed",AZ49&lt;&gt;"N/A"),AX49,"")</f>
        <v/>
      </c>
      <c r="CA49" s="85" t="str">
        <f>IF(AND(ISNUMBER(BA49),BC49&lt;&gt;"Completed",BC49&lt;&gt;"N/A"),BA49,"")</f>
        <v/>
      </c>
      <c r="CB49" s="85" t="str">
        <f>IF(AND(ISNUMBER(BD49),BF49&lt;&gt;"Completed",BF49&lt;&gt;"N/A"),BD49,"")</f>
        <v/>
      </c>
      <c r="CC49" s="85" t="str">
        <f>IF(AND(ISNUMBER(O49),P49&lt;&gt;"Completed",P49&lt;&gt;"N/A"),O49,"")</f>
        <v/>
      </c>
      <c r="CD49" s="85" t="str">
        <f>IF(AND(ISNUMBER(BM49),BN49&lt;&gt;"Completed",BN49&lt;&gt;"N/A"),BM49,"")</f>
        <v/>
      </c>
      <c r="CE49" s="85" t="str">
        <f>IF(AND(ISNUMBER(BK49),BL49&lt;&gt;"Completed",BL49&lt;&gt;"N/A"),BK49,"")</f>
        <v/>
      </c>
      <c r="CF49" s="85" t="str">
        <f>IF(AND(ISNUMBER(BI49),BJ49&lt;&gt;"Completed",BJ49&lt;&gt;"N/A"),BI49,"")</f>
        <v/>
      </c>
      <c r="CG49" s="85" t="str">
        <f ca="1">IF(OR(A49="",D49="Completed"),"",IF(N(G49)&gt;0,1/(N(G49)+ROW()/100000),IF(ISNUMBER(F49),1000+F49+ROW()/100000,TODAY()+400+ROW()/100000)))</f>
        <v/>
      </c>
    </row>
    <row r="50" spans="1:85">
      <c r="A50" s="17"/>
      <c r="B50" s="17"/>
      <c r="C50" s="17"/>
      <c r="D50" s="18" t="str">
        <f>IF(A50="","",IF(((S50="Blocked")+(V50="Blocked")+(Y50="Blocked")+(AC50="Blocked")+(AI50="Blocked")+(AL50="Blocked")+(AO50="Blocked")+(AR50="Blocked")+(AW50="Blocked")+(AZ50="Blocked")+(BC50="Blocked")+(BF50="Blocked")+(P50="Blocked")+(BJ50="Blocked")+(BL50="Blocked")+(BN50="Blocked")+(BO50="Blocked"))&gt;0,"Blocked",IF((ISNUMBER(Q50)+ISNUMBER(T50)+ISNUMBER(W50)+ISNUMBER(AA50)+ISNUMBER(AG50)+ISNUMBER(AJ50)+ISNUMBER(AM50)+ISNUMBER(AP50)+ISNUMBER(AU50)+ISNUMBER(AX50)+ISNUMBER(BA50)+ISNUMBER(BD50)+ISNUMBER(O50)+ISNUMBER(BI50)+ISNUMBER(BK50)+ISNUMBER(BM50))=0,"Yet to start",IF(AND(OR(NOT(ISNUMBER(Q50)),S50="Completed",S50="N/A"),OR(NOT(ISNUMBER(T50)),V50="Completed",V50="N/A"),OR(NOT(ISNUMBER(W50)),Y50="Completed",Y50="N/A"),OR(NOT(ISNUMBER(AA50)),AC50="Completed",AC50="N/A"),OR(NOT(ISNUMBER(AG50)),AI50="Completed",AI50="N/A"),OR(NOT(ISNUMBER(AJ50)),AL50="Completed",AL50="N/A"),OR(NOT(ISNUMBER(AM50)),AO50="Completed",AO50="N/A"),OR(NOT(ISNUMBER(AP50)),AR50="Completed",AR50="N/A"),OR(NOT(ISNUMBER(AU50)),AW50="Completed",AW50="N/A"),OR(NOT(ISNUMBER(AX50)),AZ50="Completed",AZ50="N/A"),OR(NOT(ISNUMBER(BA50)),BC50="Completed",BC50="N/A"),OR(NOT(ISNUMBER(BD50)),BF50="Completed",BF50="N/A"),OR(NOT(ISNUMBER(O50)),P50="Completed",P50="N/A"),OR(NOT(ISNUMBER(BI50)),BJ50="Completed",BJ50="N/A"),OR(NOT(ISNUMBER(BK50)),BL50="Completed",BL50="N/A"),OR(NOT(ISNUMBER(BM50)),BN50="Completed",BN50="N/A"),OR(BO50="Completed",BO50="N/A")),"Completed",IF(((S50="In Progress")+(V50="In Progress")+(Y50="In Progress")+(AC50="In Progress")+(AI50="In Progress")+(AL50="In Progress")+(AO50="In Progress")+(AR50="In Progress")+(AW50="In Progress")+(AZ50="In Progress")+(BC50="In Progress")+(BF50="In Progress")+(P50="In Progress")+(BJ50="In Progress")+(BL50="In Progress")+(BN50="In Progress")+(BO50="In Progress"))&gt;0,"In Progress","Yet to start")))))</f>
        <v/>
      </c>
      <c r="E50" s="18" t="str">
        <f>IF(A50="","",IF(F50="","All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Review","CAB"},MATCH(F50,BQ50:CF50,0))))</f>
        <v/>
      </c>
      <c r="F50" s="19" t="str">
        <f>IF(A50="","",IF(COUNT(BQ50:CF50)=0,"",MIN(BQ50:CF50)))</f>
        <v/>
      </c>
      <c r="G50" s="18" t="str">
        <f ca="1">IF(A50="","",MAX(0,IF(AND(ISNUMBER(Q50),S50&lt;&gt;"Completed",S50&lt;&gt;"N/A",Q50&lt;TODAY()),TODAY()-Q50,0),IF(AND(ISNUMBER(T50),V50&lt;&gt;"Completed",V50&lt;&gt;"N/A",T50&lt;TODAY()),TODAY()-T50,0),IF(AND(ISNUMBER(W50),Y50&lt;&gt;"Completed",Y50&lt;&gt;"N/A",W50&lt;TODAY()),TODAY()-W50,0),IF(AND(ISNUMBER(AA50),AC50&lt;&gt;"Completed",AC50&lt;&gt;"N/A",AA50&lt;TODAY()),TODAY()-AA50,0),IF(AND(ISNUMBER(AG50),AI50&lt;&gt;"Completed",AI50&lt;&gt;"N/A",AG50&lt;TODAY()),TODAY()-AG50,0),IF(AND(ISNUMBER(AJ50),AL50&lt;&gt;"Completed",AL50&lt;&gt;"N/A",AJ50&lt;TODAY()),TODAY()-AJ50,0),IF(AND(ISNUMBER(AM50),AO50&lt;&gt;"Completed",AO50&lt;&gt;"N/A",AM50&lt;TODAY()),TODAY()-AM50,0),IF(AND(ISNUMBER(AP50),AR50&lt;&gt;"Completed",AR50&lt;&gt;"N/A",AP50&lt;TODAY()),TODAY()-AP50,0),IF(AND(ISNUMBER(AU50),AW50&lt;&gt;"Completed",AW50&lt;&gt;"N/A",AU50&lt;TODAY()),TODAY()-AU50,0),IF(AND(ISNUMBER(AX50),AZ50&lt;&gt;"Completed",AZ50&lt;&gt;"N/A",AX50&lt;TODAY()),TODAY()-AX50,0),IF(AND(ISNUMBER(BA50),BC50&lt;&gt;"Completed",BC50&lt;&gt;"N/A",BA50&lt;TODAY()),TODAY()-BA50,0),IF(AND(ISNUMBER(BD50),BF50&lt;&gt;"Completed",BF50&lt;&gt;"N/A",BD50&lt;TODAY()),TODAY()-BD50,0),IF(AND(ISNUMBER(O50),P50&lt;&gt;"Completed",P50&lt;&gt;"N/A",O50&lt;TODAY()),TODAY()-O50,0),IF(AND(ISNUMBER(BM50),BN50&lt;&gt;"Completed",BN50&lt;&gt;"N/A",BM50&lt;TODAY()),TODAY()-BM50,0),IF(AND(ISNUMBER(BK50),BL50&lt;&gt;"Completed",BL50&lt;&gt;"N/A",BK50&lt;TODAY()),TODAY()-BK50,0),IF(AND(ISNUMBER(BI50),BJ50&lt;&gt;"Completed",BJ50&lt;&gt;"N/A",BI50&lt;TODAY()),TODAY()-BI50,0)))</f>
        <v/>
      </c>
      <c r="H50" s="17"/>
      <c r="I50" s="17"/>
      <c r="J50" s="17"/>
      <c r="K50" s="19" t="str">
        <f>IF(ISNUMBER(H50),H50,IF(ISNUMBER(M50),M50-WEEKDAY(M50,2)+1-7,""))</f>
        <v/>
      </c>
      <c r="L50" s="19" t="str">
        <f>IF(ISNUMBER(I50),I50,IF(ISNUMBER(H50),WORKDAY(H50,SprintWorkingDays-1),IF(ISNUMBER(K50),WORKDAY(K50,SprintWorkingDays-1),"")))</f>
        <v/>
      </c>
      <c r="M50" s="19" t="str">
        <f>IF(ISNUMBER(J50),J50,IF(ISNUMBER(I50),I50-IF(OR(WEEKDAY(I50,2)=2,WEEKDAY(I50,2)=4),0,IF(WEEKDAY(I50,2)=3,1,IF(WEEKDAY(I50,2)=1,4,WEEKDAY(I50,2)-4))),IF(ISNUMBER(H50),WORKDAY(H50,SprintWorkingDays-1)-IF(OR(WEEKDAY(WORKDAY(H50,SprintWorkingDays-1),2)=2,WEEKDAY(WORKDAY(H50,SprintWorkingDays-1),2)=4),0,IF(WEEKDAY(WORKDAY(H50,SprintWorkingDays-1),2)=3,1,IF(WEEKDAY(WORKDAY(H50,SprintWorkingDays-1),2)=1,4,WEEKDAY(WORKDAY(H50,SprintWorkingDays-1),2)-4))),"")))</f>
        <v/>
      </c>
      <c r="N50" s="19" t="str">
        <f>IF(NOT(ISNUMBER(K50)),"",WORKDAY(K50,ReadyOffsetWD))</f>
        <v/>
      </c>
      <c r="O50" s="19" t="str">
        <f>IF(NOT(ISNUMBER(K50)),"",WORKDAY(K50,SprintReadinessOffsetWD))</f>
        <v/>
      </c>
      <c r="P50" s="17"/>
      <c r="Q50" s="19" t="str">
        <f>IF(A50="","",IF(V50="N/A",IF(NOT(ISNUMBER(W50)),"",WORKDAY(W50,RTSKOffsetFromOUR_WD)),IF(NOT(ISNUMBER(T50)),"",WORKDAY(T50,RTSKOffsetFromOUR_WD))))</f>
        <v/>
      </c>
      <c r="R50" s="17"/>
      <c r="S50" s="17"/>
      <c r="T50" s="19" t="str">
        <f>IF(OR(A50="",V50="N/A"),"",IF(NOT(ISNUMBER(W50)),"",WORKDAY(W50,OUROffsetFromSR_WD)))</f>
        <v/>
      </c>
      <c r="U50" s="17"/>
      <c r="V50" s="17"/>
      <c r="W50" s="19" t="str">
        <f>IF(OR(A50="",NOT(ISNUMBER(K50))),"",WORKDAY(K50,SROffsetFromStartWD))</f>
        <v/>
      </c>
      <c r="X50" s="17"/>
      <c r="Y50" s="17"/>
      <c r="Z50" s="17"/>
      <c r="AA50" s="19" t="str">
        <f>IF(OR(Z50="",Z50="N/A"),"",IF(ISNUMBER(Q50),Q50,""))</f>
        <v/>
      </c>
      <c r="AB50" s="17"/>
      <c r="AC50" s="17"/>
      <c r="AD50" s="17"/>
      <c r="AE50" s="17"/>
      <c r="AF50" s="17" t="str">
        <f>IF(Z50="N/A","N/A","")</f>
        <v/>
      </c>
      <c r="AG50" s="19" t="str">
        <f>IF(NOT(ISNUMBER(Q50)),"",Q50)</f>
        <v/>
      </c>
      <c r="AH50" s="17"/>
      <c r="AI50" s="17"/>
      <c r="AJ50" s="19" t="str">
        <f>IF(OR(AL50="N/A",NOT(ISNUMBER(T50))),"",T50)</f>
        <v/>
      </c>
      <c r="AK50" s="17"/>
      <c r="AL50" s="17"/>
      <c r="AM50" s="19" t="str">
        <f>IF(NOT(ISNUMBER(W50)),"",W50)</f>
        <v/>
      </c>
      <c r="AN50" s="17"/>
      <c r="AO50" s="17"/>
      <c r="AP50" s="19" t="str">
        <f>IF(OR(Z50="",Z50="N/A"),"",IF(ISNUMBER(AG50),AG50,""))</f>
        <v/>
      </c>
      <c r="AQ50" s="17"/>
      <c r="AR50" s="17"/>
      <c r="AS50" s="17"/>
      <c r="AT50" s="17"/>
      <c r="AU50" s="19" t="str">
        <f>IF(NOT(ISNUMBER(Q50)),"",Q50)</f>
        <v/>
      </c>
      <c r="AV50" s="17"/>
      <c r="AW50" s="17"/>
      <c r="AX50" s="19" t="str">
        <f>IF(OR(AZ50="N/A",NOT(ISNUMBER(T50))),"",T50)</f>
        <v/>
      </c>
      <c r="AY50" s="17"/>
      <c r="AZ50" s="17"/>
      <c r="BA50" s="19" t="str">
        <f>IF(NOT(ISNUMBER(W50)),"",W50)</f>
        <v/>
      </c>
      <c r="BB50" s="17"/>
      <c r="BC50" s="17"/>
      <c r="BD50" s="19" t="str">
        <f>IF(OR(Z50="",Z50="N/A"),"",IF(ISNUMBER(AU50),AU50,""))</f>
        <v/>
      </c>
      <c r="BE50" s="17"/>
      <c r="BF50" s="17"/>
      <c r="BG50" s="17"/>
      <c r="BH50" s="17"/>
      <c r="BI50" s="89" t="e">
        <f>IF(OR(A50="",NOT(ISNUMBER(M50)),AND(WEEKDAY(M50,2)&lt;&gt;2,WEEKDAY(M50,2)&lt;&gt;4)),"",WORKDAY(M50,CABOffsetFromReleaseWD))</f>
        <v>#VALUE!</v>
      </c>
      <c r="BJ50" s="17"/>
      <c r="BK50" s="19" t="str">
        <f>IF(NOT(ISNUMBER(BI50)),"",IF(WEEKDAY(BI50-CodeReviewCalendarDays,2)&gt;5,BI50-CodeReviewCalendarDays-(WEEKDAY(BI50-CodeReviewCalendarDays,2)-5),BI50-CodeReviewCalendarDays))</f>
        <v/>
      </c>
      <c r="BL50" s="17"/>
      <c r="BM50" s="19" t="str">
        <f>IF(NOT(ISNUMBER(BK50)),"",IF(WEEKDAY(BK50-CodeReviewInviteCalendarDays,2)&gt;5,BK50-CodeReviewInviteCalendarDays-(WEEKDAY(BK50-CodeReviewInviteCalendarDays,2)-5),BK50-CodeReviewInviteCalendarDays))</f>
        <v/>
      </c>
      <c r="BN50" s="17"/>
      <c r="BO50" s="17"/>
      <c r="BP50" s="18" t="str">
        <f ca="1">IF(A50="","",IF(IF(AND(ISNUMBER(J50),WEEKDAY(J50,2)&lt;&gt;2,WEEKDAY(J50,2)&lt;&gt;4)," | Release must be Tuesday or Thursday","")&amp;IF(AND(ISNUMBER(H50),WEEKDAY(H50,2)&lt;&gt;1)," | Sprint Start is not a Monday - dates still calculated from the date entered","")&amp;IF(AND(A50&lt;&gt;"",NOT(ISNUMBER(H50)),NOT(ISNUMBER(J50)))," | Enter Sprint Start or Release Date","")&amp;IF(AND(ISNUMBER(F50),F50&lt;TODAY(),D50&lt;&gt;"Completed")," | One or more raise-by dates are in the past and not completed","")&amp;IF(AND(ISNUMBER(K50),K50-TODAY()&lt;SprintWarningDays,K50&gt;=TODAY(),OR(D50="Yet to start",D50="Blocked"))," | Sprint starts in under 10 days - raise access requests now","")&amp;IF(AND(ISNUMBER(BM50),BN50&lt;&gt;"Completed",BN50&lt;&gt;"N/A",BM50-TODAY()&lt;CodeReviewInviteCalendarDays)," | Code Review invite should be sent at least 4 days before Code Review","")="","",MID(IF(AND(ISNUMBER(J50),WEEKDAY(J50,2)&lt;&gt;2,WEEKDAY(J50,2)&lt;&gt;4)," | Release must be Tuesday or Thursday","")&amp;IF(AND(ISNUMBER(H50),WEEKDAY(H50,2)&lt;&gt;1)," | Sprint Start is not a Monday - dates still calculated from the date entered","")&amp;IF(AND(A50&lt;&gt;"",NOT(ISNUMBER(H50)),NOT(ISNUMBER(J50)))," | Enter Sprint Start or Release Date","")&amp;IF(AND(ISNUMBER(F50),F50&lt;TODAY(),D50&lt;&gt;"Completed")," | One or more raise-by dates are in the past and not completed","")&amp;IF(AND(ISNUMBER(K50),K50-TODAY()&lt;SprintWarningDays,K50&gt;=TODAY(),OR(D50="Yet to start",D50="Blocked"))," | Sprint starts in under 10 days - raise access requests now","")&amp;IF(AND(ISNUMBER(BM50),BN50&lt;&gt;"Completed",BN50&lt;&gt;"N/A",BM50-TODAY()&lt;CodeReviewInviteCalendarDays)," | Code Review invite should be sent at least 4 days before Code Review",""),4,500)))</f>
        <v/>
      </c>
      <c r="BQ50" s="85" t="str">
        <f>IF(AND(ISNUMBER(Q50),S50&lt;&gt;"Completed",S50&lt;&gt;"N/A"),Q50,"")</f>
        <v/>
      </c>
      <c r="BR50" s="85" t="str">
        <f>IF(AND(ISNUMBER(T50),V50&lt;&gt;"Completed",V50&lt;&gt;"N/A"),T50,"")</f>
        <v/>
      </c>
      <c r="BS50" s="85" t="str">
        <f>IF(AND(ISNUMBER(W50),Y50&lt;&gt;"Completed",Y50&lt;&gt;"N/A"),W50,"")</f>
        <v/>
      </c>
      <c r="BT50" s="85" t="str">
        <f>IF(AND(ISNUMBER(AA50),AC50&lt;&gt;"Completed",AC50&lt;&gt;"N/A"),AA50,"")</f>
        <v/>
      </c>
      <c r="BU50" s="85" t="str">
        <f>IF(AND(ISNUMBER(AG50),AI50&lt;&gt;"Completed",AI50&lt;&gt;"N/A"),AG50,"")</f>
        <v/>
      </c>
      <c r="BV50" s="85" t="str">
        <f>IF(AND(ISNUMBER(AJ50),AL50&lt;&gt;"Completed",AL50&lt;&gt;"N/A"),AJ50,"")</f>
        <v/>
      </c>
      <c r="BW50" s="85" t="str">
        <f>IF(AND(ISNUMBER(AM50),AO50&lt;&gt;"Completed",AO50&lt;&gt;"N/A"),AM50,"")</f>
        <v/>
      </c>
      <c r="BX50" s="85" t="str">
        <f>IF(AND(ISNUMBER(AP50),AR50&lt;&gt;"Completed",AR50&lt;&gt;"N/A"),AP50,"")</f>
        <v/>
      </c>
      <c r="BY50" s="85" t="str">
        <f>IF(AND(ISNUMBER(AU50),AW50&lt;&gt;"Completed",AW50&lt;&gt;"N/A"),AU50,"")</f>
        <v/>
      </c>
      <c r="BZ50" s="85" t="str">
        <f>IF(AND(ISNUMBER(AX50),AZ50&lt;&gt;"Completed",AZ50&lt;&gt;"N/A"),AX50,"")</f>
        <v/>
      </c>
      <c r="CA50" s="85" t="str">
        <f>IF(AND(ISNUMBER(BA50),BC50&lt;&gt;"Completed",BC50&lt;&gt;"N/A"),BA50,"")</f>
        <v/>
      </c>
      <c r="CB50" s="85" t="str">
        <f>IF(AND(ISNUMBER(BD50),BF50&lt;&gt;"Completed",BF50&lt;&gt;"N/A"),BD50,"")</f>
        <v/>
      </c>
      <c r="CC50" s="85" t="str">
        <f>IF(AND(ISNUMBER(O50),P50&lt;&gt;"Completed",P50&lt;&gt;"N/A"),O50,"")</f>
        <v/>
      </c>
      <c r="CD50" s="85" t="str">
        <f>IF(AND(ISNUMBER(BM50),BN50&lt;&gt;"Completed",BN50&lt;&gt;"N/A"),BM50,"")</f>
        <v/>
      </c>
      <c r="CE50" s="85" t="str">
        <f>IF(AND(ISNUMBER(BK50),BL50&lt;&gt;"Completed",BL50&lt;&gt;"N/A"),BK50,"")</f>
        <v/>
      </c>
      <c r="CF50" s="85" t="str">
        <f>IF(AND(ISNUMBER(BI50),BJ50&lt;&gt;"Completed",BJ50&lt;&gt;"N/A"),BI50,"")</f>
        <v/>
      </c>
      <c r="CG50" s="85" t="str">
        <f ca="1">IF(OR(A50="",D50="Completed"),"",IF(N(G50)&gt;0,1/(N(G50)+ROW()/100000),IF(ISNUMBER(F50),1000+F50+ROW()/100000,TODAY()+400+ROW()/100000)))</f>
        <v/>
      </c>
    </row>
    <row r="51" spans="1:85">
      <c r="A51" s="17"/>
      <c r="B51" s="17"/>
      <c r="C51" s="17"/>
      <c r="D51" s="18" t="str">
        <f>IF(A51="","",IF(((S51="Blocked")+(V51="Blocked")+(Y51="Blocked")+(AC51="Blocked")+(AI51="Blocked")+(AL51="Blocked")+(AO51="Blocked")+(AR51="Blocked")+(AW51="Blocked")+(AZ51="Blocked")+(BC51="Blocked")+(BF51="Blocked")+(P51="Blocked")+(BJ51="Blocked")+(BL51="Blocked")+(BN51="Blocked")+(BO51="Blocked"))&gt;0,"Blocked",IF((ISNUMBER(Q51)+ISNUMBER(T51)+ISNUMBER(W51)+ISNUMBER(AA51)+ISNUMBER(AG51)+ISNUMBER(AJ51)+ISNUMBER(AM51)+ISNUMBER(AP51)+ISNUMBER(AU51)+ISNUMBER(AX51)+ISNUMBER(BA51)+ISNUMBER(BD51)+ISNUMBER(O51)+ISNUMBER(BI51)+ISNUMBER(BK51)+ISNUMBER(BM51))=0,"Yet to start",IF(AND(OR(NOT(ISNUMBER(Q51)),S51="Completed",S51="N/A"),OR(NOT(ISNUMBER(T51)),V51="Completed",V51="N/A"),OR(NOT(ISNUMBER(W51)),Y51="Completed",Y51="N/A"),OR(NOT(ISNUMBER(AA51)),AC51="Completed",AC51="N/A"),OR(NOT(ISNUMBER(AG51)),AI51="Completed",AI51="N/A"),OR(NOT(ISNUMBER(AJ51)),AL51="Completed",AL51="N/A"),OR(NOT(ISNUMBER(AM51)),AO51="Completed",AO51="N/A"),OR(NOT(ISNUMBER(AP51)),AR51="Completed",AR51="N/A"),OR(NOT(ISNUMBER(AU51)),AW51="Completed",AW51="N/A"),OR(NOT(ISNUMBER(AX51)),AZ51="Completed",AZ51="N/A"),OR(NOT(ISNUMBER(BA51)),BC51="Completed",BC51="N/A"),OR(NOT(ISNUMBER(BD51)),BF51="Completed",BF51="N/A"),OR(NOT(ISNUMBER(O51)),P51="Completed",P51="N/A"),OR(NOT(ISNUMBER(BI51)),BJ51="Completed",BJ51="N/A"),OR(NOT(ISNUMBER(BK51)),BL51="Completed",BL51="N/A"),OR(NOT(ISNUMBER(BM51)),BN51="Completed",BN51="N/A"),OR(BO51="Completed",BO51="N/A")),"Completed",IF(((S51="In Progress")+(V51="In Progress")+(Y51="In Progress")+(AC51="In Progress")+(AI51="In Progress")+(AL51="In Progress")+(AO51="In Progress")+(AR51="In Progress")+(AW51="In Progress")+(AZ51="In Progress")+(BC51="In Progress")+(BF51="In Progress")+(P51="In Progress")+(BJ51="In Progress")+(BL51="In Progress")+(BN51="In Progress")+(BO51="In Progress"))&gt;0,"In Progress","Yet to start")))))</f>
        <v/>
      </c>
      <c r="E51" s="18" t="str">
        <f>IF(A51="","",IF(F51="","All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Review","CAB"},MATCH(F51,BQ51:CF51,0))))</f>
        <v/>
      </c>
      <c r="F51" s="19" t="str">
        <f>IF(A51="","",IF(COUNT(BQ51:CF51)=0,"",MIN(BQ51:CF51)))</f>
        <v/>
      </c>
      <c r="G51" s="18" t="str">
        <f ca="1">IF(A51="","",MAX(0,IF(AND(ISNUMBER(Q51),S51&lt;&gt;"Completed",S51&lt;&gt;"N/A",Q51&lt;TODAY()),TODAY()-Q51,0),IF(AND(ISNUMBER(T51),V51&lt;&gt;"Completed",V51&lt;&gt;"N/A",T51&lt;TODAY()),TODAY()-T51,0),IF(AND(ISNUMBER(W51),Y51&lt;&gt;"Completed",Y51&lt;&gt;"N/A",W51&lt;TODAY()),TODAY()-W51,0),IF(AND(ISNUMBER(AA51),AC51&lt;&gt;"Completed",AC51&lt;&gt;"N/A",AA51&lt;TODAY()),TODAY()-AA51,0),IF(AND(ISNUMBER(AG51),AI51&lt;&gt;"Completed",AI51&lt;&gt;"N/A",AG51&lt;TODAY()),TODAY()-AG51,0),IF(AND(ISNUMBER(AJ51),AL51&lt;&gt;"Completed",AL51&lt;&gt;"N/A",AJ51&lt;TODAY()),TODAY()-AJ51,0),IF(AND(ISNUMBER(AM51),AO51&lt;&gt;"Completed",AO51&lt;&gt;"N/A",AM51&lt;TODAY()),TODAY()-AM51,0),IF(AND(ISNUMBER(AP51),AR51&lt;&gt;"Completed",AR51&lt;&gt;"N/A",AP51&lt;TODAY()),TODAY()-AP51,0),IF(AND(ISNUMBER(AU51),AW51&lt;&gt;"Completed",AW51&lt;&gt;"N/A",AU51&lt;TODAY()),TODAY()-AU51,0),IF(AND(ISNUMBER(AX51),AZ51&lt;&gt;"Completed",AZ51&lt;&gt;"N/A",AX51&lt;TODAY()),TODAY()-AX51,0),IF(AND(ISNUMBER(BA51),BC51&lt;&gt;"Completed",BC51&lt;&gt;"N/A",BA51&lt;TODAY()),TODAY()-BA51,0),IF(AND(ISNUMBER(BD51),BF51&lt;&gt;"Completed",BF51&lt;&gt;"N/A",BD51&lt;TODAY()),TODAY()-BD51,0),IF(AND(ISNUMBER(O51),P51&lt;&gt;"Completed",P51&lt;&gt;"N/A",O51&lt;TODAY()),TODAY()-O51,0),IF(AND(ISNUMBER(BM51),BN51&lt;&gt;"Completed",BN51&lt;&gt;"N/A",BM51&lt;TODAY()),TODAY()-BM51,0),IF(AND(ISNUMBER(BK51),BL51&lt;&gt;"Completed",BL51&lt;&gt;"N/A",BK51&lt;TODAY()),TODAY()-BK51,0),IF(AND(ISNUMBER(BI51),BJ51&lt;&gt;"Completed",BJ51&lt;&gt;"N/A",BI51&lt;TODAY()),TODAY()-BI51,0)))</f>
        <v/>
      </c>
      <c r="H51" s="17"/>
      <c r="I51" s="17"/>
      <c r="J51" s="17"/>
      <c r="K51" s="19" t="str">
        <f>IF(ISNUMBER(H51),H51,IF(ISNUMBER(M51),M51-WEEKDAY(M51,2)+1-7,""))</f>
        <v/>
      </c>
      <c r="L51" s="19" t="str">
        <f>IF(ISNUMBER(I51),I51,IF(ISNUMBER(H51),WORKDAY(H51,SprintWorkingDays-1),IF(ISNUMBER(K51),WORKDAY(K51,SprintWorkingDays-1),"")))</f>
        <v/>
      </c>
      <c r="M51" s="19" t="str">
        <f>IF(ISNUMBER(J51),J51,IF(ISNUMBER(I51),I51-IF(OR(WEEKDAY(I51,2)=2,WEEKDAY(I51,2)=4),0,IF(WEEKDAY(I51,2)=3,1,IF(WEEKDAY(I51,2)=1,4,WEEKDAY(I51,2)-4))),IF(ISNUMBER(H51),WORKDAY(H51,SprintWorkingDays-1)-IF(OR(WEEKDAY(WORKDAY(H51,SprintWorkingDays-1),2)=2,WEEKDAY(WORKDAY(H51,SprintWorkingDays-1),2)=4),0,IF(WEEKDAY(WORKDAY(H51,SprintWorkingDays-1),2)=3,1,IF(WEEKDAY(WORKDAY(H51,SprintWorkingDays-1),2)=1,4,WEEKDAY(WORKDAY(H51,SprintWorkingDays-1),2)-4))),"")))</f>
        <v/>
      </c>
      <c r="N51" s="19" t="str">
        <f>IF(NOT(ISNUMBER(K51)),"",WORKDAY(K51,ReadyOffsetWD))</f>
        <v/>
      </c>
      <c r="O51" s="19" t="str">
        <f>IF(NOT(ISNUMBER(K51)),"",WORKDAY(K51,SprintReadinessOffsetWD))</f>
        <v/>
      </c>
      <c r="P51" s="17"/>
      <c r="Q51" s="19" t="str">
        <f>IF(A51="","",IF(V51="N/A",IF(NOT(ISNUMBER(W51)),"",WORKDAY(W51,RTSKOffsetFromOUR_WD)),IF(NOT(ISNUMBER(T51)),"",WORKDAY(T51,RTSKOffsetFromOUR_WD))))</f>
        <v/>
      </c>
      <c r="R51" s="17"/>
      <c r="S51" s="17"/>
      <c r="T51" s="19" t="str">
        <f>IF(OR(A51="",V51="N/A"),"",IF(NOT(ISNUMBER(W51)),"",WORKDAY(W51,OUROffsetFromSR_WD)))</f>
        <v/>
      </c>
      <c r="U51" s="17"/>
      <c r="V51" s="17"/>
      <c r="W51" s="19" t="str">
        <f>IF(OR(A51="",NOT(ISNUMBER(K51))),"",WORKDAY(K51,SROffsetFromStartWD))</f>
        <v/>
      </c>
      <c r="X51" s="17"/>
      <c r="Y51" s="17"/>
      <c r="Z51" s="17"/>
      <c r="AA51" s="19" t="str">
        <f>IF(OR(Z51="",Z51="N/A"),"",IF(ISNUMBER(Q51),Q51,""))</f>
        <v/>
      </c>
      <c r="AB51" s="17"/>
      <c r="AC51" s="17"/>
      <c r="AD51" s="17"/>
      <c r="AE51" s="17"/>
      <c r="AF51" s="17" t="str">
        <f>IF(Z51="N/A","N/A","")</f>
        <v/>
      </c>
      <c r="AG51" s="19" t="str">
        <f>IF(NOT(ISNUMBER(Q51)),"",Q51)</f>
        <v/>
      </c>
      <c r="AH51" s="17"/>
      <c r="AI51" s="17"/>
      <c r="AJ51" s="19" t="str">
        <f>IF(OR(AL51="N/A",NOT(ISNUMBER(T51))),"",T51)</f>
        <v/>
      </c>
      <c r="AK51" s="17"/>
      <c r="AL51" s="17"/>
      <c r="AM51" s="19" t="str">
        <f>IF(NOT(ISNUMBER(W51)),"",W51)</f>
        <v/>
      </c>
      <c r="AN51" s="17"/>
      <c r="AO51" s="17"/>
      <c r="AP51" s="19" t="str">
        <f>IF(OR(Z51="",Z51="N/A"),"",IF(ISNUMBER(AG51),AG51,""))</f>
        <v/>
      </c>
      <c r="AQ51" s="17"/>
      <c r="AR51" s="17"/>
      <c r="AS51" s="17"/>
      <c r="AT51" s="17"/>
      <c r="AU51" s="19" t="str">
        <f>IF(NOT(ISNUMBER(Q51)),"",Q51)</f>
        <v/>
      </c>
      <c r="AV51" s="17"/>
      <c r="AW51" s="17"/>
      <c r="AX51" s="19" t="str">
        <f>IF(OR(AZ51="N/A",NOT(ISNUMBER(T51))),"",T51)</f>
        <v/>
      </c>
      <c r="AY51" s="17"/>
      <c r="AZ51" s="17"/>
      <c r="BA51" s="19" t="str">
        <f>IF(NOT(ISNUMBER(W51)),"",W51)</f>
        <v/>
      </c>
      <c r="BB51" s="17"/>
      <c r="BC51" s="17"/>
      <c r="BD51" s="19" t="str">
        <f>IF(OR(Z51="",Z51="N/A"),"",IF(ISNUMBER(AU51),AU51,""))</f>
        <v/>
      </c>
      <c r="BE51" s="17"/>
      <c r="BF51" s="17"/>
      <c r="BG51" s="17"/>
      <c r="BH51" s="17"/>
      <c r="BI51" s="89" t="e">
        <f>IF(OR(A51="",NOT(ISNUMBER(M51)),AND(WEEKDAY(M51,2)&lt;&gt;2,WEEKDAY(M51,2)&lt;&gt;4)),"",WORKDAY(M51,CABOffsetFromReleaseWD))</f>
        <v>#VALUE!</v>
      </c>
      <c r="BJ51" s="17"/>
      <c r="BK51" s="19" t="str">
        <f>IF(NOT(ISNUMBER(BI51)),"",IF(WEEKDAY(BI51-CodeReviewCalendarDays,2)&gt;5,BI51-CodeReviewCalendarDays-(WEEKDAY(BI51-CodeReviewCalendarDays,2)-5),BI51-CodeReviewCalendarDays))</f>
        <v/>
      </c>
      <c r="BL51" s="17"/>
      <c r="BM51" s="19" t="str">
        <f>IF(NOT(ISNUMBER(BK51)),"",IF(WEEKDAY(BK51-CodeReviewInviteCalendarDays,2)&gt;5,BK51-CodeReviewInviteCalendarDays-(WEEKDAY(BK51-CodeReviewInviteCalendarDays,2)-5),BK51-CodeReviewInviteCalendarDays))</f>
        <v/>
      </c>
      <c r="BN51" s="17"/>
      <c r="BO51" s="17"/>
      <c r="BP51" s="18" t="str">
        <f ca="1">IF(A51="","",IF(IF(AND(ISNUMBER(J51),WEEKDAY(J51,2)&lt;&gt;2,WEEKDAY(J51,2)&lt;&gt;4)," | Release must be Tuesday or Thursday","")&amp;IF(AND(ISNUMBER(H51),WEEKDAY(H51,2)&lt;&gt;1)," | Sprint Start is not a Monday - dates still calculated from the date entered","")&amp;IF(AND(A51&lt;&gt;"",NOT(ISNUMBER(H51)),NOT(ISNUMBER(J51)))," | Enter Sprint Start or Release Date","")&amp;IF(AND(ISNUMBER(F51),F51&lt;TODAY(),D51&lt;&gt;"Completed")," | One or more raise-by dates are in the past and not completed","")&amp;IF(AND(ISNUMBER(K51),K51-TODAY()&lt;SprintWarningDays,K51&gt;=TODAY(),OR(D51="Yet to start",D51="Blocked"))," | Sprint starts in under 10 days - raise access requests now","")&amp;IF(AND(ISNUMBER(BM51),BN51&lt;&gt;"Completed",BN51&lt;&gt;"N/A",BM51-TODAY()&lt;CodeReviewInviteCalendarDays)," | Code Review invite should be sent at least 4 days before Code Review","")="","",MID(IF(AND(ISNUMBER(J51),WEEKDAY(J51,2)&lt;&gt;2,WEEKDAY(J51,2)&lt;&gt;4)," | Release must be Tuesday or Thursday","")&amp;IF(AND(ISNUMBER(H51),WEEKDAY(H51,2)&lt;&gt;1)," | Sprint Start is not a Monday - dates still calculated from the date entered","")&amp;IF(AND(A51&lt;&gt;"",NOT(ISNUMBER(H51)),NOT(ISNUMBER(J51)))," | Enter Sprint Start or Release Date","")&amp;IF(AND(ISNUMBER(F51),F51&lt;TODAY(),D51&lt;&gt;"Completed")," | One or more raise-by dates are in the past and not completed","")&amp;IF(AND(ISNUMBER(K51),K51-TODAY()&lt;SprintWarningDays,K51&gt;=TODAY(),OR(D51="Yet to start",D51="Blocked"))," | Sprint starts in under 10 days - raise access requests now","")&amp;IF(AND(ISNUMBER(BM51),BN51&lt;&gt;"Completed",BN51&lt;&gt;"N/A",BM51-TODAY()&lt;CodeReviewInviteCalendarDays)," | Code Review invite should be sent at least 4 days before Code Review",""),4,500)))</f>
        <v/>
      </c>
      <c r="BQ51" s="85" t="str">
        <f>IF(AND(ISNUMBER(Q51),S51&lt;&gt;"Completed",S51&lt;&gt;"N/A"),Q51,"")</f>
        <v/>
      </c>
      <c r="BR51" s="85" t="str">
        <f>IF(AND(ISNUMBER(T51),V51&lt;&gt;"Completed",V51&lt;&gt;"N/A"),T51,"")</f>
        <v/>
      </c>
      <c r="BS51" s="85" t="str">
        <f>IF(AND(ISNUMBER(W51),Y51&lt;&gt;"Completed",Y51&lt;&gt;"N/A"),W51,"")</f>
        <v/>
      </c>
      <c r="BT51" s="85" t="str">
        <f>IF(AND(ISNUMBER(AA51),AC51&lt;&gt;"Completed",AC51&lt;&gt;"N/A"),AA51,"")</f>
        <v/>
      </c>
      <c r="BU51" s="85" t="str">
        <f>IF(AND(ISNUMBER(AG51),AI51&lt;&gt;"Completed",AI51&lt;&gt;"N/A"),AG51,"")</f>
        <v/>
      </c>
      <c r="BV51" s="85" t="str">
        <f>IF(AND(ISNUMBER(AJ51),AL51&lt;&gt;"Completed",AL51&lt;&gt;"N/A"),AJ51,"")</f>
        <v/>
      </c>
      <c r="BW51" s="85" t="str">
        <f>IF(AND(ISNUMBER(AM51),AO51&lt;&gt;"Completed",AO51&lt;&gt;"N/A"),AM51,"")</f>
        <v/>
      </c>
      <c r="BX51" s="85" t="str">
        <f>IF(AND(ISNUMBER(AP51),AR51&lt;&gt;"Completed",AR51&lt;&gt;"N/A"),AP51,"")</f>
        <v/>
      </c>
      <c r="BY51" s="85" t="str">
        <f>IF(AND(ISNUMBER(AU51),AW51&lt;&gt;"Completed",AW51&lt;&gt;"N/A"),AU51,"")</f>
        <v/>
      </c>
      <c r="BZ51" s="85" t="str">
        <f>IF(AND(ISNUMBER(AX51),AZ51&lt;&gt;"Completed",AZ51&lt;&gt;"N/A"),AX51,"")</f>
        <v/>
      </c>
      <c r="CA51" s="85" t="str">
        <f>IF(AND(ISNUMBER(BA51),BC51&lt;&gt;"Completed",BC51&lt;&gt;"N/A"),BA51,"")</f>
        <v/>
      </c>
      <c r="CB51" s="85" t="str">
        <f>IF(AND(ISNUMBER(BD51),BF51&lt;&gt;"Completed",BF51&lt;&gt;"N/A"),BD51,"")</f>
        <v/>
      </c>
      <c r="CC51" s="85" t="str">
        <f>IF(AND(ISNUMBER(O51),P51&lt;&gt;"Completed",P51&lt;&gt;"N/A"),O51,"")</f>
        <v/>
      </c>
      <c r="CD51" s="85" t="str">
        <f>IF(AND(ISNUMBER(BM51),BN51&lt;&gt;"Completed",BN51&lt;&gt;"N/A"),BM51,"")</f>
        <v/>
      </c>
      <c r="CE51" s="85" t="str">
        <f>IF(AND(ISNUMBER(BK51),BL51&lt;&gt;"Completed",BL51&lt;&gt;"N/A"),BK51,"")</f>
        <v/>
      </c>
      <c r="CF51" s="85" t="str">
        <f>IF(AND(ISNUMBER(BI51),BJ51&lt;&gt;"Completed",BJ51&lt;&gt;"N/A"),BI51,"")</f>
        <v/>
      </c>
      <c r="CG51" s="85" t="str">
        <f ca="1">IF(OR(A51="",D51="Completed"),"",IF(N(G51)&gt;0,1/(N(G51)+ROW()/100000),IF(ISNUMBER(F51),1000+F51+ROW()/100000,TODAY()+400+ROW()/100000)))</f>
        <v/>
      </c>
    </row>
    <row r="52" spans="1:85">
      <c r="A52" s="17"/>
      <c r="B52" s="17"/>
      <c r="C52" s="17"/>
      <c r="D52" s="18" t="str">
        <f>IF(A52="","",IF(((S52="Blocked")+(V52="Blocked")+(Y52="Blocked")+(AC52="Blocked")+(AI52="Blocked")+(AL52="Blocked")+(AO52="Blocked")+(AR52="Blocked")+(AW52="Blocked")+(AZ52="Blocked")+(BC52="Blocked")+(BF52="Blocked")+(P52="Blocked")+(BJ52="Blocked")+(BL52="Blocked")+(BN52="Blocked")+(BO52="Blocked"))&gt;0,"Blocked",IF((ISNUMBER(Q52)+ISNUMBER(T52)+ISNUMBER(W52)+ISNUMBER(AA52)+ISNUMBER(AG52)+ISNUMBER(AJ52)+ISNUMBER(AM52)+ISNUMBER(AP52)+ISNUMBER(AU52)+ISNUMBER(AX52)+ISNUMBER(BA52)+ISNUMBER(BD52)+ISNUMBER(O52)+ISNUMBER(BI52)+ISNUMBER(BK52)+ISNUMBER(BM52))=0,"Yet to start",IF(AND(OR(NOT(ISNUMBER(Q52)),S52="Completed",S52="N/A"),OR(NOT(ISNUMBER(T52)),V52="Completed",V52="N/A"),OR(NOT(ISNUMBER(W52)),Y52="Completed",Y52="N/A"),OR(NOT(ISNUMBER(AA52)),AC52="Completed",AC52="N/A"),OR(NOT(ISNUMBER(AG52)),AI52="Completed",AI52="N/A"),OR(NOT(ISNUMBER(AJ52)),AL52="Completed",AL52="N/A"),OR(NOT(ISNUMBER(AM52)),AO52="Completed",AO52="N/A"),OR(NOT(ISNUMBER(AP52)),AR52="Completed",AR52="N/A"),OR(NOT(ISNUMBER(AU52)),AW52="Completed",AW52="N/A"),OR(NOT(ISNUMBER(AX52)),AZ52="Completed",AZ52="N/A"),OR(NOT(ISNUMBER(BA52)),BC52="Completed",BC52="N/A"),OR(NOT(ISNUMBER(BD52)),BF52="Completed",BF52="N/A"),OR(NOT(ISNUMBER(O52)),P52="Completed",P52="N/A"),OR(NOT(ISNUMBER(BI52)),BJ52="Completed",BJ52="N/A"),OR(NOT(ISNUMBER(BK52)),BL52="Completed",BL52="N/A"),OR(NOT(ISNUMBER(BM52)),BN52="Completed",BN52="N/A"),OR(BO52="Completed",BO52="N/A")),"Completed",IF(((S52="In Progress")+(V52="In Progress")+(Y52="In Progress")+(AC52="In Progress")+(AI52="In Progress")+(AL52="In Progress")+(AO52="In Progress")+(AR52="In Progress")+(AW52="In Progress")+(AZ52="In Progress")+(BC52="In Progress")+(BF52="In Progress")+(P52="In Progress")+(BJ52="In Progress")+(BL52="In Progress")+(BN52="In Progress")+(BO52="In Progress"))&gt;0,"In Progress","Yet to start")))))</f>
        <v/>
      </c>
      <c r="E52" s="18" t="str">
        <f>IF(A52="","",IF(F52="","All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Review","CAB"},MATCH(F52,BQ52:CF52,0))))</f>
        <v/>
      </c>
      <c r="F52" s="19" t="str">
        <f>IF(A52="","",IF(COUNT(BQ52:CF52)=0,"",MIN(BQ52:CF52)))</f>
        <v/>
      </c>
      <c r="G52" s="18" t="str">
        <f ca="1">IF(A52="","",MAX(0,IF(AND(ISNUMBER(Q52),S52&lt;&gt;"Completed",S52&lt;&gt;"N/A",Q52&lt;TODAY()),TODAY()-Q52,0),IF(AND(ISNUMBER(T52),V52&lt;&gt;"Completed",V52&lt;&gt;"N/A",T52&lt;TODAY()),TODAY()-T52,0),IF(AND(ISNUMBER(W52),Y52&lt;&gt;"Completed",Y52&lt;&gt;"N/A",W52&lt;TODAY()),TODAY()-W52,0),IF(AND(ISNUMBER(AA52),AC52&lt;&gt;"Completed",AC52&lt;&gt;"N/A",AA52&lt;TODAY()),TODAY()-AA52,0),IF(AND(ISNUMBER(AG52),AI52&lt;&gt;"Completed",AI52&lt;&gt;"N/A",AG52&lt;TODAY()),TODAY()-AG52,0),IF(AND(ISNUMBER(AJ52),AL52&lt;&gt;"Completed",AL52&lt;&gt;"N/A",AJ52&lt;TODAY()),TODAY()-AJ52,0),IF(AND(ISNUMBER(AM52),AO52&lt;&gt;"Completed",AO52&lt;&gt;"N/A",AM52&lt;TODAY()),TODAY()-AM52,0),IF(AND(ISNUMBER(AP52),AR52&lt;&gt;"Completed",AR52&lt;&gt;"N/A",AP52&lt;TODAY()),TODAY()-AP52,0),IF(AND(ISNUMBER(AU52),AW52&lt;&gt;"Completed",AW52&lt;&gt;"N/A",AU52&lt;TODAY()),TODAY()-AU52,0),IF(AND(ISNUMBER(AX52),AZ52&lt;&gt;"Completed",AZ52&lt;&gt;"N/A",AX52&lt;TODAY()),TODAY()-AX52,0),IF(AND(ISNUMBER(BA52),BC52&lt;&gt;"Completed",BC52&lt;&gt;"N/A",BA52&lt;TODAY()),TODAY()-BA52,0),IF(AND(ISNUMBER(BD52),BF52&lt;&gt;"Completed",BF52&lt;&gt;"N/A",BD52&lt;TODAY()),TODAY()-BD52,0),IF(AND(ISNUMBER(O52),P52&lt;&gt;"Completed",P52&lt;&gt;"N/A",O52&lt;TODAY()),TODAY()-O52,0),IF(AND(ISNUMBER(BM52),BN52&lt;&gt;"Completed",BN52&lt;&gt;"N/A",BM52&lt;TODAY()),TODAY()-BM52,0),IF(AND(ISNUMBER(BK52),BL52&lt;&gt;"Completed",BL52&lt;&gt;"N/A",BK52&lt;TODAY()),TODAY()-BK52,0),IF(AND(ISNUMBER(BI52),BJ52&lt;&gt;"Completed",BJ52&lt;&gt;"N/A",BI52&lt;TODAY()),TODAY()-BI52,0)))</f>
        <v/>
      </c>
      <c r="H52" s="17"/>
      <c r="I52" s="17"/>
      <c r="J52" s="17"/>
      <c r="K52" s="19" t="str">
        <f>IF(ISNUMBER(H52),H52,IF(ISNUMBER(M52),M52-WEEKDAY(M52,2)+1-7,""))</f>
        <v/>
      </c>
      <c r="L52" s="19" t="str">
        <f>IF(ISNUMBER(I52),I52,IF(ISNUMBER(H52),WORKDAY(H52,SprintWorkingDays-1),IF(ISNUMBER(K52),WORKDAY(K52,SprintWorkingDays-1),"")))</f>
        <v/>
      </c>
      <c r="M52" s="19" t="str">
        <f>IF(ISNUMBER(J52),J52,IF(ISNUMBER(I52),I52-IF(OR(WEEKDAY(I52,2)=2,WEEKDAY(I52,2)=4),0,IF(WEEKDAY(I52,2)=3,1,IF(WEEKDAY(I52,2)=1,4,WEEKDAY(I52,2)-4))),IF(ISNUMBER(H52),WORKDAY(H52,SprintWorkingDays-1)-IF(OR(WEEKDAY(WORKDAY(H52,SprintWorkingDays-1),2)=2,WEEKDAY(WORKDAY(H52,SprintWorkingDays-1),2)=4),0,IF(WEEKDAY(WORKDAY(H52,SprintWorkingDays-1),2)=3,1,IF(WEEKDAY(WORKDAY(H52,SprintWorkingDays-1),2)=1,4,WEEKDAY(WORKDAY(H52,SprintWorkingDays-1),2)-4))),"")))</f>
        <v/>
      </c>
      <c r="N52" s="19" t="str">
        <f>IF(NOT(ISNUMBER(K52)),"",WORKDAY(K52,ReadyOffsetWD))</f>
        <v/>
      </c>
      <c r="O52" s="19" t="str">
        <f>IF(NOT(ISNUMBER(K52)),"",WORKDAY(K52,SprintReadinessOffsetWD))</f>
        <v/>
      </c>
      <c r="P52" s="17"/>
      <c r="Q52" s="19" t="str">
        <f>IF(A52="","",IF(V52="N/A",IF(NOT(ISNUMBER(W52)),"",WORKDAY(W52,RTSKOffsetFromOUR_WD)),IF(NOT(ISNUMBER(T52)),"",WORKDAY(T52,RTSKOffsetFromOUR_WD))))</f>
        <v/>
      </c>
      <c r="R52" s="17"/>
      <c r="S52" s="17"/>
      <c r="T52" s="19" t="str">
        <f>IF(OR(A52="",V52="N/A"),"",IF(NOT(ISNUMBER(W52)),"",WORKDAY(W52,OUROffsetFromSR_WD)))</f>
        <v/>
      </c>
      <c r="U52" s="17"/>
      <c r="V52" s="17"/>
      <c r="W52" s="19" t="str">
        <f>IF(OR(A52="",NOT(ISNUMBER(K52))),"",WORKDAY(K52,SROffsetFromStartWD))</f>
        <v/>
      </c>
      <c r="X52" s="17"/>
      <c r="Y52" s="17"/>
      <c r="Z52" s="17"/>
      <c r="AA52" s="19" t="str">
        <f>IF(OR(Z52="",Z52="N/A"),"",IF(ISNUMBER(Q52),Q52,""))</f>
        <v/>
      </c>
      <c r="AB52" s="17"/>
      <c r="AC52" s="17"/>
      <c r="AD52" s="17"/>
      <c r="AE52" s="17"/>
      <c r="AF52" s="17" t="str">
        <f>IF(Z52="N/A","N/A","")</f>
        <v/>
      </c>
      <c r="AG52" s="19" t="str">
        <f>IF(NOT(ISNUMBER(Q52)),"",Q52)</f>
        <v/>
      </c>
      <c r="AH52" s="17"/>
      <c r="AI52" s="17"/>
      <c r="AJ52" s="19" t="str">
        <f>IF(OR(AL52="N/A",NOT(ISNUMBER(T52))),"",T52)</f>
        <v/>
      </c>
      <c r="AK52" s="17"/>
      <c r="AL52" s="17"/>
      <c r="AM52" s="19" t="str">
        <f>IF(NOT(ISNUMBER(W52)),"",W52)</f>
        <v/>
      </c>
      <c r="AN52" s="17"/>
      <c r="AO52" s="17"/>
      <c r="AP52" s="19" t="str">
        <f>IF(OR(Z52="",Z52="N/A"),"",IF(ISNUMBER(AG52),AG52,""))</f>
        <v/>
      </c>
      <c r="AQ52" s="17"/>
      <c r="AR52" s="17"/>
      <c r="AS52" s="17"/>
      <c r="AT52" s="17"/>
      <c r="AU52" s="19" t="str">
        <f>IF(NOT(ISNUMBER(Q52)),"",Q52)</f>
        <v/>
      </c>
      <c r="AV52" s="17"/>
      <c r="AW52" s="17"/>
      <c r="AX52" s="19" t="str">
        <f>IF(OR(AZ52="N/A",NOT(ISNUMBER(T52))),"",T52)</f>
        <v/>
      </c>
      <c r="AY52" s="17"/>
      <c r="AZ52" s="17"/>
      <c r="BA52" s="19" t="str">
        <f>IF(NOT(ISNUMBER(W52)),"",W52)</f>
        <v/>
      </c>
      <c r="BB52" s="17"/>
      <c r="BC52" s="17"/>
      <c r="BD52" s="19" t="str">
        <f>IF(OR(Z52="",Z52="N/A"),"",IF(ISNUMBER(AU52),AU52,""))</f>
        <v/>
      </c>
      <c r="BE52" s="17"/>
      <c r="BF52" s="17"/>
      <c r="BG52" s="17"/>
      <c r="BH52" s="17"/>
      <c r="BI52" s="89" t="e">
        <f>IF(OR(A52="",NOT(ISNUMBER(M52)),AND(WEEKDAY(M52,2)&lt;&gt;2,WEEKDAY(M52,2)&lt;&gt;4)),"",WORKDAY(M52,CABOffsetFromReleaseWD))</f>
        <v>#VALUE!</v>
      </c>
      <c r="BJ52" s="17"/>
      <c r="BK52" s="19" t="str">
        <f>IF(NOT(ISNUMBER(BI52)),"",IF(WEEKDAY(BI52-CodeReviewCalendarDays,2)&gt;5,BI52-CodeReviewCalendarDays-(WEEKDAY(BI52-CodeReviewCalendarDays,2)-5),BI52-CodeReviewCalendarDays))</f>
        <v/>
      </c>
      <c r="BL52" s="17"/>
      <c r="BM52" s="19" t="str">
        <f>IF(NOT(ISNUMBER(BK52)),"",IF(WEEKDAY(BK52-CodeReviewInviteCalendarDays,2)&gt;5,BK52-CodeReviewInviteCalendarDays-(WEEKDAY(BK52-CodeReviewInviteCalendarDays,2)-5),BK52-CodeReviewInviteCalendarDays))</f>
        <v/>
      </c>
      <c r="BN52" s="17"/>
      <c r="BO52" s="17"/>
      <c r="BP52" s="18" t="str">
        <f ca="1">IF(A52="","",IF(IF(AND(ISNUMBER(J52),WEEKDAY(J52,2)&lt;&gt;2,WEEKDAY(J52,2)&lt;&gt;4)," | Release must be Tuesday or Thursday","")&amp;IF(AND(ISNUMBER(H52),WEEKDAY(H52,2)&lt;&gt;1)," | Sprint Start is not a Monday - dates still calculated from the date entered","")&amp;IF(AND(A52&lt;&gt;"",NOT(ISNUMBER(H52)),NOT(ISNUMBER(J52)))," | Enter Sprint Start or Release Date","")&amp;IF(AND(ISNUMBER(F52),F52&lt;TODAY(),D52&lt;&gt;"Completed")," | One or more raise-by dates are in the past and not completed","")&amp;IF(AND(ISNUMBER(K52),K52-TODAY()&lt;SprintWarningDays,K52&gt;=TODAY(),OR(D52="Yet to start",D52="Blocked"))," | Sprint starts in under 10 days - raise access requests now","")&amp;IF(AND(ISNUMBER(BM52),BN52&lt;&gt;"Completed",BN52&lt;&gt;"N/A",BM52-TODAY()&lt;CodeReviewInviteCalendarDays)," | Code Review invite should be sent at least 4 days before Code Review","")="","",MID(IF(AND(ISNUMBER(J52),WEEKDAY(J52,2)&lt;&gt;2,WEEKDAY(J52,2)&lt;&gt;4)," | Release must be Tuesday or Thursday","")&amp;IF(AND(ISNUMBER(H52),WEEKDAY(H52,2)&lt;&gt;1)," | Sprint Start is not a Monday - dates still calculated from the date entered","")&amp;IF(AND(A52&lt;&gt;"",NOT(ISNUMBER(H52)),NOT(ISNUMBER(J52)))," | Enter Sprint Start or Release Date","")&amp;IF(AND(ISNUMBER(F52),F52&lt;TODAY(),D52&lt;&gt;"Completed")," | One or more raise-by dates are in the past and not completed","")&amp;IF(AND(ISNUMBER(K52),K52-TODAY()&lt;SprintWarningDays,K52&gt;=TODAY(),OR(D52="Yet to start",D52="Blocked"))," | Sprint starts in under 10 days - raise access requests now","")&amp;IF(AND(ISNUMBER(BM52),BN52&lt;&gt;"Completed",BN52&lt;&gt;"N/A",BM52-TODAY()&lt;CodeReviewInviteCalendarDays)," | Code Review invite should be sent at least 4 days before Code Review",""),4,500)))</f>
        <v/>
      </c>
      <c r="BQ52" s="85" t="str">
        <f>IF(AND(ISNUMBER(Q52),S52&lt;&gt;"Completed",S52&lt;&gt;"N/A"),Q52,"")</f>
        <v/>
      </c>
      <c r="BR52" s="85" t="str">
        <f>IF(AND(ISNUMBER(T52),V52&lt;&gt;"Completed",V52&lt;&gt;"N/A"),T52,"")</f>
        <v/>
      </c>
      <c r="BS52" s="85" t="str">
        <f>IF(AND(ISNUMBER(W52),Y52&lt;&gt;"Completed",Y52&lt;&gt;"N/A"),W52,"")</f>
        <v/>
      </c>
      <c r="BT52" s="85" t="str">
        <f>IF(AND(ISNUMBER(AA52),AC52&lt;&gt;"Completed",AC52&lt;&gt;"N/A"),AA52,"")</f>
        <v/>
      </c>
      <c r="BU52" s="85" t="str">
        <f>IF(AND(ISNUMBER(AG52),AI52&lt;&gt;"Completed",AI52&lt;&gt;"N/A"),AG52,"")</f>
        <v/>
      </c>
      <c r="BV52" s="85" t="str">
        <f>IF(AND(ISNUMBER(AJ52),AL52&lt;&gt;"Completed",AL52&lt;&gt;"N/A"),AJ52,"")</f>
        <v/>
      </c>
      <c r="BW52" s="85" t="str">
        <f>IF(AND(ISNUMBER(AM52),AO52&lt;&gt;"Completed",AO52&lt;&gt;"N/A"),AM52,"")</f>
        <v/>
      </c>
      <c r="BX52" s="85" t="str">
        <f>IF(AND(ISNUMBER(AP52),AR52&lt;&gt;"Completed",AR52&lt;&gt;"N/A"),AP52,"")</f>
        <v/>
      </c>
      <c r="BY52" s="85" t="str">
        <f>IF(AND(ISNUMBER(AU52),AW52&lt;&gt;"Completed",AW52&lt;&gt;"N/A"),AU52,"")</f>
        <v/>
      </c>
      <c r="BZ52" s="85" t="str">
        <f>IF(AND(ISNUMBER(AX52),AZ52&lt;&gt;"Completed",AZ52&lt;&gt;"N/A"),AX52,"")</f>
        <v/>
      </c>
      <c r="CA52" s="85" t="str">
        <f>IF(AND(ISNUMBER(BA52),BC52&lt;&gt;"Completed",BC52&lt;&gt;"N/A"),BA52,"")</f>
        <v/>
      </c>
      <c r="CB52" s="85" t="str">
        <f>IF(AND(ISNUMBER(BD52),BF52&lt;&gt;"Completed",BF52&lt;&gt;"N/A"),BD52,"")</f>
        <v/>
      </c>
      <c r="CC52" s="85" t="str">
        <f>IF(AND(ISNUMBER(O52),P52&lt;&gt;"Completed",P52&lt;&gt;"N/A"),O52,"")</f>
        <v/>
      </c>
      <c r="CD52" s="85" t="str">
        <f>IF(AND(ISNUMBER(BM52),BN52&lt;&gt;"Completed",BN52&lt;&gt;"N/A"),BM52,"")</f>
        <v/>
      </c>
      <c r="CE52" s="85" t="str">
        <f>IF(AND(ISNUMBER(BK52),BL52&lt;&gt;"Completed",BL52&lt;&gt;"N/A"),BK52,"")</f>
        <v/>
      </c>
      <c r="CF52" s="85" t="str">
        <f>IF(AND(ISNUMBER(BI52),BJ52&lt;&gt;"Completed",BJ52&lt;&gt;"N/A"),BI52,"")</f>
        <v/>
      </c>
      <c r="CG52" s="85" t="str">
        <f ca="1">IF(OR(A52="",D52="Completed"),"",IF(N(G52)&gt;0,1/(N(G52)+ROW()/100000),IF(ISNUMBER(F52),1000+F52+ROW()/100000,TODAY()+400+ROW()/100000)))</f>
        <v/>
      </c>
    </row>
    <row r="53" spans="1:85">
      <c r="A53" s="17"/>
      <c r="B53" s="17"/>
      <c r="C53" s="17"/>
      <c r="D53" s="18" t="str">
        <f>IF(A53="","",IF(((S53="Blocked")+(V53="Blocked")+(Y53="Blocked")+(AC53="Blocked")+(AI53="Blocked")+(AL53="Blocked")+(AO53="Blocked")+(AR53="Blocked")+(AW53="Blocked")+(AZ53="Blocked")+(BC53="Blocked")+(BF53="Blocked")+(P53="Blocked")+(BJ53="Blocked")+(BL53="Blocked")+(BN53="Blocked")+(BO53="Blocked"))&gt;0,"Blocked",IF((ISNUMBER(Q53)+ISNUMBER(T53)+ISNUMBER(W53)+ISNUMBER(AA53)+ISNUMBER(AG53)+ISNUMBER(AJ53)+ISNUMBER(AM53)+ISNUMBER(AP53)+ISNUMBER(AU53)+ISNUMBER(AX53)+ISNUMBER(BA53)+ISNUMBER(BD53)+ISNUMBER(O53)+ISNUMBER(BI53)+ISNUMBER(BK53)+ISNUMBER(BM53))=0,"Yet to start",IF(AND(OR(NOT(ISNUMBER(Q53)),S53="Completed",S53="N/A"),OR(NOT(ISNUMBER(T53)),V53="Completed",V53="N/A"),OR(NOT(ISNUMBER(W53)),Y53="Completed",Y53="N/A"),OR(NOT(ISNUMBER(AA53)),AC53="Completed",AC53="N/A"),OR(NOT(ISNUMBER(AG53)),AI53="Completed",AI53="N/A"),OR(NOT(ISNUMBER(AJ53)),AL53="Completed",AL53="N/A"),OR(NOT(ISNUMBER(AM53)),AO53="Completed",AO53="N/A"),OR(NOT(ISNUMBER(AP53)),AR53="Completed",AR53="N/A"),OR(NOT(ISNUMBER(AU53)),AW53="Completed",AW53="N/A"),OR(NOT(ISNUMBER(AX53)),AZ53="Completed",AZ53="N/A"),OR(NOT(ISNUMBER(BA53)),BC53="Completed",BC53="N/A"),OR(NOT(ISNUMBER(BD53)),BF53="Completed",BF53="N/A"),OR(NOT(ISNUMBER(O53)),P53="Completed",P53="N/A"),OR(NOT(ISNUMBER(BI53)),BJ53="Completed",BJ53="N/A"),OR(NOT(ISNUMBER(BK53)),BL53="Completed",BL53="N/A"),OR(NOT(ISNUMBER(BM53)),BN53="Completed",BN53="N/A"),OR(BO53="Completed",BO53="N/A")),"Completed",IF(((S53="In Progress")+(V53="In Progress")+(Y53="In Progress")+(AC53="In Progress")+(AI53="In Progress")+(AL53="In Progress")+(AO53="In Progress")+(AR53="In Progress")+(AW53="In Progress")+(AZ53="In Progress")+(BC53="In Progress")+(BF53="In Progress")+(P53="In Progress")+(BJ53="In Progress")+(BL53="In Progress")+(BN53="In Progress")+(BO53="In Progress"))&gt;0,"In Progress","Yet to start")))))</f>
        <v/>
      </c>
      <c r="E53" s="18" t="str">
        <f>IF(A53="","",IF(F53="","All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Review","CAB"},MATCH(F53,BQ53:CF53,0))))</f>
        <v/>
      </c>
      <c r="F53" s="19" t="str">
        <f>IF(A53="","",IF(COUNT(BQ53:CF53)=0,"",MIN(BQ53:CF53)))</f>
        <v/>
      </c>
      <c r="G53" s="18" t="str">
        <f ca="1">IF(A53="","",MAX(0,IF(AND(ISNUMBER(Q53),S53&lt;&gt;"Completed",S53&lt;&gt;"N/A",Q53&lt;TODAY()),TODAY()-Q53,0),IF(AND(ISNUMBER(T53),V53&lt;&gt;"Completed",V53&lt;&gt;"N/A",T53&lt;TODAY()),TODAY()-T53,0),IF(AND(ISNUMBER(W53),Y53&lt;&gt;"Completed",Y53&lt;&gt;"N/A",W53&lt;TODAY()),TODAY()-W53,0),IF(AND(ISNUMBER(AA53),AC53&lt;&gt;"Completed",AC53&lt;&gt;"N/A",AA53&lt;TODAY()),TODAY()-AA53,0),IF(AND(ISNUMBER(AG53),AI53&lt;&gt;"Completed",AI53&lt;&gt;"N/A",AG53&lt;TODAY()),TODAY()-AG53,0),IF(AND(ISNUMBER(AJ53),AL53&lt;&gt;"Completed",AL53&lt;&gt;"N/A",AJ53&lt;TODAY()),TODAY()-AJ53,0),IF(AND(ISNUMBER(AM53),AO53&lt;&gt;"Completed",AO53&lt;&gt;"N/A",AM53&lt;TODAY()),TODAY()-AM53,0),IF(AND(ISNUMBER(AP53),AR53&lt;&gt;"Completed",AR53&lt;&gt;"N/A",AP53&lt;TODAY()),TODAY()-AP53,0),IF(AND(ISNUMBER(AU53),AW53&lt;&gt;"Completed",AW53&lt;&gt;"N/A",AU53&lt;TODAY()),TODAY()-AU53,0),IF(AND(ISNUMBER(AX53),AZ53&lt;&gt;"Completed",AZ53&lt;&gt;"N/A",AX53&lt;TODAY()),TODAY()-AX53,0),IF(AND(ISNUMBER(BA53),BC53&lt;&gt;"Completed",BC53&lt;&gt;"N/A",BA53&lt;TODAY()),TODAY()-BA53,0),IF(AND(ISNUMBER(BD53),BF53&lt;&gt;"Completed",BF53&lt;&gt;"N/A",BD53&lt;TODAY()),TODAY()-BD53,0),IF(AND(ISNUMBER(O53),P53&lt;&gt;"Completed",P53&lt;&gt;"N/A",O53&lt;TODAY()),TODAY()-O53,0),IF(AND(ISNUMBER(BM53),BN53&lt;&gt;"Completed",BN53&lt;&gt;"N/A",BM53&lt;TODAY()),TODAY()-BM53,0),IF(AND(ISNUMBER(BK53),BL53&lt;&gt;"Completed",BL53&lt;&gt;"N/A",BK53&lt;TODAY()),TODAY()-BK53,0),IF(AND(ISNUMBER(BI53),BJ53&lt;&gt;"Completed",BJ53&lt;&gt;"N/A",BI53&lt;TODAY()),TODAY()-BI53,0)))</f>
        <v/>
      </c>
      <c r="H53" s="17"/>
      <c r="I53" s="17"/>
      <c r="J53" s="17"/>
      <c r="K53" s="19" t="str">
        <f>IF(ISNUMBER(H53),H53,IF(ISNUMBER(M53),M53-WEEKDAY(M53,2)+1-7,""))</f>
        <v/>
      </c>
      <c r="L53" s="19" t="str">
        <f>IF(ISNUMBER(I53),I53,IF(ISNUMBER(H53),WORKDAY(H53,SprintWorkingDays-1),IF(ISNUMBER(K53),WORKDAY(K53,SprintWorkingDays-1),"")))</f>
        <v/>
      </c>
      <c r="M53" s="19" t="str">
        <f>IF(ISNUMBER(J53),J53,IF(ISNUMBER(I53),I53-IF(OR(WEEKDAY(I53,2)=2,WEEKDAY(I53,2)=4),0,IF(WEEKDAY(I53,2)=3,1,IF(WEEKDAY(I53,2)=1,4,WEEKDAY(I53,2)-4))),IF(ISNUMBER(H53),WORKDAY(H53,SprintWorkingDays-1)-IF(OR(WEEKDAY(WORKDAY(H53,SprintWorkingDays-1),2)=2,WEEKDAY(WORKDAY(H53,SprintWorkingDays-1),2)=4),0,IF(WEEKDAY(WORKDAY(H53,SprintWorkingDays-1),2)=3,1,IF(WEEKDAY(WORKDAY(H53,SprintWorkingDays-1),2)=1,4,WEEKDAY(WORKDAY(H53,SprintWorkingDays-1),2)-4))),"")))</f>
        <v/>
      </c>
      <c r="N53" s="19" t="str">
        <f>IF(NOT(ISNUMBER(K53)),"",WORKDAY(K53,ReadyOffsetWD))</f>
        <v/>
      </c>
      <c r="O53" s="19" t="str">
        <f>IF(NOT(ISNUMBER(K53)),"",WORKDAY(K53,SprintReadinessOffsetWD))</f>
        <v/>
      </c>
      <c r="P53" s="17"/>
      <c r="Q53" s="19" t="str">
        <f>IF(A53="","",IF(V53="N/A",IF(NOT(ISNUMBER(W53)),"",WORKDAY(W53,RTSKOffsetFromOUR_WD)),IF(NOT(ISNUMBER(T53)),"",WORKDAY(T53,RTSKOffsetFromOUR_WD))))</f>
        <v/>
      </c>
      <c r="R53" s="17"/>
      <c r="S53" s="17"/>
      <c r="T53" s="19" t="str">
        <f>IF(OR(A53="",V53="N/A"),"",IF(NOT(ISNUMBER(W53)),"",WORKDAY(W53,OUROffsetFromSR_WD)))</f>
        <v/>
      </c>
      <c r="U53" s="17"/>
      <c r="V53" s="17"/>
      <c r="W53" s="19" t="str">
        <f>IF(OR(A53="",NOT(ISNUMBER(K53))),"",WORKDAY(K53,SROffsetFromStartWD))</f>
        <v/>
      </c>
      <c r="X53" s="17"/>
      <c r="Y53" s="17"/>
      <c r="Z53" s="17"/>
      <c r="AA53" s="19" t="str">
        <f>IF(OR(Z53="",Z53="N/A"),"",IF(ISNUMBER(Q53),Q53,""))</f>
        <v/>
      </c>
      <c r="AB53" s="17"/>
      <c r="AC53" s="17"/>
      <c r="AD53" s="17"/>
      <c r="AE53" s="17"/>
      <c r="AF53" s="17" t="str">
        <f>IF(Z53="N/A","N/A","")</f>
        <v/>
      </c>
      <c r="AG53" s="19" t="str">
        <f>IF(NOT(ISNUMBER(Q53)),"",Q53)</f>
        <v/>
      </c>
      <c r="AH53" s="17"/>
      <c r="AI53" s="17"/>
      <c r="AJ53" s="19" t="str">
        <f>IF(OR(AL53="N/A",NOT(ISNUMBER(T53))),"",T53)</f>
        <v/>
      </c>
      <c r="AK53" s="17"/>
      <c r="AL53" s="17"/>
      <c r="AM53" s="19" t="str">
        <f>IF(NOT(ISNUMBER(W53)),"",W53)</f>
        <v/>
      </c>
      <c r="AN53" s="17"/>
      <c r="AO53" s="17"/>
      <c r="AP53" s="19" t="str">
        <f>IF(OR(Z53="",Z53="N/A"),"",IF(ISNUMBER(AG53),AG53,""))</f>
        <v/>
      </c>
      <c r="AQ53" s="17"/>
      <c r="AR53" s="17"/>
      <c r="AS53" s="17"/>
      <c r="AT53" s="17"/>
      <c r="AU53" s="19" t="str">
        <f>IF(NOT(ISNUMBER(Q53)),"",Q53)</f>
        <v/>
      </c>
      <c r="AV53" s="17"/>
      <c r="AW53" s="17"/>
      <c r="AX53" s="19" t="str">
        <f>IF(OR(AZ53="N/A",NOT(ISNUMBER(T53))),"",T53)</f>
        <v/>
      </c>
      <c r="AY53" s="17"/>
      <c r="AZ53" s="17"/>
      <c r="BA53" s="19" t="str">
        <f>IF(NOT(ISNUMBER(W53)),"",W53)</f>
        <v/>
      </c>
      <c r="BB53" s="17"/>
      <c r="BC53" s="17"/>
      <c r="BD53" s="19" t="str">
        <f>IF(OR(Z53="",Z53="N/A"),"",IF(ISNUMBER(AU53),AU53,""))</f>
        <v/>
      </c>
      <c r="BE53" s="17"/>
      <c r="BF53" s="17"/>
      <c r="BG53" s="17"/>
      <c r="BH53" s="17"/>
      <c r="BI53" s="89" t="e">
        <f>IF(OR(A53="",NOT(ISNUMBER(M53)),AND(WEEKDAY(M53,2)&lt;&gt;2,WEEKDAY(M53,2)&lt;&gt;4)),"",WORKDAY(M53,CABOffsetFromReleaseWD))</f>
        <v>#VALUE!</v>
      </c>
      <c r="BJ53" s="17"/>
      <c r="BK53" s="19" t="str">
        <f>IF(NOT(ISNUMBER(BI53)),"",IF(WEEKDAY(BI53-CodeReviewCalendarDays,2)&gt;5,BI53-CodeReviewCalendarDays-(WEEKDAY(BI53-CodeReviewCalendarDays,2)-5),BI53-CodeReviewCalendarDays))</f>
        <v/>
      </c>
      <c r="BL53" s="17"/>
      <c r="BM53" s="19" t="str">
        <f>IF(NOT(ISNUMBER(BK53)),"",IF(WEEKDAY(BK53-CodeReviewInviteCalendarDays,2)&gt;5,BK53-CodeReviewInviteCalendarDays-(WEEKDAY(BK53-CodeReviewInviteCalendarDays,2)-5),BK53-CodeReviewInviteCalendarDays))</f>
        <v/>
      </c>
      <c r="BN53" s="17"/>
      <c r="BO53" s="17"/>
      <c r="BP53" s="18" t="str">
        <f ca="1">IF(A53="","",IF(IF(AND(ISNUMBER(J53),WEEKDAY(J53,2)&lt;&gt;2,WEEKDAY(J53,2)&lt;&gt;4)," | Release must be Tuesday or Thursday","")&amp;IF(AND(ISNUMBER(H53),WEEKDAY(H53,2)&lt;&gt;1)," | Sprint Start is not a Monday - dates still calculated from the date entered","")&amp;IF(AND(A53&lt;&gt;"",NOT(ISNUMBER(H53)),NOT(ISNUMBER(J53)))," | Enter Sprint Start or Release Date","")&amp;IF(AND(ISNUMBER(F53),F53&lt;TODAY(),D53&lt;&gt;"Completed")," | One or more raise-by dates are in the past and not completed","")&amp;IF(AND(ISNUMBER(K53),K53-TODAY()&lt;SprintWarningDays,K53&gt;=TODAY(),OR(D53="Yet to start",D53="Blocked"))," | Sprint starts in under 10 days - raise access requests now","")&amp;IF(AND(ISNUMBER(BM53),BN53&lt;&gt;"Completed",BN53&lt;&gt;"N/A",BM53-TODAY()&lt;CodeReviewInviteCalendarDays)," | Code Review invite should be sent at least 4 days before Code Review","")="","",MID(IF(AND(ISNUMBER(J53),WEEKDAY(J53,2)&lt;&gt;2,WEEKDAY(J53,2)&lt;&gt;4)," | Release must be Tuesday or Thursday","")&amp;IF(AND(ISNUMBER(H53),WEEKDAY(H53,2)&lt;&gt;1)," | Sprint Start is not a Monday - dates still calculated from the date entered","")&amp;IF(AND(A53&lt;&gt;"",NOT(ISNUMBER(H53)),NOT(ISNUMBER(J53)))," | Enter Sprint Start or Release Date","")&amp;IF(AND(ISNUMBER(F53),F53&lt;TODAY(),D53&lt;&gt;"Completed")," | One or more raise-by dates are in the past and not completed","")&amp;IF(AND(ISNUMBER(K53),K53-TODAY()&lt;SprintWarningDays,K53&gt;=TODAY(),OR(D53="Yet to start",D53="Blocked"))," | Sprint starts in under 10 days - raise access requests now","")&amp;IF(AND(ISNUMBER(BM53),BN53&lt;&gt;"Completed",BN53&lt;&gt;"N/A",BM53-TODAY()&lt;CodeReviewInviteCalendarDays)," | Code Review invite should be sent at least 4 days before Code Review",""),4,500)))</f>
        <v/>
      </c>
      <c r="BQ53" s="85" t="str">
        <f>IF(AND(ISNUMBER(Q53),S53&lt;&gt;"Completed",S53&lt;&gt;"N/A"),Q53,"")</f>
        <v/>
      </c>
      <c r="BR53" s="85" t="str">
        <f>IF(AND(ISNUMBER(T53),V53&lt;&gt;"Completed",V53&lt;&gt;"N/A"),T53,"")</f>
        <v/>
      </c>
      <c r="BS53" s="85" t="str">
        <f>IF(AND(ISNUMBER(W53),Y53&lt;&gt;"Completed",Y53&lt;&gt;"N/A"),W53,"")</f>
        <v/>
      </c>
      <c r="BT53" s="85" t="str">
        <f>IF(AND(ISNUMBER(AA53),AC53&lt;&gt;"Completed",AC53&lt;&gt;"N/A"),AA53,"")</f>
        <v/>
      </c>
      <c r="BU53" s="85" t="str">
        <f>IF(AND(ISNUMBER(AG53),AI53&lt;&gt;"Completed",AI53&lt;&gt;"N/A"),AG53,"")</f>
        <v/>
      </c>
      <c r="BV53" s="85" t="str">
        <f>IF(AND(ISNUMBER(AJ53),AL53&lt;&gt;"Completed",AL53&lt;&gt;"N/A"),AJ53,"")</f>
        <v/>
      </c>
      <c r="BW53" s="85" t="str">
        <f>IF(AND(ISNUMBER(AM53),AO53&lt;&gt;"Completed",AO53&lt;&gt;"N/A"),AM53,"")</f>
        <v/>
      </c>
      <c r="BX53" s="85" t="str">
        <f>IF(AND(ISNUMBER(AP53),AR53&lt;&gt;"Completed",AR53&lt;&gt;"N/A"),AP53,"")</f>
        <v/>
      </c>
      <c r="BY53" s="85" t="str">
        <f>IF(AND(ISNUMBER(AU53),AW53&lt;&gt;"Completed",AW53&lt;&gt;"N/A"),AU53,"")</f>
        <v/>
      </c>
      <c r="BZ53" s="85" t="str">
        <f>IF(AND(ISNUMBER(AX53),AZ53&lt;&gt;"Completed",AZ53&lt;&gt;"N/A"),AX53,"")</f>
        <v/>
      </c>
      <c r="CA53" s="85" t="str">
        <f>IF(AND(ISNUMBER(BA53),BC53&lt;&gt;"Completed",BC53&lt;&gt;"N/A"),BA53,"")</f>
        <v/>
      </c>
      <c r="CB53" s="85" t="str">
        <f>IF(AND(ISNUMBER(BD53),BF53&lt;&gt;"Completed",BF53&lt;&gt;"N/A"),BD53,"")</f>
        <v/>
      </c>
      <c r="CC53" s="85" t="str">
        <f>IF(AND(ISNUMBER(O53),P53&lt;&gt;"Completed",P53&lt;&gt;"N/A"),O53,"")</f>
        <v/>
      </c>
      <c r="CD53" s="85" t="str">
        <f>IF(AND(ISNUMBER(BM53),BN53&lt;&gt;"Completed",BN53&lt;&gt;"N/A"),BM53,"")</f>
        <v/>
      </c>
      <c r="CE53" s="85" t="str">
        <f>IF(AND(ISNUMBER(BK53),BL53&lt;&gt;"Completed",BL53&lt;&gt;"N/A"),BK53,"")</f>
        <v/>
      </c>
      <c r="CF53" s="85" t="str">
        <f>IF(AND(ISNUMBER(BI53),BJ53&lt;&gt;"Completed",BJ53&lt;&gt;"N/A"),BI53,"")</f>
        <v/>
      </c>
      <c r="CG53" s="85" t="str">
        <f ca="1">IF(OR(A53="",D53="Completed"),"",IF(N(G53)&gt;0,1/(N(G53)+ROW()/100000),IF(ISNUMBER(F53),1000+F53+ROW()/100000,TODAY()+400+ROW()/100000)))</f>
        <v/>
      </c>
    </row>
    <row r="54" spans="1:85">
      <c r="A54" s="17"/>
      <c r="B54" s="17"/>
      <c r="C54" s="17"/>
      <c r="D54" s="18" t="str">
        <f>IF(A54="","",IF(((S54="Blocked")+(V54="Blocked")+(Y54="Blocked")+(AC54="Blocked")+(AI54="Blocked")+(AL54="Blocked")+(AO54="Blocked")+(AR54="Blocked")+(AW54="Blocked")+(AZ54="Blocked")+(BC54="Blocked")+(BF54="Blocked")+(P54="Blocked")+(BJ54="Blocked")+(BL54="Blocked")+(BN54="Blocked")+(BO54="Blocked"))&gt;0,"Blocked",IF((ISNUMBER(Q54)+ISNUMBER(T54)+ISNUMBER(W54)+ISNUMBER(AA54)+ISNUMBER(AG54)+ISNUMBER(AJ54)+ISNUMBER(AM54)+ISNUMBER(AP54)+ISNUMBER(AU54)+ISNUMBER(AX54)+ISNUMBER(BA54)+ISNUMBER(BD54)+ISNUMBER(O54)+ISNUMBER(BI54)+ISNUMBER(BK54)+ISNUMBER(BM54))=0,"Yet to start",IF(AND(OR(NOT(ISNUMBER(Q54)),S54="Completed",S54="N/A"),OR(NOT(ISNUMBER(T54)),V54="Completed",V54="N/A"),OR(NOT(ISNUMBER(W54)),Y54="Completed",Y54="N/A"),OR(NOT(ISNUMBER(AA54)),AC54="Completed",AC54="N/A"),OR(NOT(ISNUMBER(AG54)),AI54="Completed",AI54="N/A"),OR(NOT(ISNUMBER(AJ54)),AL54="Completed",AL54="N/A"),OR(NOT(ISNUMBER(AM54)),AO54="Completed",AO54="N/A"),OR(NOT(ISNUMBER(AP54)),AR54="Completed",AR54="N/A"),OR(NOT(ISNUMBER(AU54)),AW54="Completed",AW54="N/A"),OR(NOT(ISNUMBER(AX54)),AZ54="Completed",AZ54="N/A"),OR(NOT(ISNUMBER(BA54)),BC54="Completed",BC54="N/A"),OR(NOT(ISNUMBER(BD54)),BF54="Completed",BF54="N/A"),OR(NOT(ISNUMBER(O54)),P54="Completed",P54="N/A"),OR(NOT(ISNUMBER(BI54)),BJ54="Completed",BJ54="N/A"),OR(NOT(ISNUMBER(BK54)),BL54="Completed",BL54="N/A"),OR(NOT(ISNUMBER(BM54)),BN54="Completed",BN54="N/A"),OR(BO54="Completed",BO54="N/A")),"Completed",IF(((S54="In Progress")+(V54="In Progress")+(Y54="In Progress")+(AC54="In Progress")+(AI54="In Progress")+(AL54="In Progress")+(AO54="In Progress")+(AR54="In Progress")+(AW54="In Progress")+(AZ54="In Progress")+(BC54="In Progress")+(BF54="In Progress")+(P54="In Progress")+(BJ54="In Progress")+(BL54="In Progress")+(BN54="In Progress")+(BO54="In Progress"))&gt;0,"In Progress","Yet to start")))))</f>
        <v/>
      </c>
      <c r="E54" s="18" t="str">
        <f>IF(A54="","",IF(F54="","All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Review","CAB"},MATCH(F54,BQ54:CF54,0))))</f>
        <v/>
      </c>
      <c r="F54" s="19" t="str">
        <f>IF(A54="","",IF(COUNT(BQ54:CF54)=0,"",MIN(BQ54:CF54)))</f>
        <v/>
      </c>
      <c r="G54" s="18" t="str">
        <f ca="1">IF(A54="","",MAX(0,IF(AND(ISNUMBER(Q54),S54&lt;&gt;"Completed",S54&lt;&gt;"N/A",Q54&lt;TODAY()),TODAY()-Q54,0),IF(AND(ISNUMBER(T54),V54&lt;&gt;"Completed",V54&lt;&gt;"N/A",T54&lt;TODAY()),TODAY()-T54,0),IF(AND(ISNUMBER(W54),Y54&lt;&gt;"Completed",Y54&lt;&gt;"N/A",W54&lt;TODAY()),TODAY()-W54,0),IF(AND(ISNUMBER(AA54),AC54&lt;&gt;"Completed",AC54&lt;&gt;"N/A",AA54&lt;TODAY()),TODAY()-AA54,0),IF(AND(ISNUMBER(AG54),AI54&lt;&gt;"Completed",AI54&lt;&gt;"N/A",AG54&lt;TODAY()),TODAY()-AG54,0),IF(AND(ISNUMBER(AJ54),AL54&lt;&gt;"Completed",AL54&lt;&gt;"N/A",AJ54&lt;TODAY()),TODAY()-AJ54,0),IF(AND(ISNUMBER(AM54),AO54&lt;&gt;"Completed",AO54&lt;&gt;"N/A",AM54&lt;TODAY()),TODAY()-AM54,0),IF(AND(ISNUMBER(AP54),AR54&lt;&gt;"Completed",AR54&lt;&gt;"N/A",AP54&lt;TODAY()),TODAY()-AP54,0),IF(AND(ISNUMBER(AU54),AW54&lt;&gt;"Completed",AW54&lt;&gt;"N/A",AU54&lt;TODAY()),TODAY()-AU54,0),IF(AND(ISNUMBER(AX54),AZ54&lt;&gt;"Completed",AZ54&lt;&gt;"N/A",AX54&lt;TODAY()),TODAY()-AX54,0),IF(AND(ISNUMBER(BA54),BC54&lt;&gt;"Completed",BC54&lt;&gt;"N/A",BA54&lt;TODAY()),TODAY()-BA54,0),IF(AND(ISNUMBER(BD54),BF54&lt;&gt;"Completed",BF54&lt;&gt;"N/A",BD54&lt;TODAY()),TODAY()-BD54,0),IF(AND(ISNUMBER(O54),P54&lt;&gt;"Completed",P54&lt;&gt;"N/A",O54&lt;TODAY()),TODAY()-O54,0),IF(AND(ISNUMBER(BM54),BN54&lt;&gt;"Completed",BN54&lt;&gt;"N/A",BM54&lt;TODAY()),TODAY()-BM54,0),IF(AND(ISNUMBER(BK54),BL54&lt;&gt;"Completed",BL54&lt;&gt;"N/A",BK54&lt;TODAY()),TODAY()-BK54,0),IF(AND(ISNUMBER(BI54),BJ54&lt;&gt;"Completed",BJ54&lt;&gt;"N/A",BI54&lt;TODAY()),TODAY()-BI54,0)))</f>
        <v/>
      </c>
      <c r="H54" s="17"/>
      <c r="I54" s="17"/>
      <c r="J54" s="17"/>
      <c r="K54" s="19" t="str">
        <f>IF(ISNUMBER(H54),H54,IF(ISNUMBER(M54),M54-WEEKDAY(M54,2)+1-7,""))</f>
        <v/>
      </c>
      <c r="L54" s="19" t="str">
        <f>IF(ISNUMBER(I54),I54,IF(ISNUMBER(H54),WORKDAY(H54,SprintWorkingDays-1),IF(ISNUMBER(K54),WORKDAY(K54,SprintWorkingDays-1),"")))</f>
        <v/>
      </c>
      <c r="M54" s="19" t="str">
        <f>IF(ISNUMBER(J54),J54,IF(ISNUMBER(I54),I54-IF(OR(WEEKDAY(I54,2)=2,WEEKDAY(I54,2)=4),0,IF(WEEKDAY(I54,2)=3,1,IF(WEEKDAY(I54,2)=1,4,WEEKDAY(I54,2)-4))),IF(ISNUMBER(H54),WORKDAY(H54,SprintWorkingDays-1)-IF(OR(WEEKDAY(WORKDAY(H54,SprintWorkingDays-1),2)=2,WEEKDAY(WORKDAY(H54,SprintWorkingDays-1),2)=4),0,IF(WEEKDAY(WORKDAY(H54,SprintWorkingDays-1),2)=3,1,IF(WEEKDAY(WORKDAY(H54,SprintWorkingDays-1),2)=1,4,WEEKDAY(WORKDAY(H54,SprintWorkingDays-1),2)-4))),"")))</f>
        <v/>
      </c>
      <c r="N54" s="19" t="str">
        <f>IF(NOT(ISNUMBER(K54)),"",WORKDAY(K54,ReadyOffsetWD))</f>
        <v/>
      </c>
      <c r="O54" s="19" t="str">
        <f>IF(NOT(ISNUMBER(K54)),"",WORKDAY(K54,SprintReadinessOffsetWD))</f>
        <v/>
      </c>
      <c r="P54" s="17"/>
      <c r="Q54" s="19" t="str">
        <f>IF(A54="","",IF(V54="N/A",IF(NOT(ISNUMBER(W54)),"",WORKDAY(W54,RTSKOffsetFromOUR_WD)),IF(NOT(ISNUMBER(T54)),"",WORKDAY(T54,RTSKOffsetFromOUR_WD))))</f>
        <v/>
      </c>
      <c r="R54" s="17"/>
      <c r="S54" s="17"/>
      <c r="T54" s="19" t="str">
        <f>IF(OR(A54="",V54="N/A"),"",IF(NOT(ISNUMBER(W54)),"",WORKDAY(W54,OUROffsetFromSR_WD)))</f>
        <v/>
      </c>
      <c r="U54" s="17"/>
      <c r="V54" s="17"/>
      <c r="W54" s="19" t="str">
        <f>IF(OR(A54="",NOT(ISNUMBER(K54))),"",WORKDAY(K54,SROffsetFromStartWD))</f>
        <v/>
      </c>
      <c r="X54" s="17"/>
      <c r="Y54" s="17"/>
      <c r="Z54" s="17"/>
      <c r="AA54" s="19" t="str">
        <f>IF(OR(Z54="",Z54="N/A"),"",IF(ISNUMBER(Q54),Q54,""))</f>
        <v/>
      </c>
      <c r="AB54" s="17"/>
      <c r="AC54" s="17"/>
      <c r="AD54" s="17"/>
      <c r="AE54" s="17"/>
      <c r="AF54" s="17" t="str">
        <f>IF(Z54="N/A","N/A","")</f>
        <v/>
      </c>
      <c r="AG54" s="19" t="str">
        <f>IF(NOT(ISNUMBER(Q54)),"",Q54)</f>
        <v/>
      </c>
      <c r="AH54" s="17"/>
      <c r="AI54" s="17"/>
      <c r="AJ54" s="19" t="str">
        <f>IF(OR(AL54="N/A",NOT(ISNUMBER(T54))),"",T54)</f>
        <v/>
      </c>
      <c r="AK54" s="17"/>
      <c r="AL54" s="17"/>
      <c r="AM54" s="19" t="str">
        <f>IF(NOT(ISNUMBER(W54)),"",W54)</f>
        <v/>
      </c>
      <c r="AN54" s="17"/>
      <c r="AO54" s="17"/>
      <c r="AP54" s="19" t="str">
        <f>IF(OR(Z54="",Z54="N/A"),"",IF(ISNUMBER(AG54),AG54,""))</f>
        <v/>
      </c>
      <c r="AQ54" s="17"/>
      <c r="AR54" s="17"/>
      <c r="AS54" s="17"/>
      <c r="AT54" s="17"/>
      <c r="AU54" s="19" t="str">
        <f>IF(NOT(ISNUMBER(Q54)),"",Q54)</f>
        <v/>
      </c>
      <c r="AV54" s="17"/>
      <c r="AW54" s="17"/>
      <c r="AX54" s="19" t="str">
        <f>IF(OR(AZ54="N/A",NOT(ISNUMBER(T54))),"",T54)</f>
        <v/>
      </c>
      <c r="AY54" s="17"/>
      <c r="AZ54" s="17"/>
      <c r="BA54" s="19" t="str">
        <f>IF(NOT(ISNUMBER(W54)),"",W54)</f>
        <v/>
      </c>
      <c r="BB54" s="17"/>
      <c r="BC54" s="17"/>
      <c r="BD54" s="19" t="str">
        <f>IF(OR(Z54="",Z54="N/A"),"",IF(ISNUMBER(AU54),AU54,""))</f>
        <v/>
      </c>
      <c r="BE54" s="17"/>
      <c r="BF54" s="17"/>
      <c r="BG54" s="17"/>
      <c r="BH54" s="17"/>
      <c r="BI54" s="89" t="e">
        <f>IF(OR(A54="",NOT(ISNUMBER(M54)),AND(WEEKDAY(M54,2)&lt;&gt;2,WEEKDAY(M54,2)&lt;&gt;4)),"",WORKDAY(M54,CABOffsetFromReleaseWD))</f>
        <v>#VALUE!</v>
      </c>
      <c r="BJ54" s="17"/>
      <c r="BK54" s="19" t="str">
        <f>IF(NOT(ISNUMBER(BI54)),"",IF(WEEKDAY(BI54-CodeReviewCalendarDays,2)&gt;5,BI54-CodeReviewCalendarDays-(WEEKDAY(BI54-CodeReviewCalendarDays,2)-5),BI54-CodeReviewCalendarDays))</f>
        <v/>
      </c>
      <c r="BL54" s="17"/>
      <c r="BM54" s="19" t="str">
        <f>IF(NOT(ISNUMBER(BK54)),"",IF(WEEKDAY(BK54-CodeReviewInviteCalendarDays,2)&gt;5,BK54-CodeReviewInviteCalendarDays-(WEEKDAY(BK54-CodeReviewInviteCalendarDays,2)-5),BK54-CodeReviewInviteCalendarDays))</f>
        <v/>
      </c>
      <c r="BN54" s="17"/>
      <c r="BO54" s="17"/>
      <c r="BP54" s="18" t="str">
        <f ca="1">IF(A54="","",IF(IF(AND(ISNUMBER(J54),WEEKDAY(J54,2)&lt;&gt;2,WEEKDAY(J54,2)&lt;&gt;4)," | Release must be Tuesday or Thursday","")&amp;IF(AND(ISNUMBER(H54),WEEKDAY(H54,2)&lt;&gt;1)," | Sprint Start is not a Monday - dates still calculated from the date entered","")&amp;IF(AND(A54&lt;&gt;"",NOT(ISNUMBER(H54)),NOT(ISNUMBER(J54)))," | Enter Sprint Start or Release Date","")&amp;IF(AND(ISNUMBER(F54),F54&lt;TODAY(),D54&lt;&gt;"Completed")," | One or more raise-by dates are in the past and not completed","")&amp;IF(AND(ISNUMBER(K54),K54-TODAY()&lt;SprintWarningDays,K54&gt;=TODAY(),OR(D54="Yet to start",D54="Blocked"))," | Sprint starts in under 10 days - raise access requests now","")&amp;IF(AND(ISNUMBER(BM54),BN54&lt;&gt;"Completed",BN54&lt;&gt;"N/A",BM54-TODAY()&lt;CodeReviewInviteCalendarDays)," | Code Review invite should be sent at least 4 days before Code Review","")="","",MID(IF(AND(ISNUMBER(J54),WEEKDAY(J54,2)&lt;&gt;2,WEEKDAY(J54,2)&lt;&gt;4)," | Release must be Tuesday or Thursday","")&amp;IF(AND(ISNUMBER(H54),WEEKDAY(H54,2)&lt;&gt;1)," | Sprint Start is not a Monday - dates still calculated from the date entered","")&amp;IF(AND(A54&lt;&gt;"",NOT(ISNUMBER(H54)),NOT(ISNUMBER(J54)))," | Enter Sprint Start or Release Date","")&amp;IF(AND(ISNUMBER(F54),F54&lt;TODAY(),D54&lt;&gt;"Completed")," | One or more raise-by dates are in the past and not completed","")&amp;IF(AND(ISNUMBER(K54),K54-TODAY()&lt;SprintWarningDays,K54&gt;=TODAY(),OR(D54="Yet to start",D54="Blocked"))," | Sprint starts in under 10 days - raise access requests now","")&amp;IF(AND(ISNUMBER(BM54),BN54&lt;&gt;"Completed",BN54&lt;&gt;"N/A",BM54-TODAY()&lt;CodeReviewInviteCalendarDays)," | Code Review invite should be sent at least 4 days before Code Review",""),4,500)))</f>
        <v/>
      </c>
      <c r="BQ54" s="85" t="str">
        <f>IF(AND(ISNUMBER(Q54),S54&lt;&gt;"Completed",S54&lt;&gt;"N/A"),Q54,"")</f>
        <v/>
      </c>
      <c r="BR54" s="85" t="str">
        <f>IF(AND(ISNUMBER(T54),V54&lt;&gt;"Completed",V54&lt;&gt;"N/A"),T54,"")</f>
        <v/>
      </c>
      <c r="BS54" s="85" t="str">
        <f>IF(AND(ISNUMBER(W54),Y54&lt;&gt;"Completed",Y54&lt;&gt;"N/A"),W54,"")</f>
        <v/>
      </c>
      <c r="BT54" s="85" t="str">
        <f>IF(AND(ISNUMBER(AA54),AC54&lt;&gt;"Completed",AC54&lt;&gt;"N/A"),AA54,"")</f>
        <v/>
      </c>
      <c r="BU54" s="85" t="str">
        <f>IF(AND(ISNUMBER(AG54),AI54&lt;&gt;"Completed",AI54&lt;&gt;"N/A"),AG54,"")</f>
        <v/>
      </c>
      <c r="BV54" s="85" t="str">
        <f>IF(AND(ISNUMBER(AJ54),AL54&lt;&gt;"Completed",AL54&lt;&gt;"N/A"),AJ54,"")</f>
        <v/>
      </c>
      <c r="BW54" s="85" t="str">
        <f>IF(AND(ISNUMBER(AM54),AO54&lt;&gt;"Completed",AO54&lt;&gt;"N/A"),AM54,"")</f>
        <v/>
      </c>
      <c r="BX54" s="85" t="str">
        <f>IF(AND(ISNUMBER(AP54),AR54&lt;&gt;"Completed",AR54&lt;&gt;"N/A"),AP54,"")</f>
        <v/>
      </c>
      <c r="BY54" s="85" t="str">
        <f>IF(AND(ISNUMBER(AU54),AW54&lt;&gt;"Completed",AW54&lt;&gt;"N/A"),AU54,"")</f>
        <v/>
      </c>
      <c r="BZ54" s="85" t="str">
        <f>IF(AND(ISNUMBER(AX54),AZ54&lt;&gt;"Completed",AZ54&lt;&gt;"N/A"),AX54,"")</f>
        <v/>
      </c>
      <c r="CA54" s="85" t="str">
        <f>IF(AND(ISNUMBER(BA54),BC54&lt;&gt;"Completed",BC54&lt;&gt;"N/A"),BA54,"")</f>
        <v/>
      </c>
      <c r="CB54" s="85" t="str">
        <f>IF(AND(ISNUMBER(BD54),BF54&lt;&gt;"Completed",BF54&lt;&gt;"N/A"),BD54,"")</f>
        <v/>
      </c>
      <c r="CC54" s="85" t="str">
        <f>IF(AND(ISNUMBER(O54),P54&lt;&gt;"Completed",P54&lt;&gt;"N/A"),O54,"")</f>
        <v/>
      </c>
      <c r="CD54" s="85" t="str">
        <f>IF(AND(ISNUMBER(BM54),BN54&lt;&gt;"Completed",BN54&lt;&gt;"N/A"),BM54,"")</f>
        <v/>
      </c>
      <c r="CE54" s="85" t="str">
        <f>IF(AND(ISNUMBER(BK54),BL54&lt;&gt;"Completed",BL54&lt;&gt;"N/A"),BK54,"")</f>
        <v/>
      </c>
      <c r="CF54" s="85" t="str">
        <f>IF(AND(ISNUMBER(BI54),BJ54&lt;&gt;"Completed",BJ54&lt;&gt;"N/A"),BI54,"")</f>
        <v/>
      </c>
      <c r="CG54" s="85" t="str">
        <f ca="1">IF(OR(A54="",D54="Completed"),"",IF(N(G54)&gt;0,1/(N(G54)+ROW()/100000),IF(ISNUMBER(F54),1000+F54+ROW()/100000,TODAY()+400+ROW()/100000)))</f>
        <v/>
      </c>
    </row>
    <row r="55" spans="1:85">
      <c r="A55" s="17"/>
      <c r="B55" s="17"/>
      <c r="C55" s="17"/>
      <c r="D55" s="18" t="str">
        <f>IF(A55="","",IF(((S55="Blocked")+(V55="Blocked")+(Y55="Blocked")+(AC55="Blocked")+(AI55="Blocked")+(AL55="Blocked")+(AO55="Blocked")+(AR55="Blocked")+(AW55="Blocked")+(AZ55="Blocked")+(BC55="Blocked")+(BF55="Blocked")+(P55="Blocked")+(BJ55="Blocked")+(BL55="Blocked")+(BN55="Blocked")+(BO55="Blocked"))&gt;0,"Blocked",IF((ISNUMBER(Q55)+ISNUMBER(T55)+ISNUMBER(W55)+ISNUMBER(AA55)+ISNUMBER(AG55)+ISNUMBER(AJ55)+ISNUMBER(AM55)+ISNUMBER(AP55)+ISNUMBER(AU55)+ISNUMBER(AX55)+ISNUMBER(BA55)+ISNUMBER(BD55)+ISNUMBER(O55)+ISNUMBER(BI55)+ISNUMBER(BK55)+ISNUMBER(BM55))=0,"Yet to start",IF(AND(OR(NOT(ISNUMBER(Q55)),S55="Completed",S55="N/A"),OR(NOT(ISNUMBER(T55)),V55="Completed",V55="N/A"),OR(NOT(ISNUMBER(W55)),Y55="Completed",Y55="N/A"),OR(NOT(ISNUMBER(AA55)),AC55="Completed",AC55="N/A"),OR(NOT(ISNUMBER(AG55)),AI55="Completed",AI55="N/A"),OR(NOT(ISNUMBER(AJ55)),AL55="Completed",AL55="N/A"),OR(NOT(ISNUMBER(AM55)),AO55="Completed",AO55="N/A"),OR(NOT(ISNUMBER(AP55)),AR55="Completed",AR55="N/A"),OR(NOT(ISNUMBER(AU55)),AW55="Completed",AW55="N/A"),OR(NOT(ISNUMBER(AX55)),AZ55="Completed",AZ55="N/A"),OR(NOT(ISNUMBER(BA55)),BC55="Completed",BC55="N/A"),OR(NOT(ISNUMBER(BD55)),BF55="Completed",BF55="N/A"),OR(NOT(ISNUMBER(O55)),P55="Completed",P55="N/A"),OR(NOT(ISNUMBER(BI55)),BJ55="Completed",BJ55="N/A"),OR(NOT(ISNUMBER(BK55)),BL55="Completed",BL55="N/A"),OR(NOT(ISNUMBER(BM55)),BN55="Completed",BN55="N/A"),OR(BO55="Completed",BO55="N/A")),"Completed",IF(((S55="In Progress")+(V55="In Progress")+(Y55="In Progress")+(AC55="In Progress")+(AI55="In Progress")+(AL55="In Progress")+(AO55="In Progress")+(AR55="In Progress")+(AW55="In Progress")+(AZ55="In Progress")+(BC55="In Progress")+(BF55="In Progress")+(P55="In Progress")+(BJ55="In Progress")+(BL55="In Progress")+(BN55="In Progress")+(BO55="In Progress"))&gt;0,"In Progress","Yet to start")))))</f>
        <v/>
      </c>
      <c r="E55" s="18" t="str">
        <f>IF(A55="","",IF(F55="","All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Review","CAB"},MATCH(F55,BQ55:CF55,0))))</f>
        <v/>
      </c>
      <c r="F55" s="19" t="str">
        <f>IF(A55="","",IF(COUNT(BQ55:CF55)=0,"",MIN(BQ55:CF55)))</f>
        <v/>
      </c>
      <c r="G55" s="18" t="str">
        <f ca="1">IF(A55="","",MAX(0,IF(AND(ISNUMBER(Q55),S55&lt;&gt;"Completed",S55&lt;&gt;"N/A",Q55&lt;TODAY()),TODAY()-Q55,0),IF(AND(ISNUMBER(T55),V55&lt;&gt;"Completed",V55&lt;&gt;"N/A",T55&lt;TODAY()),TODAY()-T55,0),IF(AND(ISNUMBER(W55),Y55&lt;&gt;"Completed",Y55&lt;&gt;"N/A",W55&lt;TODAY()),TODAY()-W55,0),IF(AND(ISNUMBER(AA55),AC55&lt;&gt;"Completed",AC55&lt;&gt;"N/A",AA55&lt;TODAY()),TODAY()-AA55,0),IF(AND(ISNUMBER(AG55),AI55&lt;&gt;"Completed",AI55&lt;&gt;"N/A",AG55&lt;TODAY()),TODAY()-AG55,0),IF(AND(ISNUMBER(AJ55),AL55&lt;&gt;"Completed",AL55&lt;&gt;"N/A",AJ55&lt;TODAY()),TODAY()-AJ55,0),IF(AND(ISNUMBER(AM55),AO55&lt;&gt;"Completed",AO55&lt;&gt;"N/A",AM55&lt;TODAY()),TODAY()-AM55,0),IF(AND(ISNUMBER(AP55),AR55&lt;&gt;"Completed",AR55&lt;&gt;"N/A",AP55&lt;TODAY()),TODAY()-AP55,0),IF(AND(ISNUMBER(AU55),AW55&lt;&gt;"Completed",AW55&lt;&gt;"N/A",AU55&lt;TODAY()),TODAY()-AU55,0),IF(AND(ISNUMBER(AX55),AZ55&lt;&gt;"Completed",AZ55&lt;&gt;"N/A",AX55&lt;TODAY()),TODAY()-AX55,0),IF(AND(ISNUMBER(BA55),BC55&lt;&gt;"Completed",BC55&lt;&gt;"N/A",BA55&lt;TODAY()),TODAY()-BA55,0),IF(AND(ISNUMBER(BD55),BF55&lt;&gt;"Completed",BF55&lt;&gt;"N/A",BD55&lt;TODAY()),TODAY()-BD55,0),IF(AND(ISNUMBER(O55),P55&lt;&gt;"Completed",P55&lt;&gt;"N/A",O55&lt;TODAY()),TODAY()-O55,0),IF(AND(ISNUMBER(BM55),BN55&lt;&gt;"Completed",BN55&lt;&gt;"N/A",BM55&lt;TODAY()),TODAY()-BM55,0),IF(AND(ISNUMBER(BK55),BL55&lt;&gt;"Completed",BL55&lt;&gt;"N/A",BK55&lt;TODAY()),TODAY()-BK55,0),IF(AND(ISNUMBER(BI55),BJ55&lt;&gt;"Completed",BJ55&lt;&gt;"N/A",BI55&lt;TODAY()),TODAY()-BI55,0)))</f>
        <v/>
      </c>
      <c r="H55" s="17"/>
      <c r="I55" s="17"/>
      <c r="J55" s="17"/>
      <c r="K55" s="19" t="str">
        <f>IF(ISNUMBER(H55),H55,IF(ISNUMBER(M55),M55-WEEKDAY(M55,2)+1-7,""))</f>
        <v/>
      </c>
      <c r="L55" s="19" t="str">
        <f>IF(ISNUMBER(I55),I55,IF(ISNUMBER(H55),WORKDAY(H55,SprintWorkingDays-1),IF(ISNUMBER(K55),WORKDAY(K55,SprintWorkingDays-1),"")))</f>
        <v/>
      </c>
      <c r="M55" s="19" t="str">
        <f>IF(ISNUMBER(J55),J55,IF(ISNUMBER(I55),I55-IF(OR(WEEKDAY(I55,2)=2,WEEKDAY(I55,2)=4),0,IF(WEEKDAY(I55,2)=3,1,IF(WEEKDAY(I55,2)=1,4,WEEKDAY(I55,2)-4))),IF(ISNUMBER(H55),WORKDAY(H55,SprintWorkingDays-1)-IF(OR(WEEKDAY(WORKDAY(H55,SprintWorkingDays-1),2)=2,WEEKDAY(WORKDAY(H55,SprintWorkingDays-1),2)=4),0,IF(WEEKDAY(WORKDAY(H55,SprintWorkingDays-1),2)=3,1,IF(WEEKDAY(WORKDAY(H55,SprintWorkingDays-1),2)=1,4,WEEKDAY(WORKDAY(H55,SprintWorkingDays-1),2)-4))),"")))</f>
        <v/>
      </c>
      <c r="N55" s="19" t="str">
        <f>IF(NOT(ISNUMBER(K55)),"",WORKDAY(K55,ReadyOffsetWD))</f>
        <v/>
      </c>
      <c r="O55" s="19" t="str">
        <f>IF(NOT(ISNUMBER(K55)),"",WORKDAY(K55,SprintReadinessOffsetWD))</f>
        <v/>
      </c>
      <c r="P55" s="17"/>
      <c r="Q55" s="19" t="str">
        <f>IF(A55="","",IF(V55="N/A",IF(NOT(ISNUMBER(W55)),"",WORKDAY(W55,RTSKOffsetFromOUR_WD)),IF(NOT(ISNUMBER(T55)),"",WORKDAY(T55,RTSKOffsetFromOUR_WD))))</f>
        <v/>
      </c>
      <c r="R55" s="17"/>
      <c r="S55" s="17"/>
      <c r="T55" s="19" t="str">
        <f>IF(OR(A55="",V55="N/A"),"",IF(NOT(ISNUMBER(W55)),"",WORKDAY(W55,OUROffsetFromSR_WD)))</f>
        <v/>
      </c>
      <c r="U55" s="17"/>
      <c r="V55" s="17"/>
      <c r="W55" s="19" t="str">
        <f>IF(OR(A55="",NOT(ISNUMBER(K55))),"",WORKDAY(K55,SROffsetFromStartWD))</f>
        <v/>
      </c>
      <c r="X55" s="17"/>
      <c r="Y55" s="17"/>
      <c r="Z55" s="17"/>
      <c r="AA55" s="19" t="str">
        <f>IF(OR(Z55="",Z55="N/A"),"",IF(ISNUMBER(Q55),Q55,""))</f>
        <v/>
      </c>
      <c r="AB55" s="17"/>
      <c r="AC55" s="17"/>
      <c r="AD55" s="17"/>
      <c r="AE55" s="17"/>
      <c r="AF55" s="17" t="str">
        <f>IF(Z55="N/A","N/A","")</f>
        <v/>
      </c>
      <c r="AG55" s="19" t="str">
        <f>IF(NOT(ISNUMBER(Q55)),"",Q55)</f>
        <v/>
      </c>
      <c r="AH55" s="17"/>
      <c r="AI55" s="17"/>
      <c r="AJ55" s="19" t="str">
        <f>IF(OR(AL55="N/A",NOT(ISNUMBER(T55))),"",T55)</f>
        <v/>
      </c>
      <c r="AK55" s="17"/>
      <c r="AL55" s="17"/>
      <c r="AM55" s="19" t="str">
        <f>IF(NOT(ISNUMBER(W55)),"",W55)</f>
        <v/>
      </c>
      <c r="AN55" s="17"/>
      <c r="AO55" s="17"/>
      <c r="AP55" s="19" t="str">
        <f>IF(OR(Z55="",Z55="N/A"),"",IF(ISNUMBER(AG55),AG55,""))</f>
        <v/>
      </c>
      <c r="AQ55" s="17"/>
      <c r="AR55" s="17"/>
      <c r="AS55" s="17"/>
      <c r="AT55" s="17"/>
      <c r="AU55" s="19" t="str">
        <f>IF(NOT(ISNUMBER(Q55)),"",Q55)</f>
        <v/>
      </c>
      <c r="AV55" s="17"/>
      <c r="AW55" s="17"/>
      <c r="AX55" s="19" t="str">
        <f>IF(OR(AZ55="N/A",NOT(ISNUMBER(T55))),"",T55)</f>
        <v/>
      </c>
      <c r="AY55" s="17"/>
      <c r="AZ55" s="17"/>
      <c r="BA55" s="19" t="str">
        <f>IF(NOT(ISNUMBER(W55)),"",W55)</f>
        <v/>
      </c>
      <c r="BB55" s="17"/>
      <c r="BC55" s="17"/>
      <c r="BD55" s="19" t="str">
        <f>IF(OR(Z55="",Z55="N/A"),"",IF(ISNUMBER(AU55),AU55,""))</f>
        <v/>
      </c>
      <c r="BE55" s="17"/>
      <c r="BF55" s="17"/>
      <c r="BG55" s="17"/>
      <c r="BH55" s="17"/>
      <c r="BI55" s="89" t="e">
        <f>IF(OR(A55="",NOT(ISNUMBER(M55)),AND(WEEKDAY(M55,2)&lt;&gt;2,WEEKDAY(M55,2)&lt;&gt;4)),"",WORKDAY(M55,CABOffsetFromReleaseWD))</f>
        <v>#VALUE!</v>
      </c>
      <c r="BJ55" s="17"/>
      <c r="BK55" s="19" t="str">
        <f>IF(NOT(ISNUMBER(BI55)),"",IF(WEEKDAY(BI55-CodeReviewCalendarDays,2)&gt;5,BI55-CodeReviewCalendarDays-(WEEKDAY(BI55-CodeReviewCalendarDays,2)-5),BI55-CodeReviewCalendarDays))</f>
        <v/>
      </c>
      <c r="BL55" s="17"/>
      <c r="BM55" s="19" t="str">
        <f>IF(NOT(ISNUMBER(BK55)),"",IF(WEEKDAY(BK55-CodeReviewInviteCalendarDays,2)&gt;5,BK55-CodeReviewInviteCalendarDays-(WEEKDAY(BK55-CodeReviewInviteCalendarDays,2)-5),BK55-CodeReviewInviteCalendarDays))</f>
        <v/>
      </c>
      <c r="BN55" s="17"/>
      <c r="BO55" s="17"/>
      <c r="BP55" s="18" t="str">
        <f ca="1">IF(A55="","",IF(IF(AND(ISNUMBER(J55),WEEKDAY(J55,2)&lt;&gt;2,WEEKDAY(J55,2)&lt;&gt;4)," | Release must be Tuesday or Thursday","")&amp;IF(AND(ISNUMBER(H55),WEEKDAY(H55,2)&lt;&gt;1)," | Sprint Start is not a Monday - dates still calculated from the date entered","")&amp;IF(AND(A55&lt;&gt;"",NOT(ISNUMBER(H55)),NOT(ISNUMBER(J55)))," | Enter Sprint Start or Release Date","")&amp;IF(AND(ISNUMBER(F55),F55&lt;TODAY(),D55&lt;&gt;"Completed")," | One or more raise-by dates are in the past and not completed","")&amp;IF(AND(ISNUMBER(K55),K55-TODAY()&lt;SprintWarningDays,K55&gt;=TODAY(),OR(D55="Yet to start",D55="Blocked"))," | Sprint starts in under 10 days - raise access requests now","")&amp;IF(AND(ISNUMBER(BM55),BN55&lt;&gt;"Completed",BN55&lt;&gt;"N/A",BM55-TODAY()&lt;CodeReviewInviteCalendarDays)," | Code Review invite should be sent at least 4 days before Code Review","")="","",MID(IF(AND(ISNUMBER(J55),WEEKDAY(J55,2)&lt;&gt;2,WEEKDAY(J55,2)&lt;&gt;4)," | Release must be Tuesday or Thursday","")&amp;IF(AND(ISNUMBER(H55),WEEKDAY(H55,2)&lt;&gt;1)," | Sprint Start is not a Monday - dates still calculated from the date entered","")&amp;IF(AND(A55&lt;&gt;"",NOT(ISNUMBER(H55)),NOT(ISNUMBER(J55)))," | Enter Sprint Start or Release Date","")&amp;IF(AND(ISNUMBER(F55),F55&lt;TODAY(),D55&lt;&gt;"Completed")," | One or more raise-by dates are in the past and not completed","")&amp;IF(AND(ISNUMBER(K55),K55-TODAY()&lt;SprintWarningDays,K55&gt;=TODAY(),OR(D55="Yet to start",D55="Blocked"))," | Sprint starts in under 10 days - raise access requests now","")&amp;IF(AND(ISNUMBER(BM55),BN55&lt;&gt;"Completed",BN55&lt;&gt;"N/A",BM55-TODAY()&lt;CodeReviewInviteCalendarDays)," | Code Review invite should be sent at least 4 days before Code Review",""),4,500)))</f>
        <v/>
      </c>
      <c r="BQ55" s="85" t="str">
        <f>IF(AND(ISNUMBER(Q55),S55&lt;&gt;"Completed",S55&lt;&gt;"N/A"),Q55,"")</f>
        <v/>
      </c>
      <c r="BR55" s="85" t="str">
        <f>IF(AND(ISNUMBER(T55),V55&lt;&gt;"Completed",V55&lt;&gt;"N/A"),T55,"")</f>
        <v/>
      </c>
      <c r="BS55" s="85" t="str">
        <f>IF(AND(ISNUMBER(W55),Y55&lt;&gt;"Completed",Y55&lt;&gt;"N/A"),W55,"")</f>
        <v/>
      </c>
      <c r="BT55" s="85" t="str">
        <f>IF(AND(ISNUMBER(AA55),AC55&lt;&gt;"Completed",AC55&lt;&gt;"N/A"),AA55,"")</f>
        <v/>
      </c>
      <c r="BU55" s="85" t="str">
        <f>IF(AND(ISNUMBER(AG55),AI55&lt;&gt;"Completed",AI55&lt;&gt;"N/A"),AG55,"")</f>
        <v/>
      </c>
      <c r="BV55" s="85" t="str">
        <f>IF(AND(ISNUMBER(AJ55),AL55&lt;&gt;"Completed",AL55&lt;&gt;"N/A"),AJ55,"")</f>
        <v/>
      </c>
      <c r="BW55" s="85" t="str">
        <f>IF(AND(ISNUMBER(AM55),AO55&lt;&gt;"Completed",AO55&lt;&gt;"N/A"),AM55,"")</f>
        <v/>
      </c>
      <c r="BX55" s="85" t="str">
        <f>IF(AND(ISNUMBER(AP55),AR55&lt;&gt;"Completed",AR55&lt;&gt;"N/A"),AP55,"")</f>
        <v/>
      </c>
      <c r="BY55" s="85" t="str">
        <f>IF(AND(ISNUMBER(AU55),AW55&lt;&gt;"Completed",AW55&lt;&gt;"N/A"),AU55,"")</f>
        <v/>
      </c>
      <c r="BZ55" s="85" t="str">
        <f>IF(AND(ISNUMBER(AX55),AZ55&lt;&gt;"Completed",AZ55&lt;&gt;"N/A"),AX55,"")</f>
        <v/>
      </c>
      <c r="CA55" s="85" t="str">
        <f>IF(AND(ISNUMBER(BA55),BC55&lt;&gt;"Completed",BC55&lt;&gt;"N/A"),BA55,"")</f>
        <v/>
      </c>
      <c r="CB55" s="85" t="str">
        <f>IF(AND(ISNUMBER(BD55),BF55&lt;&gt;"Completed",BF55&lt;&gt;"N/A"),BD55,"")</f>
        <v/>
      </c>
      <c r="CC55" s="85" t="str">
        <f>IF(AND(ISNUMBER(O55),P55&lt;&gt;"Completed",P55&lt;&gt;"N/A"),O55,"")</f>
        <v/>
      </c>
      <c r="CD55" s="85" t="str">
        <f>IF(AND(ISNUMBER(BM55),BN55&lt;&gt;"Completed",BN55&lt;&gt;"N/A"),BM55,"")</f>
        <v/>
      </c>
      <c r="CE55" s="85" t="str">
        <f>IF(AND(ISNUMBER(BK55),BL55&lt;&gt;"Completed",BL55&lt;&gt;"N/A"),BK55,"")</f>
        <v/>
      </c>
      <c r="CF55" s="85" t="str">
        <f>IF(AND(ISNUMBER(BI55),BJ55&lt;&gt;"Completed",BJ55&lt;&gt;"N/A"),BI55,"")</f>
        <v/>
      </c>
      <c r="CG55" s="85" t="str">
        <f ca="1">IF(OR(A55="",D55="Completed"),"",IF(N(G55)&gt;0,1/(N(G55)+ROW()/100000),IF(ISNUMBER(F55),1000+F55+ROW()/100000,TODAY()+400+ROW()/100000)))</f>
        <v/>
      </c>
    </row>
    <row r="56" spans="1:85">
      <c r="A56" s="17"/>
      <c r="B56" s="17"/>
      <c r="C56" s="17"/>
      <c r="D56" s="18" t="str">
        <f>IF(A56="","",IF(((S56="Blocked")+(V56="Blocked")+(Y56="Blocked")+(AC56="Blocked")+(AI56="Blocked")+(AL56="Blocked")+(AO56="Blocked")+(AR56="Blocked")+(AW56="Blocked")+(AZ56="Blocked")+(BC56="Blocked")+(BF56="Blocked")+(P56="Blocked")+(BJ56="Blocked")+(BL56="Blocked")+(BN56="Blocked")+(BO56="Blocked"))&gt;0,"Blocked",IF((ISNUMBER(Q56)+ISNUMBER(T56)+ISNUMBER(W56)+ISNUMBER(AA56)+ISNUMBER(AG56)+ISNUMBER(AJ56)+ISNUMBER(AM56)+ISNUMBER(AP56)+ISNUMBER(AU56)+ISNUMBER(AX56)+ISNUMBER(BA56)+ISNUMBER(BD56)+ISNUMBER(O56)+ISNUMBER(BI56)+ISNUMBER(BK56)+ISNUMBER(BM56))=0,"Yet to start",IF(AND(OR(NOT(ISNUMBER(Q56)),S56="Completed",S56="N/A"),OR(NOT(ISNUMBER(T56)),V56="Completed",V56="N/A"),OR(NOT(ISNUMBER(W56)),Y56="Completed",Y56="N/A"),OR(NOT(ISNUMBER(AA56)),AC56="Completed",AC56="N/A"),OR(NOT(ISNUMBER(AG56)),AI56="Completed",AI56="N/A"),OR(NOT(ISNUMBER(AJ56)),AL56="Completed",AL56="N/A"),OR(NOT(ISNUMBER(AM56)),AO56="Completed",AO56="N/A"),OR(NOT(ISNUMBER(AP56)),AR56="Completed",AR56="N/A"),OR(NOT(ISNUMBER(AU56)),AW56="Completed",AW56="N/A"),OR(NOT(ISNUMBER(AX56)),AZ56="Completed",AZ56="N/A"),OR(NOT(ISNUMBER(BA56)),BC56="Completed",BC56="N/A"),OR(NOT(ISNUMBER(BD56)),BF56="Completed",BF56="N/A"),OR(NOT(ISNUMBER(O56)),P56="Completed",P56="N/A"),OR(NOT(ISNUMBER(BI56)),BJ56="Completed",BJ56="N/A"),OR(NOT(ISNUMBER(BK56)),BL56="Completed",BL56="N/A"),OR(NOT(ISNUMBER(BM56)),BN56="Completed",BN56="N/A"),OR(BO56="Completed",BO56="N/A")),"Completed",IF(((S56="In Progress")+(V56="In Progress")+(Y56="In Progress")+(AC56="In Progress")+(AI56="In Progress")+(AL56="In Progress")+(AO56="In Progress")+(AR56="In Progress")+(AW56="In Progress")+(AZ56="In Progress")+(BC56="In Progress")+(BF56="In Progress")+(P56="In Progress")+(BJ56="In Progress")+(BL56="In Progress")+(BN56="In Progress")+(BO56="In Progress"))&gt;0,"In Progress","Yet to start")))))</f>
        <v/>
      </c>
      <c r="E56" s="18" t="str">
        <f>IF(A56="","",IF(F56="","All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Review","CAB"},MATCH(F56,BQ56:CF56,0))))</f>
        <v/>
      </c>
      <c r="F56" s="19" t="str">
        <f>IF(A56="","",IF(COUNT(BQ56:CF56)=0,"",MIN(BQ56:CF56)))</f>
        <v/>
      </c>
      <c r="G56" s="18" t="str">
        <f ca="1">IF(A56="","",MAX(0,IF(AND(ISNUMBER(Q56),S56&lt;&gt;"Completed",S56&lt;&gt;"N/A",Q56&lt;TODAY()),TODAY()-Q56,0),IF(AND(ISNUMBER(T56),V56&lt;&gt;"Completed",V56&lt;&gt;"N/A",T56&lt;TODAY()),TODAY()-T56,0),IF(AND(ISNUMBER(W56),Y56&lt;&gt;"Completed",Y56&lt;&gt;"N/A",W56&lt;TODAY()),TODAY()-W56,0),IF(AND(ISNUMBER(AA56),AC56&lt;&gt;"Completed",AC56&lt;&gt;"N/A",AA56&lt;TODAY()),TODAY()-AA56,0),IF(AND(ISNUMBER(AG56),AI56&lt;&gt;"Completed",AI56&lt;&gt;"N/A",AG56&lt;TODAY()),TODAY()-AG56,0),IF(AND(ISNUMBER(AJ56),AL56&lt;&gt;"Completed",AL56&lt;&gt;"N/A",AJ56&lt;TODAY()),TODAY()-AJ56,0),IF(AND(ISNUMBER(AM56),AO56&lt;&gt;"Completed",AO56&lt;&gt;"N/A",AM56&lt;TODAY()),TODAY()-AM56,0),IF(AND(ISNUMBER(AP56),AR56&lt;&gt;"Completed",AR56&lt;&gt;"N/A",AP56&lt;TODAY()),TODAY()-AP56,0),IF(AND(ISNUMBER(AU56),AW56&lt;&gt;"Completed",AW56&lt;&gt;"N/A",AU56&lt;TODAY()),TODAY()-AU56,0),IF(AND(ISNUMBER(AX56),AZ56&lt;&gt;"Completed",AZ56&lt;&gt;"N/A",AX56&lt;TODAY()),TODAY()-AX56,0),IF(AND(ISNUMBER(BA56),BC56&lt;&gt;"Completed",BC56&lt;&gt;"N/A",BA56&lt;TODAY()),TODAY()-BA56,0),IF(AND(ISNUMBER(BD56),BF56&lt;&gt;"Completed",BF56&lt;&gt;"N/A",BD56&lt;TODAY()),TODAY()-BD56,0),IF(AND(ISNUMBER(O56),P56&lt;&gt;"Completed",P56&lt;&gt;"N/A",O56&lt;TODAY()),TODAY()-O56,0),IF(AND(ISNUMBER(BM56),BN56&lt;&gt;"Completed",BN56&lt;&gt;"N/A",BM56&lt;TODAY()),TODAY()-BM56,0),IF(AND(ISNUMBER(BK56),BL56&lt;&gt;"Completed",BL56&lt;&gt;"N/A",BK56&lt;TODAY()),TODAY()-BK56,0),IF(AND(ISNUMBER(BI56),BJ56&lt;&gt;"Completed",BJ56&lt;&gt;"N/A",BI56&lt;TODAY()),TODAY()-BI56,0)))</f>
        <v/>
      </c>
      <c r="H56" s="17"/>
      <c r="I56" s="17"/>
      <c r="J56" s="17"/>
      <c r="K56" s="19" t="str">
        <f>IF(ISNUMBER(H56),H56,IF(ISNUMBER(M56),M56-WEEKDAY(M56,2)+1-7,""))</f>
        <v/>
      </c>
      <c r="L56" s="19" t="str">
        <f>IF(ISNUMBER(I56),I56,IF(ISNUMBER(H56),WORKDAY(H56,SprintWorkingDays-1),IF(ISNUMBER(K56),WORKDAY(K56,SprintWorkingDays-1),"")))</f>
        <v/>
      </c>
      <c r="M56" s="19" t="str">
        <f>IF(ISNUMBER(J56),J56,IF(ISNUMBER(I56),I56-IF(OR(WEEKDAY(I56,2)=2,WEEKDAY(I56,2)=4),0,IF(WEEKDAY(I56,2)=3,1,IF(WEEKDAY(I56,2)=1,4,WEEKDAY(I56,2)-4))),IF(ISNUMBER(H56),WORKDAY(H56,SprintWorkingDays-1)-IF(OR(WEEKDAY(WORKDAY(H56,SprintWorkingDays-1),2)=2,WEEKDAY(WORKDAY(H56,SprintWorkingDays-1),2)=4),0,IF(WEEKDAY(WORKDAY(H56,SprintWorkingDays-1),2)=3,1,IF(WEEKDAY(WORKDAY(H56,SprintWorkingDays-1),2)=1,4,WEEKDAY(WORKDAY(H56,SprintWorkingDays-1),2)-4))),"")))</f>
        <v/>
      </c>
      <c r="N56" s="19" t="str">
        <f>IF(NOT(ISNUMBER(K56)),"",WORKDAY(K56,ReadyOffsetWD))</f>
        <v/>
      </c>
      <c r="O56" s="19" t="str">
        <f>IF(NOT(ISNUMBER(K56)),"",WORKDAY(K56,SprintReadinessOffsetWD))</f>
        <v/>
      </c>
      <c r="P56" s="17"/>
      <c r="Q56" s="19" t="str">
        <f>IF(A56="","",IF(V56="N/A",IF(NOT(ISNUMBER(W56)),"",WORKDAY(W56,RTSKOffsetFromOUR_WD)),IF(NOT(ISNUMBER(T56)),"",WORKDAY(T56,RTSKOffsetFromOUR_WD))))</f>
        <v/>
      </c>
      <c r="R56" s="17"/>
      <c r="S56" s="17"/>
      <c r="T56" s="19" t="str">
        <f>IF(OR(A56="",V56="N/A"),"",IF(NOT(ISNUMBER(W56)),"",WORKDAY(W56,OUROffsetFromSR_WD)))</f>
        <v/>
      </c>
      <c r="U56" s="17"/>
      <c r="V56" s="17"/>
      <c r="W56" s="19" t="str">
        <f>IF(OR(A56="",NOT(ISNUMBER(K56))),"",WORKDAY(K56,SROffsetFromStartWD))</f>
        <v/>
      </c>
      <c r="X56" s="17"/>
      <c r="Y56" s="17"/>
      <c r="Z56" s="17"/>
      <c r="AA56" s="19" t="str">
        <f>IF(OR(Z56="",Z56="N/A"),"",IF(ISNUMBER(Q56),Q56,""))</f>
        <v/>
      </c>
      <c r="AB56" s="17"/>
      <c r="AC56" s="17"/>
      <c r="AD56" s="17"/>
      <c r="AE56" s="17"/>
      <c r="AF56" s="17" t="str">
        <f>IF(Z56="N/A","N/A","")</f>
        <v/>
      </c>
      <c r="AG56" s="19" t="str">
        <f>IF(NOT(ISNUMBER(Q56)),"",Q56)</f>
        <v/>
      </c>
      <c r="AH56" s="17"/>
      <c r="AI56" s="17"/>
      <c r="AJ56" s="19" t="str">
        <f>IF(OR(AL56="N/A",NOT(ISNUMBER(T56))),"",T56)</f>
        <v/>
      </c>
      <c r="AK56" s="17"/>
      <c r="AL56" s="17"/>
      <c r="AM56" s="19" t="str">
        <f>IF(NOT(ISNUMBER(W56)),"",W56)</f>
        <v/>
      </c>
      <c r="AN56" s="17"/>
      <c r="AO56" s="17"/>
      <c r="AP56" s="19" t="str">
        <f>IF(OR(Z56="",Z56="N/A"),"",IF(ISNUMBER(AG56),AG56,""))</f>
        <v/>
      </c>
      <c r="AQ56" s="17"/>
      <c r="AR56" s="17"/>
      <c r="AS56" s="17"/>
      <c r="AT56" s="17"/>
      <c r="AU56" s="19" t="str">
        <f>IF(NOT(ISNUMBER(Q56)),"",Q56)</f>
        <v/>
      </c>
      <c r="AV56" s="17"/>
      <c r="AW56" s="17"/>
      <c r="AX56" s="19" t="str">
        <f>IF(OR(AZ56="N/A",NOT(ISNUMBER(T56))),"",T56)</f>
        <v/>
      </c>
      <c r="AY56" s="17"/>
      <c r="AZ56" s="17"/>
      <c r="BA56" s="19" t="str">
        <f>IF(NOT(ISNUMBER(W56)),"",W56)</f>
        <v/>
      </c>
      <c r="BB56" s="17"/>
      <c r="BC56" s="17"/>
      <c r="BD56" s="19" t="str">
        <f>IF(OR(Z56="",Z56="N/A"),"",IF(ISNUMBER(AU56),AU56,""))</f>
        <v/>
      </c>
      <c r="BE56" s="17"/>
      <c r="BF56" s="17"/>
      <c r="BG56" s="17"/>
      <c r="BH56" s="17"/>
      <c r="BI56" s="89" t="e">
        <f>IF(OR(A56="",NOT(ISNUMBER(M56)),AND(WEEKDAY(M56,2)&lt;&gt;2,WEEKDAY(M56,2)&lt;&gt;4)),"",WORKDAY(M56,CABOffsetFromReleaseWD))</f>
        <v>#VALUE!</v>
      </c>
      <c r="BJ56" s="17"/>
      <c r="BK56" s="19" t="str">
        <f>IF(NOT(ISNUMBER(BI56)),"",IF(WEEKDAY(BI56-CodeReviewCalendarDays,2)&gt;5,BI56-CodeReviewCalendarDays-(WEEKDAY(BI56-CodeReviewCalendarDays,2)-5),BI56-CodeReviewCalendarDays))</f>
        <v/>
      </c>
      <c r="BL56" s="17"/>
      <c r="BM56" s="19" t="str">
        <f>IF(NOT(ISNUMBER(BK56)),"",IF(WEEKDAY(BK56-CodeReviewInviteCalendarDays,2)&gt;5,BK56-CodeReviewInviteCalendarDays-(WEEKDAY(BK56-CodeReviewInviteCalendarDays,2)-5),BK56-CodeReviewInviteCalendarDays))</f>
        <v/>
      </c>
      <c r="BN56" s="17"/>
      <c r="BO56" s="17"/>
      <c r="BP56" s="18" t="str">
        <f ca="1">IF(A56="","",IF(IF(AND(ISNUMBER(J56),WEEKDAY(J56,2)&lt;&gt;2,WEEKDAY(J56,2)&lt;&gt;4)," | Release must be Tuesday or Thursday","")&amp;IF(AND(ISNUMBER(H56),WEEKDAY(H56,2)&lt;&gt;1)," | Sprint Start is not a Monday - dates still calculated from the date entered","")&amp;IF(AND(A56&lt;&gt;"",NOT(ISNUMBER(H56)),NOT(ISNUMBER(J56)))," | Enter Sprint Start or Release Date","")&amp;IF(AND(ISNUMBER(F56),F56&lt;TODAY(),D56&lt;&gt;"Completed")," | One or more raise-by dates are in the past and not completed","")&amp;IF(AND(ISNUMBER(K56),K56-TODAY()&lt;SprintWarningDays,K56&gt;=TODAY(),OR(D56="Yet to start",D56="Blocked"))," | Sprint starts in under 10 days - raise access requests now","")&amp;IF(AND(ISNUMBER(BM56),BN56&lt;&gt;"Completed",BN56&lt;&gt;"N/A",BM56-TODAY()&lt;CodeReviewInviteCalendarDays)," | Code Review invite should be sent at least 4 days before Code Review","")="","",MID(IF(AND(ISNUMBER(J56),WEEKDAY(J56,2)&lt;&gt;2,WEEKDAY(J56,2)&lt;&gt;4)," | Release must be Tuesday or Thursday","")&amp;IF(AND(ISNUMBER(H56),WEEKDAY(H56,2)&lt;&gt;1)," | Sprint Start is not a Monday - dates still calculated from the date entered","")&amp;IF(AND(A56&lt;&gt;"",NOT(ISNUMBER(H56)),NOT(ISNUMBER(J56)))," | Enter Sprint Start or Release Date","")&amp;IF(AND(ISNUMBER(F56),F56&lt;TODAY(),D56&lt;&gt;"Completed")," | One or more raise-by dates are in the past and not completed","")&amp;IF(AND(ISNUMBER(K56),K56-TODAY()&lt;SprintWarningDays,K56&gt;=TODAY(),OR(D56="Yet to start",D56="Blocked"))," | Sprint starts in under 10 days - raise access requests now","")&amp;IF(AND(ISNUMBER(BM56),BN56&lt;&gt;"Completed",BN56&lt;&gt;"N/A",BM56-TODAY()&lt;CodeReviewInviteCalendarDays)," | Code Review invite should be sent at least 4 days before Code Review",""),4,500)))</f>
        <v/>
      </c>
      <c r="BQ56" s="85" t="str">
        <f>IF(AND(ISNUMBER(Q56),S56&lt;&gt;"Completed",S56&lt;&gt;"N/A"),Q56,"")</f>
        <v/>
      </c>
      <c r="BR56" s="85" t="str">
        <f>IF(AND(ISNUMBER(T56),V56&lt;&gt;"Completed",V56&lt;&gt;"N/A"),T56,"")</f>
        <v/>
      </c>
      <c r="BS56" s="85" t="str">
        <f>IF(AND(ISNUMBER(W56),Y56&lt;&gt;"Completed",Y56&lt;&gt;"N/A"),W56,"")</f>
        <v/>
      </c>
      <c r="BT56" s="85" t="str">
        <f>IF(AND(ISNUMBER(AA56),AC56&lt;&gt;"Completed",AC56&lt;&gt;"N/A"),AA56,"")</f>
        <v/>
      </c>
      <c r="BU56" s="85" t="str">
        <f>IF(AND(ISNUMBER(AG56),AI56&lt;&gt;"Completed",AI56&lt;&gt;"N/A"),AG56,"")</f>
        <v/>
      </c>
      <c r="BV56" s="85" t="str">
        <f>IF(AND(ISNUMBER(AJ56),AL56&lt;&gt;"Completed",AL56&lt;&gt;"N/A"),AJ56,"")</f>
        <v/>
      </c>
      <c r="BW56" s="85" t="str">
        <f>IF(AND(ISNUMBER(AM56),AO56&lt;&gt;"Completed",AO56&lt;&gt;"N/A"),AM56,"")</f>
        <v/>
      </c>
      <c r="BX56" s="85" t="str">
        <f>IF(AND(ISNUMBER(AP56),AR56&lt;&gt;"Completed",AR56&lt;&gt;"N/A"),AP56,"")</f>
        <v/>
      </c>
      <c r="BY56" s="85" t="str">
        <f>IF(AND(ISNUMBER(AU56),AW56&lt;&gt;"Completed",AW56&lt;&gt;"N/A"),AU56,"")</f>
        <v/>
      </c>
      <c r="BZ56" s="85" t="str">
        <f>IF(AND(ISNUMBER(AX56),AZ56&lt;&gt;"Completed",AZ56&lt;&gt;"N/A"),AX56,"")</f>
        <v/>
      </c>
      <c r="CA56" s="85" t="str">
        <f>IF(AND(ISNUMBER(BA56),BC56&lt;&gt;"Completed",BC56&lt;&gt;"N/A"),BA56,"")</f>
        <v/>
      </c>
      <c r="CB56" s="85" t="str">
        <f>IF(AND(ISNUMBER(BD56),BF56&lt;&gt;"Completed",BF56&lt;&gt;"N/A"),BD56,"")</f>
        <v/>
      </c>
      <c r="CC56" s="85" t="str">
        <f>IF(AND(ISNUMBER(O56),P56&lt;&gt;"Completed",P56&lt;&gt;"N/A"),O56,"")</f>
        <v/>
      </c>
      <c r="CD56" s="85" t="str">
        <f>IF(AND(ISNUMBER(BM56),BN56&lt;&gt;"Completed",BN56&lt;&gt;"N/A"),BM56,"")</f>
        <v/>
      </c>
      <c r="CE56" s="85" t="str">
        <f>IF(AND(ISNUMBER(BK56),BL56&lt;&gt;"Completed",BL56&lt;&gt;"N/A"),BK56,"")</f>
        <v/>
      </c>
      <c r="CF56" s="85" t="str">
        <f>IF(AND(ISNUMBER(BI56),BJ56&lt;&gt;"Completed",BJ56&lt;&gt;"N/A"),BI56,"")</f>
        <v/>
      </c>
      <c r="CG56" s="85" t="str">
        <f ca="1">IF(OR(A56="",D56="Completed"),"",IF(N(G56)&gt;0,1/(N(G56)+ROW()/100000),IF(ISNUMBER(F56),1000+F56+ROW()/100000,TODAY()+400+ROW()/100000)))</f>
        <v/>
      </c>
    </row>
    <row r="57" spans="1:85">
      <c r="A57" s="17"/>
      <c r="B57" s="17"/>
      <c r="C57" s="17"/>
      <c r="D57" s="18" t="str">
        <f>IF(A57="","",IF(((S57="Blocked")+(V57="Blocked")+(Y57="Blocked")+(AC57="Blocked")+(AI57="Blocked")+(AL57="Blocked")+(AO57="Blocked")+(AR57="Blocked")+(AW57="Blocked")+(AZ57="Blocked")+(BC57="Blocked")+(BF57="Blocked")+(P57="Blocked")+(BJ57="Blocked")+(BL57="Blocked")+(BN57="Blocked")+(BO57="Blocked"))&gt;0,"Blocked",IF((ISNUMBER(Q57)+ISNUMBER(T57)+ISNUMBER(W57)+ISNUMBER(AA57)+ISNUMBER(AG57)+ISNUMBER(AJ57)+ISNUMBER(AM57)+ISNUMBER(AP57)+ISNUMBER(AU57)+ISNUMBER(AX57)+ISNUMBER(BA57)+ISNUMBER(BD57)+ISNUMBER(O57)+ISNUMBER(BI57)+ISNUMBER(BK57)+ISNUMBER(BM57))=0,"Yet to start",IF(AND(OR(NOT(ISNUMBER(Q57)),S57="Completed",S57="N/A"),OR(NOT(ISNUMBER(T57)),V57="Completed",V57="N/A"),OR(NOT(ISNUMBER(W57)),Y57="Completed",Y57="N/A"),OR(NOT(ISNUMBER(AA57)),AC57="Completed",AC57="N/A"),OR(NOT(ISNUMBER(AG57)),AI57="Completed",AI57="N/A"),OR(NOT(ISNUMBER(AJ57)),AL57="Completed",AL57="N/A"),OR(NOT(ISNUMBER(AM57)),AO57="Completed",AO57="N/A"),OR(NOT(ISNUMBER(AP57)),AR57="Completed",AR57="N/A"),OR(NOT(ISNUMBER(AU57)),AW57="Completed",AW57="N/A"),OR(NOT(ISNUMBER(AX57)),AZ57="Completed",AZ57="N/A"),OR(NOT(ISNUMBER(BA57)),BC57="Completed",BC57="N/A"),OR(NOT(ISNUMBER(BD57)),BF57="Completed",BF57="N/A"),OR(NOT(ISNUMBER(O57)),P57="Completed",P57="N/A"),OR(NOT(ISNUMBER(BI57)),BJ57="Completed",BJ57="N/A"),OR(NOT(ISNUMBER(BK57)),BL57="Completed",BL57="N/A"),OR(NOT(ISNUMBER(BM57)),BN57="Completed",BN57="N/A"),OR(BO57="Completed",BO57="N/A")),"Completed",IF(((S57="In Progress")+(V57="In Progress")+(Y57="In Progress")+(AC57="In Progress")+(AI57="In Progress")+(AL57="In Progress")+(AO57="In Progress")+(AR57="In Progress")+(AW57="In Progress")+(AZ57="In Progress")+(BC57="In Progress")+(BF57="In Progress")+(P57="In Progress")+(BJ57="In Progress")+(BL57="In Progress")+(BN57="In Progress")+(BO57="In Progress"))&gt;0,"In Progress","Yet to start")))))</f>
        <v/>
      </c>
      <c r="E57" s="18" t="str">
        <f>IF(A57="","",IF(F57="","All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Review","CAB"},MATCH(F57,BQ57:CF57,0))))</f>
        <v/>
      </c>
      <c r="F57" s="19" t="str">
        <f>IF(A57="","",IF(COUNT(BQ57:CF57)=0,"",MIN(BQ57:CF57)))</f>
        <v/>
      </c>
      <c r="G57" s="18" t="str">
        <f ca="1">IF(A57="","",MAX(0,IF(AND(ISNUMBER(Q57),S57&lt;&gt;"Completed",S57&lt;&gt;"N/A",Q57&lt;TODAY()),TODAY()-Q57,0),IF(AND(ISNUMBER(T57),V57&lt;&gt;"Completed",V57&lt;&gt;"N/A",T57&lt;TODAY()),TODAY()-T57,0),IF(AND(ISNUMBER(W57),Y57&lt;&gt;"Completed",Y57&lt;&gt;"N/A",W57&lt;TODAY()),TODAY()-W57,0),IF(AND(ISNUMBER(AA57),AC57&lt;&gt;"Completed",AC57&lt;&gt;"N/A",AA57&lt;TODAY()),TODAY()-AA57,0),IF(AND(ISNUMBER(AG57),AI57&lt;&gt;"Completed",AI57&lt;&gt;"N/A",AG57&lt;TODAY()),TODAY()-AG57,0),IF(AND(ISNUMBER(AJ57),AL57&lt;&gt;"Completed",AL57&lt;&gt;"N/A",AJ57&lt;TODAY()),TODAY()-AJ57,0),IF(AND(ISNUMBER(AM57),AO57&lt;&gt;"Completed",AO57&lt;&gt;"N/A",AM57&lt;TODAY()),TODAY()-AM57,0),IF(AND(ISNUMBER(AP57),AR57&lt;&gt;"Completed",AR57&lt;&gt;"N/A",AP57&lt;TODAY()),TODAY()-AP57,0),IF(AND(ISNUMBER(AU57),AW57&lt;&gt;"Completed",AW57&lt;&gt;"N/A",AU57&lt;TODAY()),TODAY()-AU57,0),IF(AND(ISNUMBER(AX57),AZ57&lt;&gt;"Completed",AZ57&lt;&gt;"N/A",AX57&lt;TODAY()),TODAY()-AX57,0),IF(AND(ISNUMBER(BA57),BC57&lt;&gt;"Completed",BC57&lt;&gt;"N/A",BA57&lt;TODAY()),TODAY()-BA57,0),IF(AND(ISNUMBER(BD57),BF57&lt;&gt;"Completed",BF57&lt;&gt;"N/A",BD57&lt;TODAY()),TODAY()-BD57,0),IF(AND(ISNUMBER(O57),P57&lt;&gt;"Completed",P57&lt;&gt;"N/A",O57&lt;TODAY()),TODAY()-O57,0),IF(AND(ISNUMBER(BM57),BN57&lt;&gt;"Completed",BN57&lt;&gt;"N/A",BM57&lt;TODAY()),TODAY()-BM57,0),IF(AND(ISNUMBER(BK57),BL57&lt;&gt;"Completed",BL57&lt;&gt;"N/A",BK57&lt;TODAY()),TODAY()-BK57,0),IF(AND(ISNUMBER(BI57),BJ57&lt;&gt;"Completed",BJ57&lt;&gt;"N/A",BI57&lt;TODAY()),TODAY()-BI57,0)))</f>
        <v/>
      </c>
      <c r="H57" s="17"/>
      <c r="I57" s="17"/>
      <c r="J57" s="17"/>
      <c r="K57" s="19" t="str">
        <f>IF(ISNUMBER(H57),H57,IF(ISNUMBER(M57),M57-WEEKDAY(M57,2)+1-7,""))</f>
        <v/>
      </c>
      <c r="L57" s="19" t="str">
        <f>IF(ISNUMBER(I57),I57,IF(ISNUMBER(H57),WORKDAY(H57,SprintWorkingDays-1),IF(ISNUMBER(K57),WORKDAY(K57,SprintWorkingDays-1),"")))</f>
        <v/>
      </c>
      <c r="M57" s="19" t="str">
        <f>IF(ISNUMBER(J57),J57,IF(ISNUMBER(I57),I57-IF(OR(WEEKDAY(I57,2)=2,WEEKDAY(I57,2)=4),0,IF(WEEKDAY(I57,2)=3,1,IF(WEEKDAY(I57,2)=1,4,WEEKDAY(I57,2)-4))),IF(ISNUMBER(H57),WORKDAY(H57,SprintWorkingDays-1)-IF(OR(WEEKDAY(WORKDAY(H57,SprintWorkingDays-1),2)=2,WEEKDAY(WORKDAY(H57,SprintWorkingDays-1),2)=4),0,IF(WEEKDAY(WORKDAY(H57,SprintWorkingDays-1),2)=3,1,IF(WEEKDAY(WORKDAY(H57,SprintWorkingDays-1),2)=1,4,WEEKDAY(WORKDAY(H57,SprintWorkingDays-1),2)-4))),"")))</f>
        <v/>
      </c>
      <c r="N57" s="19" t="str">
        <f>IF(NOT(ISNUMBER(K57)),"",WORKDAY(K57,ReadyOffsetWD))</f>
        <v/>
      </c>
      <c r="O57" s="19" t="str">
        <f>IF(NOT(ISNUMBER(K57)),"",WORKDAY(K57,SprintReadinessOffsetWD))</f>
        <v/>
      </c>
      <c r="P57" s="17"/>
      <c r="Q57" s="19" t="str">
        <f>IF(A57="","",IF(V57="N/A",IF(NOT(ISNUMBER(W57)),"",WORKDAY(W57,RTSKOffsetFromOUR_WD)),IF(NOT(ISNUMBER(T57)),"",WORKDAY(T57,RTSKOffsetFromOUR_WD))))</f>
        <v/>
      </c>
      <c r="R57" s="17"/>
      <c r="S57" s="17"/>
      <c r="T57" s="19" t="str">
        <f>IF(OR(A57="",V57="N/A"),"",IF(NOT(ISNUMBER(W57)),"",WORKDAY(W57,OUROffsetFromSR_WD)))</f>
        <v/>
      </c>
      <c r="U57" s="17"/>
      <c r="V57" s="17"/>
      <c r="W57" s="19" t="str">
        <f>IF(OR(A57="",NOT(ISNUMBER(K57))),"",WORKDAY(K57,SROffsetFromStartWD))</f>
        <v/>
      </c>
      <c r="X57" s="17"/>
      <c r="Y57" s="17"/>
      <c r="Z57" s="17"/>
      <c r="AA57" s="19" t="str">
        <f>IF(OR(Z57="",Z57="N/A"),"",IF(ISNUMBER(Q57),Q57,""))</f>
        <v/>
      </c>
      <c r="AB57" s="17"/>
      <c r="AC57" s="17"/>
      <c r="AD57" s="17"/>
      <c r="AE57" s="17"/>
      <c r="AF57" s="17" t="str">
        <f>IF(Z57="N/A","N/A","")</f>
        <v/>
      </c>
      <c r="AG57" s="19" t="str">
        <f>IF(NOT(ISNUMBER(Q57)),"",Q57)</f>
        <v/>
      </c>
      <c r="AH57" s="17"/>
      <c r="AI57" s="17"/>
      <c r="AJ57" s="19" t="str">
        <f>IF(OR(AL57="N/A",NOT(ISNUMBER(T57))),"",T57)</f>
        <v/>
      </c>
      <c r="AK57" s="17"/>
      <c r="AL57" s="17"/>
      <c r="AM57" s="19" t="str">
        <f>IF(NOT(ISNUMBER(W57)),"",W57)</f>
        <v/>
      </c>
      <c r="AN57" s="17"/>
      <c r="AO57" s="17"/>
      <c r="AP57" s="19" t="str">
        <f>IF(OR(Z57="",Z57="N/A"),"",IF(ISNUMBER(AG57),AG57,""))</f>
        <v/>
      </c>
      <c r="AQ57" s="17"/>
      <c r="AR57" s="17"/>
      <c r="AS57" s="17"/>
      <c r="AT57" s="17"/>
      <c r="AU57" s="19" t="str">
        <f>IF(NOT(ISNUMBER(Q57)),"",Q57)</f>
        <v/>
      </c>
      <c r="AV57" s="17"/>
      <c r="AW57" s="17"/>
      <c r="AX57" s="19" t="str">
        <f>IF(OR(AZ57="N/A",NOT(ISNUMBER(T57))),"",T57)</f>
        <v/>
      </c>
      <c r="AY57" s="17"/>
      <c r="AZ57" s="17"/>
      <c r="BA57" s="19" t="str">
        <f>IF(NOT(ISNUMBER(W57)),"",W57)</f>
        <v/>
      </c>
      <c r="BB57" s="17"/>
      <c r="BC57" s="17"/>
      <c r="BD57" s="19" t="str">
        <f>IF(OR(Z57="",Z57="N/A"),"",IF(ISNUMBER(AU57),AU57,""))</f>
        <v/>
      </c>
      <c r="BE57" s="17"/>
      <c r="BF57" s="17"/>
      <c r="BG57" s="17"/>
      <c r="BH57" s="17"/>
      <c r="BI57" s="89" t="e">
        <f>IF(OR(A57="",NOT(ISNUMBER(M57)),AND(WEEKDAY(M57,2)&lt;&gt;2,WEEKDAY(M57,2)&lt;&gt;4)),"",WORKDAY(M57,CABOffsetFromReleaseWD))</f>
        <v>#VALUE!</v>
      </c>
      <c r="BJ57" s="17"/>
      <c r="BK57" s="19" t="str">
        <f>IF(NOT(ISNUMBER(BI57)),"",IF(WEEKDAY(BI57-CodeReviewCalendarDays,2)&gt;5,BI57-CodeReviewCalendarDays-(WEEKDAY(BI57-CodeReviewCalendarDays,2)-5),BI57-CodeReviewCalendarDays))</f>
        <v/>
      </c>
      <c r="BL57" s="17"/>
      <c r="BM57" s="19" t="str">
        <f>IF(NOT(ISNUMBER(BK57)),"",IF(WEEKDAY(BK57-CodeReviewInviteCalendarDays,2)&gt;5,BK57-CodeReviewInviteCalendarDays-(WEEKDAY(BK57-CodeReviewInviteCalendarDays,2)-5),BK57-CodeReviewInviteCalendarDays))</f>
        <v/>
      </c>
      <c r="BN57" s="17"/>
      <c r="BO57" s="17"/>
      <c r="BP57" s="18" t="str">
        <f ca="1">IF(A57="","",IF(IF(AND(ISNUMBER(J57),WEEKDAY(J57,2)&lt;&gt;2,WEEKDAY(J57,2)&lt;&gt;4)," | Release must be Tuesday or Thursday","")&amp;IF(AND(ISNUMBER(H57),WEEKDAY(H57,2)&lt;&gt;1)," | Sprint Start is not a Monday - dates still calculated from the date entered","")&amp;IF(AND(A57&lt;&gt;"",NOT(ISNUMBER(H57)),NOT(ISNUMBER(J57)))," | Enter Sprint Start or Release Date","")&amp;IF(AND(ISNUMBER(F57),F57&lt;TODAY(),D57&lt;&gt;"Completed")," | One or more raise-by dates are in the past and not completed","")&amp;IF(AND(ISNUMBER(K57),K57-TODAY()&lt;SprintWarningDays,K57&gt;=TODAY(),OR(D57="Yet to start",D57="Blocked"))," | Sprint starts in under 10 days - raise access requests now","")&amp;IF(AND(ISNUMBER(BM57),BN57&lt;&gt;"Completed",BN57&lt;&gt;"N/A",BM57-TODAY()&lt;CodeReviewInviteCalendarDays)," | Code Review invite should be sent at least 4 days before Code Review","")="","",MID(IF(AND(ISNUMBER(J57),WEEKDAY(J57,2)&lt;&gt;2,WEEKDAY(J57,2)&lt;&gt;4)," | Release must be Tuesday or Thursday","")&amp;IF(AND(ISNUMBER(H57),WEEKDAY(H57,2)&lt;&gt;1)," | Sprint Start is not a Monday - dates still calculated from the date entered","")&amp;IF(AND(A57&lt;&gt;"",NOT(ISNUMBER(H57)),NOT(ISNUMBER(J57)))," | Enter Sprint Start or Release Date","")&amp;IF(AND(ISNUMBER(F57),F57&lt;TODAY(),D57&lt;&gt;"Completed")," | One or more raise-by dates are in the past and not completed","")&amp;IF(AND(ISNUMBER(K57),K57-TODAY()&lt;SprintWarningDays,K57&gt;=TODAY(),OR(D57="Yet to start",D57="Blocked"))," | Sprint starts in under 10 days - raise access requests now","")&amp;IF(AND(ISNUMBER(BM57),BN57&lt;&gt;"Completed",BN57&lt;&gt;"N/A",BM57-TODAY()&lt;CodeReviewInviteCalendarDays)," | Code Review invite should be sent at least 4 days before Code Review",""),4,500)))</f>
        <v/>
      </c>
      <c r="BQ57" s="85" t="str">
        <f>IF(AND(ISNUMBER(Q57),S57&lt;&gt;"Completed",S57&lt;&gt;"N/A"),Q57,"")</f>
        <v/>
      </c>
      <c r="BR57" s="85" t="str">
        <f>IF(AND(ISNUMBER(T57),V57&lt;&gt;"Completed",V57&lt;&gt;"N/A"),T57,"")</f>
        <v/>
      </c>
      <c r="BS57" s="85" t="str">
        <f>IF(AND(ISNUMBER(W57),Y57&lt;&gt;"Completed",Y57&lt;&gt;"N/A"),W57,"")</f>
        <v/>
      </c>
      <c r="BT57" s="85" t="str">
        <f>IF(AND(ISNUMBER(AA57),AC57&lt;&gt;"Completed",AC57&lt;&gt;"N/A"),AA57,"")</f>
        <v/>
      </c>
      <c r="BU57" s="85" t="str">
        <f>IF(AND(ISNUMBER(AG57),AI57&lt;&gt;"Completed",AI57&lt;&gt;"N/A"),AG57,"")</f>
        <v/>
      </c>
      <c r="BV57" s="85" t="str">
        <f>IF(AND(ISNUMBER(AJ57),AL57&lt;&gt;"Completed",AL57&lt;&gt;"N/A"),AJ57,"")</f>
        <v/>
      </c>
      <c r="BW57" s="85" t="str">
        <f>IF(AND(ISNUMBER(AM57),AO57&lt;&gt;"Completed",AO57&lt;&gt;"N/A"),AM57,"")</f>
        <v/>
      </c>
      <c r="BX57" s="85" t="str">
        <f>IF(AND(ISNUMBER(AP57),AR57&lt;&gt;"Completed",AR57&lt;&gt;"N/A"),AP57,"")</f>
        <v/>
      </c>
      <c r="BY57" s="85" t="str">
        <f>IF(AND(ISNUMBER(AU57),AW57&lt;&gt;"Completed",AW57&lt;&gt;"N/A"),AU57,"")</f>
        <v/>
      </c>
      <c r="BZ57" s="85" t="str">
        <f>IF(AND(ISNUMBER(AX57),AZ57&lt;&gt;"Completed",AZ57&lt;&gt;"N/A"),AX57,"")</f>
        <v/>
      </c>
      <c r="CA57" s="85" t="str">
        <f>IF(AND(ISNUMBER(BA57),BC57&lt;&gt;"Completed",BC57&lt;&gt;"N/A"),BA57,"")</f>
        <v/>
      </c>
      <c r="CB57" s="85" t="str">
        <f>IF(AND(ISNUMBER(BD57),BF57&lt;&gt;"Completed",BF57&lt;&gt;"N/A"),BD57,"")</f>
        <v/>
      </c>
      <c r="CC57" s="85" t="str">
        <f>IF(AND(ISNUMBER(O57),P57&lt;&gt;"Completed",P57&lt;&gt;"N/A"),O57,"")</f>
        <v/>
      </c>
      <c r="CD57" s="85" t="str">
        <f>IF(AND(ISNUMBER(BM57),BN57&lt;&gt;"Completed",BN57&lt;&gt;"N/A"),BM57,"")</f>
        <v/>
      </c>
      <c r="CE57" s="85" t="str">
        <f>IF(AND(ISNUMBER(BK57),BL57&lt;&gt;"Completed",BL57&lt;&gt;"N/A"),BK57,"")</f>
        <v/>
      </c>
      <c r="CF57" s="85" t="str">
        <f>IF(AND(ISNUMBER(BI57),BJ57&lt;&gt;"Completed",BJ57&lt;&gt;"N/A"),BI57,"")</f>
        <v/>
      </c>
      <c r="CG57" s="85" t="str">
        <f ca="1">IF(OR(A57="",D57="Completed"),"",IF(N(G57)&gt;0,1/(N(G57)+ROW()/100000),IF(ISNUMBER(F57),1000+F57+ROW()/100000,TODAY()+400+ROW()/100000)))</f>
        <v/>
      </c>
    </row>
    <row r="58" spans="1:85">
      <c r="A58" s="17"/>
      <c r="B58" s="17"/>
      <c r="C58" s="17"/>
      <c r="D58" s="18" t="str">
        <f>IF(A58="","",IF(((S58="Blocked")+(V58="Blocked")+(Y58="Blocked")+(AC58="Blocked")+(AI58="Blocked")+(AL58="Blocked")+(AO58="Blocked")+(AR58="Blocked")+(AW58="Blocked")+(AZ58="Blocked")+(BC58="Blocked")+(BF58="Blocked")+(P58="Blocked")+(BJ58="Blocked")+(BL58="Blocked")+(BN58="Blocked")+(BO58="Blocked"))&gt;0,"Blocked",IF((ISNUMBER(Q58)+ISNUMBER(T58)+ISNUMBER(W58)+ISNUMBER(AA58)+ISNUMBER(AG58)+ISNUMBER(AJ58)+ISNUMBER(AM58)+ISNUMBER(AP58)+ISNUMBER(AU58)+ISNUMBER(AX58)+ISNUMBER(BA58)+ISNUMBER(BD58)+ISNUMBER(O58)+ISNUMBER(BI58)+ISNUMBER(BK58)+ISNUMBER(BM58))=0,"Yet to start",IF(AND(OR(NOT(ISNUMBER(Q58)),S58="Completed",S58="N/A"),OR(NOT(ISNUMBER(T58)),V58="Completed",V58="N/A"),OR(NOT(ISNUMBER(W58)),Y58="Completed",Y58="N/A"),OR(NOT(ISNUMBER(AA58)),AC58="Completed",AC58="N/A"),OR(NOT(ISNUMBER(AG58)),AI58="Completed",AI58="N/A"),OR(NOT(ISNUMBER(AJ58)),AL58="Completed",AL58="N/A"),OR(NOT(ISNUMBER(AM58)),AO58="Completed",AO58="N/A"),OR(NOT(ISNUMBER(AP58)),AR58="Completed",AR58="N/A"),OR(NOT(ISNUMBER(AU58)),AW58="Completed",AW58="N/A"),OR(NOT(ISNUMBER(AX58)),AZ58="Completed",AZ58="N/A"),OR(NOT(ISNUMBER(BA58)),BC58="Completed",BC58="N/A"),OR(NOT(ISNUMBER(BD58)),BF58="Completed",BF58="N/A"),OR(NOT(ISNUMBER(O58)),P58="Completed",P58="N/A"),OR(NOT(ISNUMBER(BI58)),BJ58="Completed",BJ58="N/A"),OR(NOT(ISNUMBER(BK58)),BL58="Completed",BL58="N/A"),OR(NOT(ISNUMBER(BM58)),BN58="Completed",BN58="N/A"),OR(BO58="Completed",BO58="N/A")),"Completed",IF(((S58="In Progress")+(V58="In Progress")+(Y58="In Progress")+(AC58="In Progress")+(AI58="In Progress")+(AL58="In Progress")+(AO58="In Progress")+(AR58="In Progress")+(AW58="In Progress")+(AZ58="In Progress")+(BC58="In Progress")+(BF58="In Progress")+(P58="In Progress")+(BJ58="In Progress")+(BL58="In Progress")+(BN58="In Progress")+(BO58="In Progress"))&gt;0,"In Progress","Yet to start")))))</f>
        <v/>
      </c>
      <c r="E58" s="18" t="str">
        <f>IF(A58="","",IF(F58="","All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Review","CAB"},MATCH(F58,BQ58:CF58,0))))</f>
        <v/>
      </c>
      <c r="F58" s="19" t="str">
        <f>IF(A58="","",IF(COUNT(BQ58:CF58)=0,"",MIN(BQ58:CF58)))</f>
        <v/>
      </c>
      <c r="G58" s="18" t="str">
        <f ca="1">IF(A58="","",MAX(0,IF(AND(ISNUMBER(Q58),S58&lt;&gt;"Completed",S58&lt;&gt;"N/A",Q58&lt;TODAY()),TODAY()-Q58,0),IF(AND(ISNUMBER(T58),V58&lt;&gt;"Completed",V58&lt;&gt;"N/A",T58&lt;TODAY()),TODAY()-T58,0),IF(AND(ISNUMBER(W58),Y58&lt;&gt;"Completed",Y58&lt;&gt;"N/A",W58&lt;TODAY()),TODAY()-W58,0),IF(AND(ISNUMBER(AA58),AC58&lt;&gt;"Completed",AC58&lt;&gt;"N/A",AA58&lt;TODAY()),TODAY()-AA58,0),IF(AND(ISNUMBER(AG58),AI58&lt;&gt;"Completed",AI58&lt;&gt;"N/A",AG58&lt;TODAY()),TODAY()-AG58,0),IF(AND(ISNUMBER(AJ58),AL58&lt;&gt;"Completed",AL58&lt;&gt;"N/A",AJ58&lt;TODAY()),TODAY()-AJ58,0),IF(AND(ISNUMBER(AM58),AO58&lt;&gt;"Completed",AO58&lt;&gt;"N/A",AM58&lt;TODAY()),TODAY()-AM58,0),IF(AND(ISNUMBER(AP58),AR58&lt;&gt;"Completed",AR58&lt;&gt;"N/A",AP58&lt;TODAY()),TODAY()-AP58,0),IF(AND(ISNUMBER(AU58),AW58&lt;&gt;"Completed",AW58&lt;&gt;"N/A",AU58&lt;TODAY()),TODAY()-AU58,0),IF(AND(ISNUMBER(AX58),AZ58&lt;&gt;"Completed",AZ58&lt;&gt;"N/A",AX58&lt;TODAY()),TODAY()-AX58,0),IF(AND(ISNUMBER(BA58),BC58&lt;&gt;"Completed",BC58&lt;&gt;"N/A",BA58&lt;TODAY()),TODAY()-BA58,0),IF(AND(ISNUMBER(BD58),BF58&lt;&gt;"Completed",BF58&lt;&gt;"N/A",BD58&lt;TODAY()),TODAY()-BD58,0),IF(AND(ISNUMBER(O58),P58&lt;&gt;"Completed",P58&lt;&gt;"N/A",O58&lt;TODAY()),TODAY()-O58,0),IF(AND(ISNUMBER(BM58),BN58&lt;&gt;"Completed",BN58&lt;&gt;"N/A",BM58&lt;TODAY()),TODAY()-BM58,0),IF(AND(ISNUMBER(BK58),BL58&lt;&gt;"Completed",BL58&lt;&gt;"N/A",BK58&lt;TODAY()),TODAY()-BK58,0),IF(AND(ISNUMBER(BI58),BJ58&lt;&gt;"Completed",BJ58&lt;&gt;"N/A",BI58&lt;TODAY()),TODAY()-BI58,0)))</f>
        <v/>
      </c>
      <c r="H58" s="17"/>
      <c r="I58" s="17"/>
      <c r="J58" s="17"/>
      <c r="K58" s="19" t="str">
        <f>IF(ISNUMBER(H58),H58,IF(ISNUMBER(M58),M58-WEEKDAY(M58,2)+1-7,""))</f>
        <v/>
      </c>
      <c r="L58" s="19" t="str">
        <f>IF(ISNUMBER(I58),I58,IF(ISNUMBER(H58),WORKDAY(H58,SprintWorkingDays-1),IF(ISNUMBER(K58),WORKDAY(K58,SprintWorkingDays-1),"")))</f>
        <v/>
      </c>
      <c r="M58" s="19" t="str">
        <f>IF(ISNUMBER(J58),J58,IF(ISNUMBER(I58),I58-IF(OR(WEEKDAY(I58,2)=2,WEEKDAY(I58,2)=4),0,IF(WEEKDAY(I58,2)=3,1,IF(WEEKDAY(I58,2)=1,4,WEEKDAY(I58,2)-4))),IF(ISNUMBER(H58),WORKDAY(H58,SprintWorkingDays-1)-IF(OR(WEEKDAY(WORKDAY(H58,SprintWorkingDays-1),2)=2,WEEKDAY(WORKDAY(H58,SprintWorkingDays-1),2)=4),0,IF(WEEKDAY(WORKDAY(H58,SprintWorkingDays-1),2)=3,1,IF(WEEKDAY(WORKDAY(H58,SprintWorkingDays-1),2)=1,4,WEEKDAY(WORKDAY(H58,SprintWorkingDays-1),2)-4))),"")))</f>
        <v/>
      </c>
      <c r="N58" s="19" t="str">
        <f>IF(NOT(ISNUMBER(K58)),"",WORKDAY(K58,ReadyOffsetWD))</f>
        <v/>
      </c>
      <c r="O58" s="19" t="str">
        <f>IF(NOT(ISNUMBER(K58)),"",WORKDAY(K58,SprintReadinessOffsetWD))</f>
        <v/>
      </c>
      <c r="P58" s="17"/>
      <c r="Q58" s="19" t="str">
        <f>IF(A58="","",IF(V58="N/A",IF(NOT(ISNUMBER(W58)),"",WORKDAY(W58,RTSKOffsetFromOUR_WD)),IF(NOT(ISNUMBER(T58)),"",WORKDAY(T58,RTSKOffsetFromOUR_WD))))</f>
        <v/>
      </c>
      <c r="R58" s="17"/>
      <c r="S58" s="17"/>
      <c r="T58" s="19" t="str">
        <f>IF(OR(A58="",V58="N/A"),"",IF(NOT(ISNUMBER(W58)),"",WORKDAY(W58,OUROffsetFromSR_WD)))</f>
        <v/>
      </c>
      <c r="U58" s="17"/>
      <c r="V58" s="17"/>
      <c r="W58" s="19" t="str">
        <f>IF(OR(A58="",NOT(ISNUMBER(K58))),"",WORKDAY(K58,SROffsetFromStartWD))</f>
        <v/>
      </c>
      <c r="X58" s="17"/>
      <c r="Y58" s="17"/>
      <c r="Z58" s="17"/>
      <c r="AA58" s="19" t="str">
        <f>IF(OR(Z58="",Z58="N/A"),"",IF(ISNUMBER(Q58),Q58,""))</f>
        <v/>
      </c>
      <c r="AB58" s="17"/>
      <c r="AC58" s="17"/>
      <c r="AD58" s="17"/>
      <c r="AE58" s="17"/>
      <c r="AF58" s="17" t="str">
        <f>IF(Z58="N/A","N/A","")</f>
        <v/>
      </c>
      <c r="AG58" s="19" t="str">
        <f>IF(NOT(ISNUMBER(Q58)),"",Q58)</f>
        <v/>
      </c>
      <c r="AH58" s="17"/>
      <c r="AI58" s="17"/>
      <c r="AJ58" s="19" t="str">
        <f>IF(OR(AL58="N/A",NOT(ISNUMBER(T58))),"",T58)</f>
        <v/>
      </c>
      <c r="AK58" s="17"/>
      <c r="AL58" s="17"/>
      <c r="AM58" s="19" t="str">
        <f>IF(NOT(ISNUMBER(W58)),"",W58)</f>
        <v/>
      </c>
      <c r="AN58" s="17"/>
      <c r="AO58" s="17"/>
      <c r="AP58" s="19" t="str">
        <f>IF(OR(Z58="",Z58="N/A"),"",IF(ISNUMBER(AG58),AG58,""))</f>
        <v/>
      </c>
      <c r="AQ58" s="17"/>
      <c r="AR58" s="17"/>
      <c r="AS58" s="17"/>
      <c r="AT58" s="17"/>
      <c r="AU58" s="19" t="str">
        <f>IF(NOT(ISNUMBER(Q58)),"",Q58)</f>
        <v/>
      </c>
      <c r="AV58" s="17"/>
      <c r="AW58" s="17"/>
      <c r="AX58" s="19" t="str">
        <f>IF(OR(AZ58="N/A",NOT(ISNUMBER(T58))),"",T58)</f>
        <v/>
      </c>
      <c r="AY58" s="17"/>
      <c r="AZ58" s="17"/>
      <c r="BA58" s="19" t="str">
        <f>IF(NOT(ISNUMBER(W58)),"",W58)</f>
        <v/>
      </c>
      <c r="BB58" s="17"/>
      <c r="BC58" s="17"/>
      <c r="BD58" s="19" t="str">
        <f>IF(OR(Z58="",Z58="N/A"),"",IF(ISNUMBER(AU58),AU58,""))</f>
        <v/>
      </c>
      <c r="BE58" s="17"/>
      <c r="BF58" s="17"/>
      <c r="BG58" s="17"/>
      <c r="BH58" s="17"/>
      <c r="BI58" s="89" t="e">
        <f>IF(OR(A58="",NOT(ISNUMBER(M58)),AND(WEEKDAY(M58,2)&lt;&gt;2,WEEKDAY(M58,2)&lt;&gt;4)),"",WORKDAY(M58,CABOffsetFromReleaseWD))</f>
        <v>#VALUE!</v>
      </c>
      <c r="BJ58" s="17"/>
      <c r="BK58" s="19" t="str">
        <f>IF(NOT(ISNUMBER(BI58)),"",IF(WEEKDAY(BI58-CodeReviewCalendarDays,2)&gt;5,BI58-CodeReviewCalendarDays-(WEEKDAY(BI58-CodeReviewCalendarDays,2)-5),BI58-CodeReviewCalendarDays))</f>
        <v/>
      </c>
      <c r="BL58" s="17"/>
      <c r="BM58" s="19" t="str">
        <f>IF(NOT(ISNUMBER(BK58)),"",IF(WEEKDAY(BK58-CodeReviewInviteCalendarDays,2)&gt;5,BK58-CodeReviewInviteCalendarDays-(WEEKDAY(BK58-CodeReviewInviteCalendarDays,2)-5),BK58-CodeReviewInviteCalendarDays))</f>
        <v/>
      </c>
      <c r="BN58" s="17"/>
      <c r="BO58" s="17"/>
      <c r="BP58" s="18" t="str">
        <f ca="1">IF(A58="","",IF(IF(AND(ISNUMBER(J58),WEEKDAY(J58,2)&lt;&gt;2,WEEKDAY(J58,2)&lt;&gt;4)," | Release must be Tuesday or Thursday","")&amp;IF(AND(ISNUMBER(H58),WEEKDAY(H58,2)&lt;&gt;1)," | Sprint Start is not a Monday - dates still calculated from the date entered","")&amp;IF(AND(A58&lt;&gt;"",NOT(ISNUMBER(H58)),NOT(ISNUMBER(J58)))," | Enter Sprint Start or Release Date","")&amp;IF(AND(ISNUMBER(F58),F58&lt;TODAY(),D58&lt;&gt;"Completed")," | One or more raise-by dates are in the past and not completed","")&amp;IF(AND(ISNUMBER(K58),K58-TODAY()&lt;SprintWarningDays,K58&gt;=TODAY(),OR(D58="Yet to start",D58="Blocked"))," | Sprint starts in under 10 days - raise access requests now","")&amp;IF(AND(ISNUMBER(BM58),BN58&lt;&gt;"Completed",BN58&lt;&gt;"N/A",BM58-TODAY()&lt;CodeReviewInviteCalendarDays)," | Code Review invite should be sent at least 4 days before Code Review","")="","",MID(IF(AND(ISNUMBER(J58),WEEKDAY(J58,2)&lt;&gt;2,WEEKDAY(J58,2)&lt;&gt;4)," | Release must be Tuesday or Thursday","")&amp;IF(AND(ISNUMBER(H58),WEEKDAY(H58,2)&lt;&gt;1)," | Sprint Start is not a Monday - dates still calculated from the date entered","")&amp;IF(AND(A58&lt;&gt;"",NOT(ISNUMBER(H58)),NOT(ISNUMBER(J58)))," | Enter Sprint Start or Release Date","")&amp;IF(AND(ISNUMBER(F58),F58&lt;TODAY(),D58&lt;&gt;"Completed")," | One or more raise-by dates are in the past and not completed","")&amp;IF(AND(ISNUMBER(K58),K58-TODAY()&lt;SprintWarningDays,K58&gt;=TODAY(),OR(D58="Yet to start",D58="Blocked"))," | Sprint starts in under 10 days - raise access requests now","")&amp;IF(AND(ISNUMBER(BM58),BN58&lt;&gt;"Completed",BN58&lt;&gt;"N/A",BM58-TODAY()&lt;CodeReviewInviteCalendarDays)," | Code Review invite should be sent at least 4 days before Code Review",""),4,500)))</f>
        <v/>
      </c>
      <c r="BQ58" s="85" t="str">
        <f>IF(AND(ISNUMBER(Q58),S58&lt;&gt;"Completed",S58&lt;&gt;"N/A"),Q58,"")</f>
        <v/>
      </c>
      <c r="BR58" s="85" t="str">
        <f>IF(AND(ISNUMBER(T58),V58&lt;&gt;"Completed",V58&lt;&gt;"N/A"),T58,"")</f>
        <v/>
      </c>
      <c r="BS58" s="85" t="str">
        <f>IF(AND(ISNUMBER(W58),Y58&lt;&gt;"Completed",Y58&lt;&gt;"N/A"),W58,"")</f>
        <v/>
      </c>
      <c r="BT58" s="85" t="str">
        <f>IF(AND(ISNUMBER(AA58),AC58&lt;&gt;"Completed",AC58&lt;&gt;"N/A"),AA58,"")</f>
        <v/>
      </c>
      <c r="BU58" s="85" t="str">
        <f>IF(AND(ISNUMBER(AG58),AI58&lt;&gt;"Completed",AI58&lt;&gt;"N/A"),AG58,"")</f>
        <v/>
      </c>
      <c r="BV58" s="85" t="str">
        <f>IF(AND(ISNUMBER(AJ58),AL58&lt;&gt;"Completed",AL58&lt;&gt;"N/A"),AJ58,"")</f>
        <v/>
      </c>
      <c r="BW58" s="85" t="str">
        <f>IF(AND(ISNUMBER(AM58),AO58&lt;&gt;"Completed",AO58&lt;&gt;"N/A"),AM58,"")</f>
        <v/>
      </c>
      <c r="BX58" s="85" t="str">
        <f>IF(AND(ISNUMBER(AP58),AR58&lt;&gt;"Completed",AR58&lt;&gt;"N/A"),AP58,"")</f>
        <v/>
      </c>
      <c r="BY58" s="85" t="str">
        <f>IF(AND(ISNUMBER(AU58),AW58&lt;&gt;"Completed",AW58&lt;&gt;"N/A"),AU58,"")</f>
        <v/>
      </c>
      <c r="BZ58" s="85" t="str">
        <f>IF(AND(ISNUMBER(AX58),AZ58&lt;&gt;"Completed",AZ58&lt;&gt;"N/A"),AX58,"")</f>
        <v/>
      </c>
      <c r="CA58" s="85" t="str">
        <f>IF(AND(ISNUMBER(BA58),BC58&lt;&gt;"Completed",BC58&lt;&gt;"N/A"),BA58,"")</f>
        <v/>
      </c>
      <c r="CB58" s="85" t="str">
        <f>IF(AND(ISNUMBER(BD58),BF58&lt;&gt;"Completed",BF58&lt;&gt;"N/A"),BD58,"")</f>
        <v/>
      </c>
      <c r="CC58" s="85" t="str">
        <f>IF(AND(ISNUMBER(O58),P58&lt;&gt;"Completed",P58&lt;&gt;"N/A"),O58,"")</f>
        <v/>
      </c>
      <c r="CD58" s="85" t="str">
        <f>IF(AND(ISNUMBER(BM58),BN58&lt;&gt;"Completed",BN58&lt;&gt;"N/A"),BM58,"")</f>
        <v/>
      </c>
      <c r="CE58" s="85" t="str">
        <f>IF(AND(ISNUMBER(BK58),BL58&lt;&gt;"Completed",BL58&lt;&gt;"N/A"),BK58,"")</f>
        <v/>
      </c>
      <c r="CF58" s="85" t="str">
        <f>IF(AND(ISNUMBER(BI58),BJ58&lt;&gt;"Completed",BJ58&lt;&gt;"N/A"),BI58,"")</f>
        <v/>
      </c>
      <c r="CG58" s="85" t="str">
        <f ca="1">IF(OR(A58="",D58="Completed"),"",IF(N(G58)&gt;0,1/(N(G58)+ROW()/100000),IF(ISNUMBER(F58),1000+F58+ROW()/100000,TODAY()+400+ROW()/100000)))</f>
        <v/>
      </c>
    </row>
    <row r="59" spans="1:85">
      <c r="A59" s="17"/>
      <c r="B59" s="17"/>
      <c r="C59" s="17"/>
      <c r="D59" s="18" t="str">
        <f>IF(A59="","",IF(((S59="Blocked")+(V59="Blocked")+(Y59="Blocked")+(AC59="Blocked")+(AI59="Blocked")+(AL59="Blocked")+(AO59="Blocked")+(AR59="Blocked")+(AW59="Blocked")+(AZ59="Blocked")+(BC59="Blocked")+(BF59="Blocked")+(P59="Blocked")+(BJ59="Blocked")+(BL59="Blocked")+(BN59="Blocked")+(BO59="Blocked"))&gt;0,"Blocked",IF((ISNUMBER(Q59)+ISNUMBER(T59)+ISNUMBER(W59)+ISNUMBER(AA59)+ISNUMBER(AG59)+ISNUMBER(AJ59)+ISNUMBER(AM59)+ISNUMBER(AP59)+ISNUMBER(AU59)+ISNUMBER(AX59)+ISNUMBER(BA59)+ISNUMBER(BD59)+ISNUMBER(O59)+ISNUMBER(BI59)+ISNUMBER(BK59)+ISNUMBER(BM59))=0,"Yet to start",IF(AND(OR(NOT(ISNUMBER(Q59)),S59="Completed",S59="N/A"),OR(NOT(ISNUMBER(T59)),V59="Completed",V59="N/A"),OR(NOT(ISNUMBER(W59)),Y59="Completed",Y59="N/A"),OR(NOT(ISNUMBER(AA59)),AC59="Completed",AC59="N/A"),OR(NOT(ISNUMBER(AG59)),AI59="Completed",AI59="N/A"),OR(NOT(ISNUMBER(AJ59)),AL59="Completed",AL59="N/A"),OR(NOT(ISNUMBER(AM59)),AO59="Completed",AO59="N/A"),OR(NOT(ISNUMBER(AP59)),AR59="Completed",AR59="N/A"),OR(NOT(ISNUMBER(AU59)),AW59="Completed",AW59="N/A"),OR(NOT(ISNUMBER(AX59)),AZ59="Completed",AZ59="N/A"),OR(NOT(ISNUMBER(BA59)),BC59="Completed",BC59="N/A"),OR(NOT(ISNUMBER(BD59)),BF59="Completed",BF59="N/A"),OR(NOT(ISNUMBER(O59)),P59="Completed",P59="N/A"),OR(NOT(ISNUMBER(BI59)),BJ59="Completed",BJ59="N/A"),OR(NOT(ISNUMBER(BK59)),BL59="Completed",BL59="N/A"),OR(NOT(ISNUMBER(BM59)),BN59="Completed",BN59="N/A"),OR(BO59="Completed",BO59="N/A")),"Completed",IF(((S59="In Progress")+(V59="In Progress")+(Y59="In Progress")+(AC59="In Progress")+(AI59="In Progress")+(AL59="In Progress")+(AO59="In Progress")+(AR59="In Progress")+(AW59="In Progress")+(AZ59="In Progress")+(BC59="In Progress")+(BF59="In Progress")+(P59="In Progress")+(BJ59="In Progress")+(BL59="In Progress")+(BN59="In Progress")+(BO59="In Progress"))&gt;0,"In Progress","Yet to start")))))</f>
        <v/>
      </c>
      <c r="E59" s="18" t="str">
        <f>IF(A59="","",IF(F59="","All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Review","CAB"},MATCH(F59,BQ59:CF59,0))))</f>
        <v/>
      </c>
      <c r="F59" s="19" t="str">
        <f>IF(A59="","",IF(COUNT(BQ59:CF59)=0,"",MIN(BQ59:CF59)))</f>
        <v/>
      </c>
      <c r="G59" s="18" t="str">
        <f ca="1">IF(A59="","",MAX(0,IF(AND(ISNUMBER(Q59),S59&lt;&gt;"Completed",S59&lt;&gt;"N/A",Q59&lt;TODAY()),TODAY()-Q59,0),IF(AND(ISNUMBER(T59),V59&lt;&gt;"Completed",V59&lt;&gt;"N/A",T59&lt;TODAY()),TODAY()-T59,0),IF(AND(ISNUMBER(W59),Y59&lt;&gt;"Completed",Y59&lt;&gt;"N/A",W59&lt;TODAY()),TODAY()-W59,0),IF(AND(ISNUMBER(AA59),AC59&lt;&gt;"Completed",AC59&lt;&gt;"N/A",AA59&lt;TODAY()),TODAY()-AA59,0),IF(AND(ISNUMBER(AG59),AI59&lt;&gt;"Completed",AI59&lt;&gt;"N/A",AG59&lt;TODAY()),TODAY()-AG59,0),IF(AND(ISNUMBER(AJ59),AL59&lt;&gt;"Completed",AL59&lt;&gt;"N/A",AJ59&lt;TODAY()),TODAY()-AJ59,0),IF(AND(ISNUMBER(AM59),AO59&lt;&gt;"Completed",AO59&lt;&gt;"N/A",AM59&lt;TODAY()),TODAY()-AM59,0),IF(AND(ISNUMBER(AP59),AR59&lt;&gt;"Completed",AR59&lt;&gt;"N/A",AP59&lt;TODAY()),TODAY()-AP59,0),IF(AND(ISNUMBER(AU59),AW59&lt;&gt;"Completed",AW59&lt;&gt;"N/A",AU59&lt;TODAY()),TODAY()-AU59,0),IF(AND(ISNUMBER(AX59),AZ59&lt;&gt;"Completed",AZ59&lt;&gt;"N/A",AX59&lt;TODAY()),TODAY()-AX59,0),IF(AND(ISNUMBER(BA59),BC59&lt;&gt;"Completed",BC59&lt;&gt;"N/A",BA59&lt;TODAY()),TODAY()-BA59,0),IF(AND(ISNUMBER(BD59),BF59&lt;&gt;"Completed",BF59&lt;&gt;"N/A",BD59&lt;TODAY()),TODAY()-BD59,0),IF(AND(ISNUMBER(O59),P59&lt;&gt;"Completed",P59&lt;&gt;"N/A",O59&lt;TODAY()),TODAY()-O59,0),IF(AND(ISNUMBER(BM59),BN59&lt;&gt;"Completed",BN59&lt;&gt;"N/A",BM59&lt;TODAY()),TODAY()-BM59,0),IF(AND(ISNUMBER(BK59),BL59&lt;&gt;"Completed",BL59&lt;&gt;"N/A",BK59&lt;TODAY()),TODAY()-BK59,0),IF(AND(ISNUMBER(BI59),BJ59&lt;&gt;"Completed",BJ59&lt;&gt;"N/A",BI59&lt;TODAY()),TODAY()-BI59,0)))</f>
        <v/>
      </c>
      <c r="H59" s="17"/>
      <c r="I59" s="17"/>
      <c r="J59" s="17"/>
      <c r="K59" s="19" t="str">
        <f>IF(ISNUMBER(H59),H59,IF(ISNUMBER(M59),M59-WEEKDAY(M59,2)+1-7,""))</f>
        <v/>
      </c>
      <c r="L59" s="19" t="str">
        <f>IF(ISNUMBER(I59),I59,IF(ISNUMBER(H59),WORKDAY(H59,SprintWorkingDays-1),IF(ISNUMBER(K59),WORKDAY(K59,SprintWorkingDays-1),"")))</f>
        <v/>
      </c>
      <c r="M59" s="19" t="str">
        <f>IF(ISNUMBER(J59),J59,IF(ISNUMBER(I59),I59-IF(OR(WEEKDAY(I59,2)=2,WEEKDAY(I59,2)=4),0,IF(WEEKDAY(I59,2)=3,1,IF(WEEKDAY(I59,2)=1,4,WEEKDAY(I59,2)-4))),IF(ISNUMBER(H59),WORKDAY(H59,SprintWorkingDays-1)-IF(OR(WEEKDAY(WORKDAY(H59,SprintWorkingDays-1),2)=2,WEEKDAY(WORKDAY(H59,SprintWorkingDays-1),2)=4),0,IF(WEEKDAY(WORKDAY(H59,SprintWorkingDays-1),2)=3,1,IF(WEEKDAY(WORKDAY(H59,SprintWorkingDays-1),2)=1,4,WEEKDAY(WORKDAY(H59,SprintWorkingDays-1),2)-4))),"")))</f>
        <v/>
      </c>
      <c r="N59" s="19" t="str">
        <f>IF(NOT(ISNUMBER(K59)),"",WORKDAY(K59,ReadyOffsetWD))</f>
        <v/>
      </c>
      <c r="O59" s="19" t="str">
        <f>IF(NOT(ISNUMBER(K59)),"",WORKDAY(K59,SprintReadinessOffsetWD))</f>
        <v/>
      </c>
      <c r="P59" s="17"/>
      <c r="Q59" s="19" t="str">
        <f>IF(A59="","",IF(V59="N/A",IF(NOT(ISNUMBER(W59)),"",WORKDAY(W59,RTSKOffsetFromOUR_WD)),IF(NOT(ISNUMBER(T59)),"",WORKDAY(T59,RTSKOffsetFromOUR_WD))))</f>
        <v/>
      </c>
      <c r="R59" s="17"/>
      <c r="S59" s="17"/>
      <c r="T59" s="19" t="str">
        <f>IF(OR(A59="",V59="N/A"),"",IF(NOT(ISNUMBER(W59)),"",WORKDAY(W59,OUROffsetFromSR_WD)))</f>
        <v/>
      </c>
      <c r="U59" s="17"/>
      <c r="V59" s="17"/>
      <c r="W59" s="19" t="str">
        <f>IF(OR(A59="",NOT(ISNUMBER(K59))),"",WORKDAY(K59,SROffsetFromStartWD))</f>
        <v/>
      </c>
      <c r="X59" s="17"/>
      <c r="Y59" s="17"/>
      <c r="Z59" s="17"/>
      <c r="AA59" s="19" t="str">
        <f>IF(OR(Z59="",Z59="N/A"),"",IF(ISNUMBER(Q59),Q59,""))</f>
        <v/>
      </c>
      <c r="AB59" s="17"/>
      <c r="AC59" s="17"/>
      <c r="AD59" s="17"/>
      <c r="AE59" s="17"/>
      <c r="AF59" s="17" t="str">
        <f>IF(Z59="N/A","N/A","")</f>
        <v/>
      </c>
      <c r="AG59" s="19" t="str">
        <f>IF(NOT(ISNUMBER(Q59)),"",Q59)</f>
        <v/>
      </c>
      <c r="AH59" s="17"/>
      <c r="AI59" s="17"/>
      <c r="AJ59" s="19" t="str">
        <f>IF(OR(AL59="N/A",NOT(ISNUMBER(T59))),"",T59)</f>
        <v/>
      </c>
      <c r="AK59" s="17"/>
      <c r="AL59" s="17"/>
      <c r="AM59" s="19" t="str">
        <f>IF(NOT(ISNUMBER(W59)),"",W59)</f>
        <v/>
      </c>
      <c r="AN59" s="17"/>
      <c r="AO59" s="17"/>
      <c r="AP59" s="19" t="str">
        <f>IF(OR(Z59="",Z59="N/A"),"",IF(ISNUMBER(AG59),AG59,""))</f>
        <v/>
      </c>
      <c r="AQ59" s="17"/>
      <c r="AR59" s="17"/>
      <c r="AS59" s="17"/>
      <c r="AT59" s="17"/>
      <c r="AU59" s="19" t="str">
        <f>IF(NOT(ISNUMBER(Q59)),"",Q59)</f>
        <v/>
      </c>
      <c r="AV59" s="17"/>
      <c r="AW59" s="17"/>
      <c r="AX59" s="19" t="str">
        <f>IF(OR(AZ59="N/A",NOT(ISNUMBER(T59))),"",T59)</f>
        <v/>
      </c>
      <c r="AY59" s="17"/>
      <c r="AZ59" s="17"/>
      <c r="BA59" s="19" t="str">
        <f>IF(NOT(ISNUMBER(W59)),"",W59)</f>
        <v/>
      </c>
      <c r="BB59" s="17"/>
      <c r="BC59" s="17"/>
      <c r="BD59" s="19" t="str">
        <f>IF(OR(Z59="",Z59="N/A"),"",IF(ISNUMBER(AU59),AU59,""))</f>
        <v/>
      </c>
      <c r="BE59" s="17"/>
      <c r="BF59" s="17"/>
      <c r="BG59" s="17"/>
      <c r="BH59" s="17"/>
      <c r="BI59" s="89" t="e">
        <f>IF(OR(A59="",NOT(ISNUMBER(M59)),AND(WEEKDAY(M59,2)&lt;&gt;2,WEEKDAY(M59,2)&lt;&gt;4)),"",WORKDAY(M59,CABOffsetFromReleaseWD))</f>
        <v>#VALUE!</v>
      </c>
      <c r="BJ59" s="17"/>
      <c r="BK59" s="19" t="str">
        <f>IF(NOT(ISNUMBER(BI59)),"",IF(WEEKDAY(BI59-CodeReviewCalendarDays,2)&gt;5,BI59-CodeReviewCalendarDays-(WEEKDAY(BI59-CodeReviewCalendarDays,2)-5),BI59-CodeReviewCalendarDays))</f>
        <v/>
      </c>
      <c r="BL59" s="17"/>
      <c r="BM59" s="19" t="str">
        <f>IF(NOT(ISNUMBER(BK59)),"",IF(WEEKDAY(BK59-CodeReviewInviteCalendarDays,2)&gt;5,BK59-CodeReviewInviteCalendarDays-(WEEKDAY(BK59-CodeReviewInviteCalendarDays,2)-5),BK59-CodeReviewInviteCalendarDays))</f>
        <v/>
      </c>
      <c r="BN59" s="17"/>
      <c r="BO59" s="17"/>
      <c r="BP59" s="18" t="str">
        <f ca="1">IF(A59="","",IF(IF(AND(ISNUMBER(J59),WEEKDAY(J59,2)&lt;&gt;2,WEEKDAY(J59,2)&lt;&gt;4)," | Release must be Tuesday or Thursday","")&amp;IF(AND(ISNUMBER(H59),WEEKDAY(H59,2)&lt;&gt;1)," | Sprint Start is not a Monday - dates still calculated from the date entered","")&amp;IF(AND(A59&lt;&gt;"",NOT(ISNUMBER(H59)),NOT(ISNUMBER(J59)))," | Enter Sprint Start or Release Date","")&amp;IF(AND(ISNUMBER(F59),F59&lt;TODAY(),D59&lt;&gt;"Completed")," | One or more raise-by dates are in the past and not completed","")&amp;IF(AND(ISNUMBER(K59),K59-TODAY()&lt;SprintWarningDays,K59&gt;=TODAY(),OR(D59="Yet to start",D59="Blocked"))," | Sprint starts in under 10 days - raise access requests now","")&amp;IF(AND(ISNUMBER(BM59),BN59&lt;&gt;"Completed",BN59&lt;&gt;"N/A",BM59-TODAY()&lt;CodeReviewInviteCalendarDays)," | Code Review invite should be sent at least 4 days before Code Review","")="","",MID(IF(AND(ISNUMBER(J59),WEEKDAY(J59,2)&lt;&gt;2,WEEKDAY(J59,2)&lt;&gt;4)," | Release must be Tuesday or Thursday","")&amp;IF(AND(ISNUMBER(H59),WEEKDAY(H59,2)&lt;&gt;1)," | Sprint Start is not a Monday - dates still calculated from the date entered","")&amp;IF(AND(A59&lt;&gt;"",NOT(ISNUMBER(H59)),NOT(ISNUMBER(J59)))," | Enter Sprint Start or Release Date","")&amp;IF(AND(ISNUMBER(F59),F59&lt;TODAY(),D59&lt;&gt;"Completed")," | One or more raise-by dates are in the past and not completed","")&amp;IF(AND(ISNUMBER(K59),K59-TODAY()&lt;SprintWarningDays,K59&gt;=TODAY(),OR(D59="Yet to start",D59="Blocked"))," | Sprint starts in under 10 days - raise access requests now","")&amp;IF(AND(ISNUMBER(BM59),BN59&lt;&gt;"Completed",BN59&lt;&gt;"N/A",BM59-TODAY()&lt;CodeReviewInviteCalendarDays)," | Code Review invite should be sent at least 4 days before Code Review",""),4,500)))</f>
        <v/>
      </c>
      <c r="BQ59" s="85" t="str">
        <f>IF(AND(ISNUMBER(Q59),S59&lt;&gt;"Completed",S59&lt;&gt;"N/A"),Q59,"")</f>
        <v/>
      </c>
      <c r="BR59" s="85" t="str">
        <f>IF(AND(ISNUMBER(T59),V59&lt;&gt;"Completed",V59&lt;&gt;"N/A"),T59,"")</f>
        <v/>
      </c>
      <c r="BS59" s="85" t="str">
        <f>IF(AND(ISNUMBER(W59),Y59&lt;&gt;"Completed",Y59&lt;&gt;"N/A"),W59,"")</f>
        <v/>
      </c>
      <c r="BT59" s="85" t="str">
        <f>IF(AND(ISNUMBER(AA59),AC59&lt;&gt;"Completed",AC59&lt;&gt;"N/A"),AA59,"")</f>
        <v/>
      </c>
      <c r="BU59" s="85" t="str">
        <f>IF(AND(ISNUMBER(AG59),AI59&lt;&gt;"Completed",AI59&lt;&gt;"N/A"),AG59,"")</f>
        <v/>
      </c>
      <c r="BV59" s="85" t="str">
        <f>IF(AND(ISNUMBER(AJ59),AL59&lt;&gt;"Completed",AL59&lt;&gt;"N/A"),AJ59,"")</f>
        <v/>
      </c>
      <c r="BW59" s="85" t="str">
        <f>IF(AND(ISNUMBER(AM59),AO59&lt;&gt;"Completed",AO59&lt;&gt;"N/A"),AM59,"")</f>
        <v/>
      </c>
      <c r="BX59" s="85" t="str">
        <f>IF(AND(ISNUMBER(AP59),AR59&lt;&gt;"Completed",AR59&lt;&gt;"N/A"),AP59,"")</f>
        <v/>
      </c>
      <c r="BY59" s="85" t="str">
        <f>IF(AND(ISNUMBER(AU59),AW59&lt;&gt;"Completed",AW59&lt;&gt;"N/A"),AU59,"")</f>
        <v/>
      </c>
      <c r="BZ59" s="85" t="str">
        <f>IF(AND(ISNUMBER(AX59),AZ59&lt;&gt;"Completed",AZ59&lt;&gt;"N/A"),AX59,"")</f>
        <v/>
      </c>
      <c r="CA59" s="85" t="str">
        <f>IF(AND(ISNUMBER(BA59),BC59&lt;&gt;"Completed",BC59&lt;&gt;"N/A"),BA59,"")</f>
        <v/>
      </c>
      <c r="CB59" s="85" t="str">
        <f>IF(AND(ISNUMBER(BD59),BF59&lt;&gt;"Completed",BF59&lt;&gt;"N/A"),BD59,"")</f>
        <v/>
      </c>
      <c r="CC59" s="85" t="str">
        <f>IF(AND(ISNUMBER(O59),P59&lt;&gt;"Completed",P59&lt;&gt;"N/A"),O59,"")</f>
        <v/>
      </c>
      <c r="CD59" s="85" t="str">
        <f>IF(AND(ISNUMBER(BM59),BN59&lt;&gt;"Completed",BN59&lt;&gt;"N/A"),BM59,"")</f>
        <v/>
      </c>
      <c r="CE59" s="85" t="str">
        <f>IF(AND(ISNUMBER(BK59),BL59&lt;&gt;"Completed",BL59&lt;&gt;"N/A"),BK59,"")</f>
        <v/>
      </c>
      <c r="CF59" s="85" t="str">
        <f>IF(AND(ISNUMBER(BI59),BJ59&lt;&gt;"Completed",BJ59&lt;&gt;"N/A"),BI59,"")</f>
        <v/>
      </c>
      <c r="CG59" s="85" t="str">
        <f ca="1">IF(OR(A59="",D59="Completed"),"",IF(N(G59)&gt;0,1/(N(G59)+ROW()/100000),IF(ISNUMBER(F59),1000+F59+ROW()/100000,TODAY()+400+ROW()/100000)))</f>
        <v/>
      </c>
    </row>
    <row r="60" spans="1:85">
      <c r="A60" s="17"/>
      <c r="B60" s="17"/>
      <c r="C60" s="17"/>
      <c r="D60" s="18" t="str">
        <f>IF(A60="","",IF(((S60="Blocked")+(V60="Blocked")+(Y60="Blocked")+(AC60="Blocked")+(AI60="Blocked")+(AL60="Blocked")+(AO60="Blocked")+(AR60="Blocked")+(AW60="Blocked")+(AZ60="Blocked")+(BC60="Blocked")+(BF60="Blocked")+(P60="Blocked")+(BJ60="Blocked")+(BL60="Blocked")+(BN60="Blocked")+(BO60="Blocked"))&gt;0,"Blocked",IF((ISNUMBER(Q60)+ISNUMBER(T60)+ISNUMBER(W60)+ISNUMBER(AA60)+ISNUMBER(AG60)+ISNUMBER(AJ60)+ISNUMBER(AM60)+ISNUMBER(AP60)+ISNUMBER(AU60)+ISNUMBER(AX60)+ISNUMBER(BA60)+ISNUMBER(BD60)+ISNUMBER(O60)+ISNUMBER(BI60)+ISNUMBER(BK60)+ISNUMBER(BM60))=0,"Yet to start",IF(AND(OR(NOT(ISNUMBER(Q60)),S60="Completed",S60="N/A"),OR(NOT(ISNUMBER(T60)),V60="Completed",V60="N/A"),OR(NOT(ISNUMBER(W60)),Y60="Completed",Y60="N/A"),OR(NOT(ISNUMBER(AA60)),AC60="Completed",AC60="N/A"),OR(NOT(ISNUMBER(AG60)),AI60="Completed",AI60="N/A"),OR(NOT(ISNUMBER(AJ60)),AL60="Completed",AL60="N/A"),OR(NOT(ISNUMBER(AM60)),AO60="Completed",AO60="N/A"),OR(NOT(ISNUMBER(AP60)),AR60="Completed",AR60="N/A"),OR(NOT(ISNUMBER(AU60)),AW60="Completed",AW60="N/A"),OR(NOT(ISNUMBER(AX60)),AZ60="Completed",AZ60="N/A"),OR(NOT(ISNUMBER(BA60)),BC60="Completed",BC60="N/A"),OR(NOT(ISNUMBER(BD60)),BF60="Completed",BF60="N/A"),OR(NOT(ISNUMBER(O60)),P60="Completed",P60="N/A"),OR(NOT(ISNUMBER(BI60)),BJ60="Completed",BJ60="N/A"),OR(NOT(ISNUMBER(BK60)),BL60="Completed",BL60="N/A"),OR(NOT(ISNUMBER(BM60)),BN60="Completed",BN60="N/A"),OR(BO60="Completed",BO60="N/A")),"Completed",IF(((S60="In Progress")+(V60="In Progress")+(Y60="In Progress")+(AC60="In Progress")+(AI60="In Progress")+(AL60="In Progress")+(AO60="In Progress")+(AR60="In Progress")+(AW60="In Progress")+(AZ60="In Progress")+(BC60="In Progress")+(BF60="In Progress")+(P60="In Progress")+(BJ60="In Progress")+(BL60="In Progress")+(BN60="In Progress")+(BO60="In Progress"))&gt;0,"In Progress","Yet to start")))))</f>
        <v/>
      </c>
      <c r="E60" s="18" t="str">
        <f>IF(A60="","",IF(F60="","All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Review","CAB"},MATCH(F60,BQ60:CF60,0))))</f>
        <v/>
      </c>
      <c r="F60" s="19" t="str">
        <f>IF(A60="","",IF(COUNT(BQ60:CF60)=0,"",MIN(BQ60:CF60)))</f>
        <v/>
      </c>
      <c r="G60" s="18" t="str">
        <f ca="1">IF(A60="","",MAX(0,IF(AND(ISNUMBER(Q60),S60&lt;&gt;"Completed",S60&lt;&gt;"N/A",Q60&lt;TODAY()),TODAY()-Q60,0),IF(AND(ISNUMBER(T60),V60&lt;&gt;"Completed",V60&lt;&gt;"N/A",T60&lt;TODAY()),TODAY()-T60,0),IF(AND(ISNUMBER(W60),Y60&lt;&gt;"Completed",Y60&lt;&gt;"N/A",W60&lt;TODAY()),TODAY()-W60,0),IF(AND(ISNUMBER(AA60),AC60&lt;&gt;"Completed",AC60&lt;&gt;"N/A",AA60&lt;TODAY()),TODAY()-AA60,0),IF(AND(ISNUMBER(AG60),AI60&lt;&gt;"Completed",AI60&lt;&gt;"N/A",AG60&lt;TODAY()),TODAY()-AG60,0),IF(AND(ISNUMBER(AJ60),AL60&lt;&gt;"Completed",AL60&lt;&gt;"N/A",AJ60&lt;TODAY()),TODAY()-AJ60,0),IF(AND(ISNUMBER(AM60),AO60&lt;&gt;"Completed",AO60&lt;&gt;"N/A",AM60&lt;TODAY()),TODAY()-AM60,0),IF(AND(ISNUMBER(AP60),AR60&lt;&gt;"Completed",AR60&lt;&gt;"N/A",AP60&lt;TODAY()),TODAY()-AP60,0),IF(AND(ISNUMBER(AU60),AW60&lt;&gt;"Completed",AW60&lt;&gt;"N/A",AU60&lt;TODAY()),TODAY()-AU60,0),IF(AND(ISNUMBER(AX60),AZ60&lt;&gt;"Completed",AZ60&lt;&gt;"N/A",AX60&lt;TODAY()),TODAY()-AX60,0),IF(AND(ISNUMBER(BA60),BC60&lt;&gt;"Completed",BC60&lt;&gt;"N/A",BA60&lt;TODAY()),TODAY()-BA60,0),IF(AND(ISNUMBER(BD60),BF60&lt;&gt;"Completed",BF60&lt;&gt;"N/A",BD60&lt;TODAY()),TODAY()-BD60,0),IF(AND(ISNUMBER(O60),P60&lt;&gt;"Completed",P60&lt;&gt;"N/A",O60&lt;TODAY()),TODAY()-O60,0),IF(AND(ISNUMBER(BM60),BN60&lt;&gt;"Completed",BN60&lt;&gt;"N/A",BM60&lt;TODAY()),TODAY()-BM60,0),IF(AND(ISNUMBER(BK60),BL60&lt;&gt;"Completed",BL60&lt;&gt;"N/A",BK60&lt;TODAY()),TODAY()-BK60,0),IF(AND(ISNUMBER(BI60),BJ60&lt;&gt;"Completed",BJ60&lt;&gt;"N/A",BI60&lt;TODAY()),TODAY()-BI60,0)))</f>
        <v/>
      </c>
      <c r="H60" s="17"/>
      <c r="I60" s="17"/>
      <c r="J60" s="17"/>
      <c r="K60" s="19" t="str">
        <f>IF(ISNUMBER(H60),H60,IF(ISNUMBER(M60),M60-WEEKDAY(M60,2)+1-7,""))</f>
        <v/>
      </c>
      <c r="L60" s="19" t="str">
        <f>IF(ISNUMBER(I60),I60,IF(ISNUMBER(H60),WORKDAY(H60,SprintWorkingDays-1),IF(ISNUMBER(K60),WORKDAY(K60,SprintWorkingDays-1),"")))</f>
        <v/>
      </c>
      <c r="M60" s="19" t="str">
        <f>IF(ISNUMBER(J60),J60,IF(ISNUMBER(I60),I60-IF(OR(WEEKDAY(I60,2)=2,WEEKDAY(I60,2)=4),0,IF(WEEKDAY(I60,2)=3,1,IF(WEEKDAY(I60,2)=1,4,WEEKDAY(I60,2)-4))),IF(ISNUMBER(H60),WORKDAY(H60,SprintWorkingDays-1)-IF(OR(WEEKDAY(WORKDAY(H60,SprintWorkingDays-1),2)=2,WEEKDAY(WORKDAY(H60,SprintWorkingDays-1),2)=4),0,IF(WEEKDAY(WORKDAY(H60,SprintWorkingDays-1),2)=3,1,IF(WEEKDAY(WORKDAY(H60,SprintWorkingDays-1),2)=1,4,WEEKDAY(WORKDAY(H60,SprintWorkingDays-1),2)-4))),"")))</f>
        <v/>
      </c>
      <c r="N60" s="19" t="str">
        <f>IF(NOT(ISNUMBER(K60)),"",WORKDAY(K60,ReadyOffsetWD))</f>
        <v/>
      </c>
      <c r="O60" s="19" t="str">
        <f>IF(NOT(ISNUMBER(K60)),"",WORKDAY(K60,SprintReadinessOffsetWD))</f>
        <v/>
      </c>
      <c r="P60" s="17"/>
      <c r="Q60" s="19" t="str">
        <f>IF(A60="","",IF(V60="N/A",IF(NOT(ISNUMBER(W60)),"",WORKDAY(W60,RTSKOffsetFromOUR_WD)),IF(NOT(ISNUMBER(T60)),"",WORKDAY(T60,RTSKOffsetFromOUR_WD))))</f>
        <v/>
      </c>
      <c r="R60" s="17"/>
      <c r="S60" s="17"/>
      <c r="T60" s="19" t="str">
        <f>IF(OR(A60="",V60="N/A"),"",IF(NOT(ISNUMBER(W60)),"",WORKDAY(W60,OUROffsetFromSR_WD)))</f>
        <v/>
      </c>
      <c r="U60" s="17"/>
      <c r="V60" s="17"/>
      <c r="W60" s="19" t="str">
        <f>IF(OR(A60="",NOT(ISNUMBER(K60))),"",WORKDAY(K60,SROffsetFromStartWD))</f>
        <v/>
      </c>
      <c r="X60" s="17"/>
      <c r="Y60" s="17"/>
      <c r="Z60" s="17"/>
      <c r="AA60" s="19" t="str">
        <f>IF(OR(Z60="",Z60="N/A"),"",IF(ISNUMBER(Q60),Q60,""))</f>
        <v/>
      </c>
      <c r="AB60" s="17"/>
      <c r="AC60" s="17"/>
      <c r="AD60" s="17"/>
      <c r="AE60" s="17"/>
      <c r="AF60" s="17" t="str">
        <f>IF(Z60="N/A","N/A","")</f>
        <v/>
      </c>
      <c r="AG60" s="19" t="str">
        <f>IF(NOT(ISNUMBER(Q60)),"",Q60)</f>
        <v/>
      </c>
      <c r="AH60" s="17"/>
      <c r="AI60" s="17"/>
      <c r="AJ60" s="19" t="str">
        <f>IF(OR(AL60="N/A",NOT(ISNUMBER(T60))),"",T60)</f>
        <v/>
      </c>
      <c r="AK60" s="17"/>
      <c r="AL60" s="17"/>
      <c r="AM60" s="19" t="str">
        <f>IF(NOT(ISNUMBER(W60)),"",W60)</f>
        <v/>
      </c>
      <c r="AN60" s="17"/>
      <c r="AO60" s="17"/>
      <c r="AP60" s="19" t="str">
        <f>IF(OR(Z60="",Z60="N/A"),"",IF(ISNUMBER(AG60),AG60,""))</f>
        <v/>
      </c>
      <c r="AQ60" s="17"/>
      <c r="AR60" s="17"/>
      <c r="AS60" s="17"/>
      <c r="AT60" s="17"/>
      <c r="AU60" s="19" t="str">
        <f>IF(NOT(ISNUMBER(Q60)),"",Q60)</f>
        <v/>
      </c>
      <c r="AV60" s="17"/>
      <c r="AW60" s="17"/>
      <c r="AX60" s="19" t="str">
        <f>IF(OR(AZ60="N/A",NOT(ISNUMBER(T60))),"",T60)</f>
        <v/>
      </c>
      <c r="AY60" s="17"/>
      <c r="AZ60" s="17"/>
      <c r="BA60" s="19" t="str">
        <f>IF(NOT(ISNUMBER(W60)),"",W60)</f>
        <v/>
      </c>
      <c r="BB60" s="17"/>
      <c r="BC60" s="17"/>
      <c r="BD60" s="19" t="str">
        <f>IF(OR(Z60="",Z60="N/A"),"",IF(ISNUMBER(AU60),AU60,""))</f>
        <v/>
      </c>
      <c r="BE60" s="17"/>
      <c r="BF60" s="17"/>
      <c r="BG60" s="17"/>
      <c r="BH60" s="17"/>
      <c r="BI60" s="89" t="e">
        <f>IF(OR(A60="",NOT(ISNUMBER(M60)),AND(WEEKDAY(M60,2)&lt;&gt;2,WEEKDAY(M60,2)&lt;&gt;4)),"",WORKDAY(M60,CABOffsetFromReleaseWD))</f>
        <v>#VALUE!</v>
      </c>
      <c r="BJ60" s="17"/>
      <c r="BK60" s="19" t="str">
        <f>IF(NOT(ISNUMBER(BI60)),"",IF(WEEKDAY(BI60-CodeReviewCalendarDays,2)&gt;5,BI60-CodeReviewCalendarDays-(WEEKDAY(BI60-CodeReviewCalendarDays,2)-5),BI60-CodeReviewCalendarDays))</f>
        <v/>
      </c>
      <c r="BL60" s="17"/>
      <c r="BM60" s="19" t="str">
        <f>IF(NOT(ISNUMBER(BK60)),"",IF(WEEKDAY(BK60-CodeReviewInviteCalendarDays,2)&gt;5,BK60-CodeReviewInviteCalendarDays-(WEEKDAY(BK60-CodeReviewInviteCalendarDays,2)-5),BK60-CodeReviewInviteCalendarDays))</f>
        <v/>
      </c>
      <c r="BN60" s="17"/>
      <c r="BO60" s="17"/>
      <c r="BP60" s="18" t="str">
        <f ca="1">IF(A60="","",IF(IF(AND(ISNUMBER(J60),WEEKDAY(J60,2)&lt;&gt;2,WEEKDAY(J60,2)&lt;&gt;4)," | Release must be Tuesday or Thursday","")&amp;IF(AND(ISNUMBER(H60),WEEKDAY(H60,2)&lt;&gt;1)," | Sprint Start is not a Monday - dates still calculated from the date entered","")&amp;IF(AND(A60&lt;&gt;"",NOT(ISNUMBER(H60)),NOT(ISNUMBER(J60)))," | Enter Sprint Start or Release Date","")&amp;IF(AND(ISNUMBER(F60),F60&lt;TODAY(),D60&lt;&gt;"Completed")," | One or more raise-by dates are in the past and not completed","")&amp;IF(AND(ISNUMBER(K60),K60-TODAY()&lt;SprintWarningDays,K60&gt;=TODAY(),OR(D60="Yet to start",D60="Blocked"))," | Sprint starts in under 10 days - raise access requests now","")&amp;IF(AND(ISNUMBER(BM60),BN60&lt;&gt;"Completed",BN60&lt;&gt;"N/A",BM60-TODAY()&lt;CodeReviewInviteCalendarDays)," | Code Review invite should be sent at least 4 days before Code Review","")="","",MID(IF(AND(ISNUMBER(J60),WEEKDAY(J60,2)&lt;&gt;2,WEEKDAY(J60,2)&lt;&gt;4)," | Release must be Tuesday or Thursday","")&amp;IF(AND(ISNUMBER(H60),WEEKDAY(H60,2)&lt;&gt;1)," | Sprint Start is not a Monday - dates still calculated from the date entered","")&amp;IF(AND(A60&lt;&gt;"",NOT(ISNUMBER(H60)),NOT(ISNUMBER(J60)))," | Enter Sprint Start or Release Date","")&amp;IF(AND(ISNUMBER(F60),F60&lt;TODAY(),D60&lt;&gt;"Completed")," | One or more raise-by dates are in the past and not completed","")&amp;IF(AND(ISNUMBER(K60),K60-TODAY()&lt;SprintWarningDays,K60&gt;=TODAY(),OR(D60="Yet to start",D60="Blocked"))," | Sprint starts in under 10 days - raise access requests now","")&amp;IF(AND(ISNUMBER(BM60),BN60&lt;&gt;"Completed",BN60&lt;&gt;"N/A",BM60-TODAY()&lt;CodeReviewInviteCalendarDays)," | Code Review invite should be sent at least 4 days before Code Review",""),4,500)))</f>
        <v/>
      </c>
      <c r="BQ60" s="85" t="str">
        <f>IF(AND(ISNUMBER(Q60),S60&lt;&gt;"Completed",S60&lt;&gt;"N/A"),Q60,"")</f>
        <v/>
      </c>
      <c r="BR60" s="85" t="str">
        <f>IF(AND(ISNUMBER(T60),V60&lt;&gt;"Completed",V60&lt;&gt;"N/A"),T60,"")</f>
        <v/>
      </c>
      <c r="BS60" s="85" t="str">
        <f>IF(AND(ISNUMBER(W60),Y60&lt;&gt;"Completed",Y60&lt;&gt;"N/A"),W60,"")</f>
        <v/>
      </c>
      <c r="BT60" s="85" t="str">
        <f>IF(AND(ISNUMBER(AA60),AC60&lt;&gt;"Completed",AC60&lt;&gt;"N/A"),AA60,"")</f>
        <v/>
      </c>
      <c r="BU60" s="85" t="str">
        <f>IF(AND(ISNUMBER(AG60),AI60&lt;&gt;"Completed",AI60&lt;&gt;"N/A"),AG60,"")</f>
        <v/>
      </c>
      <c r="BV60" s="85" t="str">
        <f>IF(AND(ISNUMBER(AJ60),AL60&lt;&gt;"Completed",AL60&lt;&gt;"N/A"),AJ60,"")</f>
        <v/>
      </c>
      <c r="BW60" s="85" t="str">
        <f>IF(AND(ISNUMBER(AM60),AO60&lt;&gt;"Completed",AO60&lt;&gt;"N/A"),AM60,"")</f>
        <v/>
      </c>
      <c r="BX60" s="85" t="str">
        <f>IF(AND(ISNUMBER(AP60),AR60&lt;&gt;"Completed",AR60&lt;&gt;"N/A"),AP60,"")</f>
        <v/>
      </c>
      <c r="BY60" s="85" t="str">
        <f>IF(AND(ISNUMBER(AU60),AW60&lt;&gt;"Completed",AW60&lt;&gt;"N/A"),AU60,"")</f>
        <v/>
      </c>
      <c r="BZ60" s="85" t="str">
        <f>IF(AND(ISNUMBER(AX60),AZ60&lt;&gt;"Completed",AZ60&lt;&gt;"N/A"),AX60,"")</f>
        <v/>
      </c>
      <c r="CA60" s="85" t="str">
        <f>IF(AND(ISNUMBER(BA60),BC60&lt;&gt;"Completed",BC60&lt;&gt;"N/A"),BA60,"")</f>
        <v/>
      </c>
      <c r="CB60" s="85" t="str">
        <f>IF(AND(ISNUMBER(BD60),BF60&lt;&gt;"Completed",BF60&lt;&gt;"N/A"),BD60,"")</f>
        <v/>
      </c>
      <c r="CC60" s="85" t="str">
        <f>IF(AND(ISNUMBER(O60),P60&lt;&gt;"Completed",P60&lt;&gt;"N/A"),O60,"")</f>
        <v/>
      </c>
      <c r="CD60" s="85" t="str">
        <f>IF(AND(ISNUMBER(BM60),BN60&lt;&gt;"Completed",BN60&lt;&gt;"N/A"),BM60,"")</f>
        <v/>
      </c>
      <c r="CE60" s="85" t="str">
        <f>IF(AND(ISNUMBER(BK60),BL60&lt;&gt;"Completed",BL60&lt;&gt;"N/A"),BK60,"")</f>
        <v/>
      </c>
      <c r="CF60" s="85" t="str">
        <f>IF(AND(ISNUMBER(BI60),BJ60&lt;&gt;"Completed",BJ60&lt;&gt;"N/A"),BI60,"")</f>
        <v/>
      </c>
      <c r="CG60" s="85" t="str">
        <f ca="1">IF(OR(A60="",D60="Completed"),"",IF(N(G60)&gt;0,1/(N(G60)+ROW()/100000),IF(ISNUMBER(F60),1000+F60+ROW()/100000,TODAY()+400+ROW()/100000)))</f>
        <v/>
      </c>
    </row>
    <row r="61" spans="1:85">
      <c r="A61" s="17"/>
      <c r="B61" s="17"/>
      <c r="C61" s="17"/>
      <c r="D61" s="18" t="str">
        <f>IF(A61="","",IF(((S61="Blocked")+(V61="Blocked")+(Y61="Blocked")+(AC61="Blocked")+(AI61="Blocked")+(AL61="Blocked")+(AO61="Blocked")+(AR61="Blocked")+(AW61="Blocked")+(AZ61="Blocked")+(BC61="Blocked")+(BF61="Blocked")+(P61="Blocked")+(BJ61="Blocked")+(BL61="Blocked")+(BN61="Blocked")+(BO61="Blocked"))&gt;0,"Blocked",IF((ISNUMBER(Q61)+ISNUMBER(T61)+ISNUMBER(W61)+ISNUMBER(AA61)+ISNUMBER(AG61)+ISNUMBER(AJ61)+ISNUMBER(AM61)+ISNUMBER(AP61)+ISNUMBER(AU61)+ISNUMBER(AX61)+ISNUMBER(BA61)+ISNUMBER(BD61)+ISNUMBER(O61)+ISNUMBER(BI61)+ISNUMBER(BK61)+ISNUMBER(BM61))=0,"Yet to start",IF(AND(OR(NOT(ISNUMBER(Q61)),S61="Completed",S61="N/A"),OR(NOT(ISNUMBER(T61)),V61="Completed",V61="N/A"),OR(NOT(ISNUMBER(W61)),Y61="Completed",Y61="N/A"),OR(NOT(ISNUMBER(AA61)),AC61="Completed",AC61="N/A"),OR(NOT(ISNUMBER(AG61)),AI61="Completed",AI61="N/A"),OR(NOT(ISNUMBER(AJ61)),AL61="Completed",AL61="N/A"),OR(NOT(ISNUMBER(AM61)),AO61="Completed",AO61="N/A"),OR(NOT(ISNUMBER(AP61)),AR61="Completed",AR61="N/A"),OR(NOT(ISNUMBER(AU61)),AW61="Completed",AW61="N/A"),OR(NOT(ISNUMBER(AX61)),AZ61="Completed",AZ61="N/A"),OR(NOT(ISNUMBER(BA61)),BC61="Completed",BC61="N/A"),OR(NOT(ISNUMBER(BD61)),BF61="Completed",BF61="N/A"),OR(NOT(ISNUMBER(O61)),P61="Completed",P61="N/A"),OR(NOT(ISNUMBER(BI61)),BJ61="Completed",BJ61="N/A"),OR(NOT(ISNUMBER(BK61)),BL61="Completed",BL61="N/A"),OR(NOT(ISNUMBER(BM61)),BN61="Completed",BN61="N/A"),OR(BO61="Completed",BO61="N/A")),"Completed",IF(((S61="In Progress")+(V61="In Progress")+(Y61="In Progress")+(AC61="In Progress")+(AI61="In Progress")+(AL61="In Progress")+(AO61="In Progress")+(AR61="In Progress")+(AW61="In Progress")+(AZ61="In Progress")+(BC61="In Progress")+(BF61="In Progress")+(P61="In Progress")+(BJ61="In Progress")+(BL61="In Progress")+(BN61="In Progress")+(BO61="In Progress"))&gt;0,"In Progress","Yet to start")))))</f>
        <v/>
      </c>
      <c r="E61" s="18" t="str">
        <f>IF(A61="","",IF(F61="","All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Review","CAB"},MATCH(F61,BQ61:CF61,0))))</f>
        <v/>
      </c>
      <c r="F61" s="19" t="str">
        <f>IF(A61="","",IF(COUNT(BQ61:CF61)=0,"",MIN(BQ61:CF61)))</f>
        <v/>
      </c>
      <c r="G61" s="18" t="str">
        <f ca="1">IF(A61="","",MAX(0,IF(AND(ISNUMBER(Q61),S61&lt;&gt;"Completed",S61&lt;&gt;"N/A",Q61&lt;TODAY()),TODAY()-Q61,0),IF(AND(ISNUMBER(T61),V61&lt;&gt;"Completed",V61&lt;&gt;"N/A",T61&lt;TODAY()),TODAY()-T61,0),IF(AND(ISNUMBER(W61),Y61&lt;&gt;"Completed",Y61&lt;&gt;"N/A",W61&lt;TODAY()),TODAY()-W61,0),IF(AND(ISNUMBER(AA61),AC61&lt;&gt;"Completed",AC61&lt;&gt;"N/A",AA61&lt;TODAY()),TODAY()-AA61,0),IF(AND(ISNUMBER(AG61),AI61&lt;&gt;"Completed",AI61&lt;&gt;"N/A",AG61&lt;TODAY()),TODAY()-AG61,0),IF(AND(ISNUMBER(AJ61),AL61&lt;&gt;"Completed",AL61&lt;&gt;"N/A",AJ61&lt;TODAY()),TODAY()-AJ61,0),IF(AND(ISNUMBER(AM61),AO61&lt;&gt;"Completed",AO61&lt;&gt;"N/A",AM61&lt;TODAY()),TODAY()-AM61,0),IF(AND(ISNUMBER(AP61),AR61&lt;&gt;"Completed",AR61&lt;&gt;"N/A",AP61&lt;TODAY()),TODAY()-AP61,0),IF(AND(ISNUMBER(AU61),AW61&lt;&gt;"Completed",AW61&lt;&gt;"N/A",AU61&lt;TODAY()),TODAY()-AU61,0),IF(AND(ISNUMBER(AX61),AZ61&lt;&gt;"Completed",AZ61&lt;&gt;"N/A",AX61&lt;TODAY()),TODAY()-AX61,0),IF(AND(ISNUMBER(BA61),BC61&lt;&gt;"Completed",BC61&lt;&gt;"N/A",BA61&lt;TODAY()),TODAY()-BA61,0),IF(AND(ISNUMBER(BD61),BF61&lt;&gt;"Completed",BF61&lt;&gt;"N/A",BD61&lt;TODAY()),TODAY()-BD61,0),IF(AND(ISNUMBER(O61),P61&lt;&gt;"Completed",P61&lt;&gt;"N/A",O61&lt;TODAY()),TODAY()-O61,0),IF(AND(ISNUMBER(BM61),BN61&lt;&gt;"Completed",BN61&lt;&gt;"N/A",BM61&lt;TODAY()),TODAY()-BM61,0),IF(AND(ISNUMBER(BK61),BL61&lt;&gt;"Completed",BL61&lt;&gt;"N/A",BK61&lt;TODAY()),TODAY()-BK61,0),IF(AND(ISNUMBER(BI61),BJ61&lt;&gt;"Completed",BJ61&lt;&gt;"N/A",BI61&lt;TODAY()),TODAY()-BI61,0)))</f>
        <v/>
      </c>
      <c r="H61" s="17"/>
      <c r="I61" s="17"/>
      <c r="J61" s="17"/>
      <c r="K61" s="19" t="str">
        <f>IF(ISNUMBER(H61),H61,IF(ISNUMBER(M61),M61-WEEKDAY(M61,2)+1-7,""))</f>
        <v/>
      </c>
      <c r="L61" s="19" t="str">
        <f>IF(ISNUMBER(I61),I61,IF(ISNUMBER(H61),WORKDAY(H61,SprintWorkingDays-1),IF(ISNUMBER(K61),WORKDAY(K61,SprintWorkingDays-1),"")))</f>
        <v/>
      </c>
      <c r="M61" s="19" t="str">
        <f>IF(ISNUMBER(J61),J61,IF(ISNUMBER(I61),I61-IF(OR(WEEKDAY(I61,2)=2,WEEKDAY(I61,2)=4),0,IF(WEEKDAY(I61,2)=3,1,IF(WEEKDAY(I61,2)=1,4,WEEKDAY(I61,2)-4))),IF(ISNUMBER(H61),WORKDAY(H61,SprintWorkingDays-1)-IF(OR(WEEKDAY(WORKDAY(H61,SprintWorkingDays-1),2)=2,WEEKDAY(WORKDAY(H61,SprintWorkingDays-1),2)=4),0,IF(WEEKDAY(WORKDAY(H61,SprintWorkingDays-1),2)=3,1,IF(WEEKDAY(WORKDAY(H61,SprintWorkingDays-1),2)=1,4,WEEKDAY(WORKDAY(H61,SprintWorkingDays-1),2)-4))),"")))</f>
        <v/>
      </c>
      <c r="N61" s="19" t="str">
        <f>IF(NOT(ISNUMBER(K61)),"",WORKDAY(K61,ReadyOffsetWD))</f>
        <v/>
      </c>
      <c r="O61" s="19" t="str">
        <f>IF(NOT(ISNUMBER(K61)),"",WORKDAY(K61,SprintReadinessOffsetWD))</f>
        <v/>
      </c>
      <c r="P61" s="17"/>
      <c r="Q61" s="19" t="str">
        <f>IF(A61="","",IF(V61="N/A",IF(NOT(ISNUMBER(W61)),"",WORKDAY(W61,RTSKOffsetFromOUR_WD)),IF(NOT(ISNUMBER(T61)),"",WORKDAY(T61,RTSKOffsetFromOUR_WD))))</f>
        <v/>
      </c>
      <c r="R61" s="17"/>
      <c r="S61" s="17"/>
      <c r="T61" s="19" t="str">
        <f>IF(OR(A61="",V61="N/A"),"",IF(NOT(ISNUMBER(W61)),"",WORKDAY(W61,OUROffsetFromSR_WD)))</f>
        <v/>
      </c>
      <c r="U61" s="17"/>
      <c r="V61" s="17"/>
      <c r="W61" s="19" t="str">
        <f>IF(OR(A61="",NOT(ISNUMBER(K61))),"",WORKDAY(K61,SROffsetFromStartWD))</f>
        <v/>
      </c>
      <c r="X61" s="17"/>
      <c r="Y61" s="17"/>
      <c r="Z61" s="17"/>
      <c r="AA61" s="19" t="str">
        <f>IF(OR(Z61="",Z61="N/A"),"",IF(ISNUMBER(Q61),Q61,""))</f>
        <v/>
      </c>
      <c r="AB61" s="17"/>
      <c r="AC61" s="17"/>
      <c r="AD61" s="17"/>
      <c r="AE61" s="17"/>
      <c r="AF61" s="17" t="str">
        <f>IF(Z61="N/A","N/A","")</f>
        <v/>
      </c>
      <c r="AG61" s="19" t="str">
        <f>IF(NOT(ISNUMBER(Q61)),"",Q61)</f>
        <v/>
      </c>
      <c r="AH61" s="17"/>
      <c r="AI61" s="17"/>
      <c r="AJ61" s="19" t="str">
        <f>IF(OR(AL61="N/A",NOT(ISNUMBER(T61))),"",T61)</f>
        <v/>
      </c>
      <c r="AK61" s="17"/>
      <c r="AL61" s="17"/>
      <c r="AM61" s="19" t="str">
        <f>IF(NOT(ISNUMBER(W61)),"",W61)</f>
        <v/>
      </c>
      <c r="AN61" s="17"/>
      <c r="AO61" s="17"/>
      <c r="AP61" s="19" t="str">
        <f>IF(OR(Z61="",Z61="N/A"),"",IF(ISNUMBER(AG61),AG61,""))</f>
        <v/>
      </c>
      <c r="AQ61" s="17"/>
      <c r="AR61" s="17"/>
      <c r="AS61" s="17"/>
      <c r="AT61" s="17"/>
      <c r="AU61" s="19" t="str">
        <f>IF(NOT(ISNUMBER(Q61)),"",Q61)</f>
        <v/>
      </c>
      <c r="AV61" s="17"/>
      <c r="AW61" s="17"/>
      <c r="AX61" s="19" t="str">
        <f>IF(OR(AZ61="N/A",NOT(ISNUMBER(T61))),"",T61)</f>
        <v/>
      </c>
      <c r="AY61" s="17"/>
      <c r="AZ61" s="17"/>
      <c r="BA61" s="19" t="str">
        <f>IF(NOT(ISNUMBER(W61)),"",W61)</f>
        <v/>
      </c>
      <c r="BB61" s="17"/>
      <c r="BC61" s="17"/>
      <c r="BD61" s="19" t="str">
        <f>IF(OR(Z61="",Z61="N/A"),"",IF(ISNUMBER(AU61),AU61,""))</f>
        <v/>
      </c>
      <c r="BE61" s="17"/>
      <c r="BF61" s="17"/>
      <c r="BG61" s="17"/>
      <c r="BH61" s="17"/>
      <c r="BI61" s="89" t="e">
        <f>IF(OR(A61="",NOT(ISNUMBER(M61)),AND(WEEKDAY(M61,2)&lt;&gt;2,WEEKDAY(M61,2)&lt;&gt;4)),"",WORKDAY(M61,CABOffsetFromReleaseWD))</f>
        <v>#VALUE!</v>
      </c>
      <c r="BJ61" s="17"/>
      <c r="BK61" s="19" t="str">
        <f>IF(NOT(ISNUMBER(BI61)),"",IF(WEEKDAY(BI61-CodeReviewCalendarDays,2)&gt;5,BI61-CodeReviewCalendarDays-(WEEKDAY(BI61-CodeReviewCalendarDays,2)-5),BI61-CodeReviewCalendarDays))</f>
        <v/>
      </c>
      <c r="BL61" s="17"/>
      <c r="BM61" s="19" t="str">
        <f>IF(NOT(ISNUMBER(BK61)),"",IF(WEEKDAY(BK61-CodeReviewInviteCalendarDays,2)&gt;5,BK61-CodeReviewInviteCalendarDays-(WEEKDAY(BK61-CodeReviewInviteCalendarDays,2)-5),BK61-CodeReviewInviteCalendarDays))</f>
        <v/>
      </c>
      <c r="BN61" s="17"/>
      <c r="BO61" s="17"/>
      <c r="BP61" s="18" t="str">
        <f ca="1">IF(A61="","",IF(IF(AND(ISNUMBER(J61),WEEKDAY(J61,2)&lt;&gt;2,WEEKDAY(J61,2)&lt;&gt;4)," | Release must be Tuesday or Thursday","")&amp;IF(AND(ISNUMBER(H61),WEEKDAY(H61,2)&lt;&gt;1)," | Sprint Start is not a Monday - dates still calculated from the date entered","")&amp;IF(AND(A61&lt;&gt;"",NOT(ISNUMBER(H61)),NOT(ISNUMBER(J61)))," | Enter Sprint Start or Release Date","")&amp;IF(AND(ISNUMBER(F61),F61&lt;TODAY(),D61&lt;&gt;"Completed")," | One or more raise-by dates are in the past and not completed","")&amp;IF(AND(ISNUMBER(K61),K61-TODAY()&lt;SprintWarningDays,K61&gt;=TODAY(),OR(D61="Yet to start",D61="Blocked"))," | Sprint starts in under 10 days - raise access requests now","")&amp;IF(AND(ISNUMBER(BM61),BN61&lt;&gt;"Completed",BN61&lt;&gt;"N/A",BM61-TODAY()&lt;CodeReviewInviteCalendarDays)," | Code Review invite should be sent at least 4 days before Code Review","")="","",MID(IF(AND(ISNUMBER(J61),WEEKDAY(J61,2)&lt;&gt;2,WEEKDAY(J61,2)&lt;&gt;4)," | Release must be Tuesday or Thursday","")&amp;IF(AND(ISNUMBER(H61),WEEKDAY(H61,2)&lt;&gt;1)," | Sprint Start is not a Monday - dates still calculated from the date entered","")&amp;IF(AND(A61&lt;&gt;"",NOT(ISNUMBER(H61)),NOT(ISNUMBER(J61)))," | Enter Sprint Start or Release Date","")&amp;IF(AND(ISNUMBER(F61),F61&lt;TODAY(),D61&lt;&gt;"Completed")," | One or more raise-by dates are in the past and not completed","")&amp;IF(AND(ISNUMBER(K61),K61-TODAY()&lt;SprintWarningDays,K61&gt;=TODAY(),OR(D61="Yet to start",D61="Blocked"))," | Sprint starts in under 10 days - raise access requests now","")&amp;IF(AND(ISNUMBER(BM61),BN61&lt;&gt;"Completed",BN61&lt;&gt;"N/A",BM61-TODAY()&lt;CodeReviewInviteCalendarDays)," | Code Review invite should be sent at least 4 days before Code Review",""),4,500)))</f>
        <v/>
      </c>
      <c r="BQ61" s="85" t="str">
        <f>IF(AND(ISNUMBER(Q61),S61&lt;&gt;"Completed",S61&lt;&gt;"N/A"),Q61,"")</f>
        <v/>
      </c>
      <c r="BR61" s="85" t="str">
        <f>IF(AND(ISNUMBER(T61),V61&lt;&gt;"Completed",V61&lt;&gt;"N/A"),T61,"")</f>
        <v/>
      </c>
      <c r="BS61" s="85" t="str">
        <f>IF(AND(ISNUMBER(W61),Y61&lt;&gt;"Completed",Y61&lt;&gt;"N/A"),W61,"")</f>
        <v/>
      </c>
      <c r="BT61" s="85" t="str">
        <f>IF(AND(ISNUMBER(AA61),AC61&lt;&gt;"Completed",AC61&lt;&gt;"N/A"),AA61,"")</f>
        <v/>
      </c>
      <c r="BU61" s="85" t="str">
        <f>IF(AND(ISNUMBER(AG61),AI61&lt;&gt;"Completed",AI61&lt;&gt;"N/A"),AG61,"")</f>
        <v/>
      </c>
      <c r="BV61" s="85" t="str">
        <f>IF(AND(ISNUMBER(AJ61),AL61&lt;&gt;"Completed",AL61&lt;&gt;"N/A"),AJ61,"")</f>
        <v/>
      </c>
      <c r="BW61" s="85" t="str">
        <f>IF(AND(ISNUMBER(AM61),AO61&lt;&gt;"Completed",AO61&lt;&gt;"N/A"),AM61,"")</f>
        <v/>
      </c>
      <c r="BX61" s="85" t="str">
        <f>IF(AND(ISNUMBER(AP61),AR61&lt;&gt;"Completed",AR61&lt;&gt;"N/A"),AP61,"")</f>
        <v/>
      </c>
      <c r="BY61" s="85" t="str">
        <f>IF(AND(ISNUMBER(AU61),AW61&lt;&gt;"Completed",AW61&lt;&gt;"N/A"),AU61,"")</f>
        <v/>
      </c>
      <c r="BZ61" s="85" t="str">
        <f>IF(AND(ISNUMBER(AX61),AZ61&lt;&gt;"Completed",AZ61&lt;&gt;"N/A"),AX61,"")</f>
        <v/>
      </c>
      <c r="CA61" s="85" t="str">
        <f>IF(AND(ISNUMBER(BA61),BC61&lt;&gt;"Completed",BC61&lt;&gt;"N/A"),BA61,"")</f>
        <v/>
      </c>
      <c r="CB61" s="85" t="str">
        <f>IF(AND(ISNUMBER(BD61),BF61&lt;&gt;"Completed",BF61&lt;&gt;"N/A"),BD61,"")</f>
        <v/>
      </c>
      <c r="CC61" s="85" t="str">
        <f>IF(AND(ISNUMBER(O61),P61&lt;&gt;"Completed",P61&lt;&gt;"N/A"),O61,"")</f>
        <v/>
      </c>
      <c r="CD61" s="85" t="str">
        <f>IF(AND(ISNUMBER(BM61),BN61&lt;&gt;"Completed",BN61&lt;&gt;"N/A"),BM61,"")</f>
        <v/>
      </c>
      <c r="CE61" s="85" t="str">
        <f>IF(AND(ISNUMBER(BK61),BL61&lt;&gt;"Completed",BL61&lt;&gt;"N/A"),BK61,"")</f>
        <v/>
      </c>
      <c r="CF61" s="85" t="str">
        <f>IF(AND(ISNUMBER(BI61),BJ61&lt;&gt;"Completed",BJ61&lt;&gt;"N/A"),BI61,"")</f>
        <v/>
      </c>
      <c r="CG61" s="85" t="str">
        <f ca="1">IF(OR(A61="",D61="Completed"),"",IF(N(G61)&gt;0,1/(N(G61)+ROW()/100000),IF(ISNUMBER(F61),1000+F61+ROW()/100000,TODAY()+400+ROW()/100000)))</f>
        <v/>
      </c>
    </row>
    <row r="62" spans="1:85">
      <c r="A62" s="17"/>
      <c r="B62" s="17"/>
      <c r="C62" s="17"/>
      <c r="D62" s="18" t="str">
        <f>IF(A62="","",IF(((S62="Blocked")+(V62="Blocked")+(Y62="Blocked")+(AC62="Blocked")+(AI62="Blocked")+(AL62="Blocked")+(AO62="Blocked")+(AR62="Blocked")+(AW62="Blocked")+(AZ62="Blocked")+(BC62="Blocked")+(BF62="Blocked")+(P62="Blocked")+(BJ62="Blocked")+(BL62="Blocked")+(BN62="Blocked")+(BO62="Blocked"))&gt;0,"Blocked",IF((ISNUMBER(Q62)+ISNUMBER(T62)+ISNUMBER(W62)+ISNUMBER(AA62)+ISNUMBER(AG62)+ISNUMBER(AJ62)+ISNUMBER(AM62)+ISNUMBER(AP62)+ISNUMBER(AU62)+ISNUMBER(AX62)+ISNUMBER(BA62)+ISNUMBER(BD62)+ISNUMBER(O62)+ISNUMBER(BI62)+ISNUMBER(BK62)+ISNUMBER(BM62))=0,"Yet to start",IF(AND(OR(NOT(ISNUMBER(Q62)),S62="Completed",S62="N/A"),OR(NOT(ISNUMBER(T62)),V62="Completed",V62="N/A"),OR(NOT(ISNUMBER(W62)),Y62="Completed",Y62="N/A"),OR(NOT(ISNUMBER(AA62)),AC62="Completed",AC62="N/A"),OR(NOT(ISNUMBER(AG62)),AI62="Completed",AI62="N/A"),OR(NOT(ISNUMBER(AJ62)),AL62="Completed",AL62="N/A"),OR(NOT(ISNUMBER(AM62)),AO62="Completed",AO62="N/A"),OR(NOT(ISNUMBER(AP62)),AR62="Completed",AR62="N/A"),OR(NOT(ISNUMBER(AU62)),AW62="Completed",AW62="N/A"),OR(NOT(ISNUMBER(AX62)),AZ62="Completed",AZ62="N/A"),OR(NOT(ISNUMBER(BA62)),BC62="Completed",BC62="N/A"),OR(NOT(ISNUMBER(BD62)),BF62="Completed",BF62="N/A"),OR(NOT(ISNUMBER(O62)),P62="Completed",P62="N/A"),OR(NOT(ISNUMBER(BI62)),BJ62="Completed",BJ62="N/A"),OR(NOT(ISNUMBER(BK62)),BL62="Completed",BL62="N/A"),OR(NOT(ISNUMBER(BM62)),BN62="Completed",BN62="N/A"),OR(BO62="Completed",BO62="N/A")),"Completed",IF(((S62="In Progress")+(V62="In Progress")+(Y62="In Progress")+(AC62="In Progress")+(AI62="In Progress")+(AL62="In Progress")+(AO62="In Progress")+(AR62="In Progress")+(AW62="In Progress")+(AZ62="In Progress")+(BC62="In Progress")+(BF62="In Progress")+(P62="In Progress")+(BJ62="In Progress")+(BL62="In Progress")+(BN62="In Progress")+(BO62="In Progress"))&gt;0,"In Progress","Yet to start")))))</f>
        <v/>
      </c>
      <c r="E62" s="18" t="str">
        <f>IF(A62="","",IF(F62="","All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Review","CAB"},MATCH(F62,BQ62:CF62,0))))</f>
        <v/>
      </c>
      <c r="F62" s="19" t="str">
        <f>IF(A62="","",IF(COUNT(BQ62:CF62)=0,"",MIN(BQ62:CF62)))</f>
        <v/>
      </c>
      <c r="G62" s="18" t="str">
        <f ca="1">IF(A62="","",MAX(0,IF(AND(ISNUMBER(Q62),S62&lt;&gt;"Completed",S62&lt;&gt;"N/A",Q62&lt;TODAY()),TODAY()-Q62,0),IF(AND(ISNUMBER(T62),V62&lt;&gt;"Completed",V62&lt;&gt;"N/A",T62&lt;TODAY()),TODAY()-T62,0),IF(AND(ISNUMBER(W62),Y62&lt;&gt;"Completed",Y62&lt;&gt;"N/A",W62&lt;TODAY()),TODAY()-W62,0),IF(AND(ISNUMBER(AA62),AC62&lt;&gt;"Completed",AC62&lt;&gt;"N/A",AA62&lt;TODAY()),TODAY()-AA62,0),IF(AND(ISNUMBER(AG62),AI62&lt;&gt;"Completed",AI62&lt;&gt;"N/A",AG62&lt;TODAY()),TODAY()-AG62,0),IF(AND(ISNUMBER(AJ62),AL62&lt;&gt;"Completed",AL62&lt;&gt;"N/A",AJ62&lt;TODAY()),TODAY()-AJ62,0),IF(AND(ISNUMBER(AM62),AO62&lt;&gt;"Completed",AO62&lt;&gt;"N/A",AM62&lt;TODAY()),TODAY()-AM62,0),IF(AND(ISNUMBER(AP62),AR62&lt;&gt;"Completed",AR62&lt;&gt;"N/A",AP62&lt;TODAY()),TODAY()-AP62,0),IF(AND(ISNUMBER(AU62),AW62&lt;&gt;"Completed",AW62&lt;&gt;"N/A",AU62&lt;TODAY()),TODAY()-AU62,0),IF(AND(ISNUMBER(AX62),AZ62&lt;&gt;"Completed",AZ62&lt;&gt;"N/A",AX62&lt;TODAY()),TODAY()-AX62,0),IF(AND(ISNUMBER(BA62),BC62&lt;&gt;"Completed",BC62&lt;&gt;"N/A",BA62&lt;TODAY()),TODAY()-BA62,0),IF(AND(ISNUMBER(BD62),BF62&lt;&gt;"Completed",BF62&lt;&gt;"N/A",BD62&lt;TODAY()),TODAY()-BD62,0),IF(AND(ISNUMBER(O62),P62&lt;&gt;"Completed",P62&lt;&gt;"N/A",O62&lt;TODAY()),TODAY()-O62,0),IF(AND(ISNUMBER(BM62),BN62&lt;&gt;"Completed",BN62&lt;&gt;"N/A",BM62&lt;TODAY()),TODAY()-BM62,0),IF(AND(ISNUMBER(BK62),BL62&lt;&gt;"Completed",BL62&lt;&gt;"N/A",BK62&lt;TODAY()),TODAY()-BK62,0),IF(AND(ISNUMBER(BI62),BJ62&lt;&gt;"Completed",BJ62&lt;&gt;"N/A",BI62&lt;TODAY()),TODAY()-BI62,0)))</f>
        <v/>
      </c>
      <c r="H62" s="17"/>
      <c r="I62" s="17"/>
      <c r="J62" s="17"/>
      <c r="K62" s="19" t="str">
        <f>IF(ISNUMBER(H62),H62,IF(ISNUMBER(M62),M62-WEEKDAY(M62,2)+1-7,""))</f>
        <v/>
      </c>
      <c r="L62" s="19" t="str">
        <f>IF(ISNUMBER(I62),I62,IF(ISNUMBER(H62),WORKDAY(H62,SprintWorkingDays-1),IF(ISNUMBER(K62),WORKDAY(K62,SprintWorkingDays-1),"")))</f>
        <v/>
      </c>
      <c r="M62" s="19" t="str">
        <f>IF(ISNUMBER(J62),J62,IF(ISNUMBER(I62),I62-IF(OR(WEEKDAY(I62,2)=2,WEEKDAY(I62,2)=4),0,IF(WEEKDAY(I62,2)=3,1,IF(WEEKDAY(I62,2)=1,4,WEEKDAY(I62,2)-4))),IF(ISNUMBER(H62),WORKDAY(H62,SprintWorkingDays-1)-IF(OR(WEEKDAY(WORKDAY(H62,SprintWorkingDays-1),2)=2,WEEKDAY(WORKDAY(H62,SprintWorkingDays-1),2)=4),0,IF(WEEKDAY(WORKDAY(H62,SprintWorkingDays-1),2)=3,1,IF(WEEKDAY(WORKDAY(H62,SprintWorkingDays-1),2)=1,4,WEEKDAY(WORKDAY(H62,SprintWorkingDays-1),2)-4))),"")))</f>
        <v/>
      </c>
      <c r="N62" s="19" t="str">
        <f>IF(NOT(ISNUMBER(K62)),"",WORKDAY(K62,ReadyOffsetWD))</f>
        <v/>
      </c>
      <c r="O62" s="19" t="str">
        <f>IF(NOT(ISNUMBER(K62)),"",WORKDAY(K62,SprintReadinessOffsetWD))</f>
        <v/>
      </c>
      <c r="P62" s="17"/>
      <c r="Q62" s="19" t="str">
        <f>IF(A62="","",IF(V62="N/A",IF(NOT(ISNUMBER(W62)),"",WORKDAY(W62,RTSKOffsetFromOUR_WD)),IF(NOT(ISNUMBER(T62)),"",WORKDAY(T62,RTSKOffsetFromOUR_WD))))</f>
        <v/>
      </c>
      <c r="R62" s="17"/>
      <c r="S62" s="17"/>
      <c r="T62" s="19" t="str">
        <f>IF(OR(A62="",V62="N/A"),"",IF(NOT(ISNUMBER(W62)),"",WORKDAY(W62,OUROffsetFromSR_WD)))</f>
        <v/>
      </c>
      <c r="U62" s="17"/>
      <c r="V62" s="17"/>
      <c r="W62" s="19" t="str">
        <f>IF(OR(A62="",NOT(ISNUMBER(K62))),"",WORKDAY(K62,SROffsetFromStartWD))</f>
        <v/>
      </c>
      <c r="X62" s="17"/>
      <c r="Y62" s="17"/>
      <c r="Z62" s="17"/>
      <c r="AA62" s="19" t="str">
        <f>IF(OR(Z62="",Z62="N/A"),"",IF(ISNUMBER(Q62),Q62,""))</f>
        <v/>
      </c>
      <c r="AB62" s="17"/>
      <c r="AC62" s="17"/>
      <c r="AD62" s="17"/>
      <c r="AE62" s="17"/>
      <c r="AF62" s="17" t="str">
        <f>IF(Z62="N/A","N/A","")</f>
        <v/>
      </c>
      <c r="AG62" s="19" t="str">
        <f>IF(NOT(ISNUMBER(Q62)),"",Q62)</f>
        <v/>
      </c>
      <c r="AH62" s="17"/>
      <c r="AI62" s="17"/>
      <c r="AJ62" s="19" t="str">
        <f>IF(OR(AL62="N/A",NOT(ISNUMBER(T62))),"",T62)</f>
        <v/>
      </c>
      <c r="AK62" s="17"/>
      <c r="AL62" s="17"/>
      <c r="AM62" s="19" t="str">
        <f>IF(NOT(ISNUMBER(W62)),"",W62)</f>
        <v/>
      </c>
      <c r="AN62" s="17"/>
      <c r="AO62" s="17"/>
      <c r="AP62" s="19" t="str">
        <f>IF(OR(Z62="",Z62="N/A"),"",IF(ISNUMBER(AG62),AG62,""))</f>
        <v/>
      </c>
      <c r="AQ62" s="17"/>
      <c r="AR62" s="17"/>
      <c r="AS62" s="17"/>
      <c r="AT62" s="17"/>
      <c r="AU62" s="19" t="str">
        <f>IF(NOT(ISNUMBER(Q62)),"",Q62)</f>
        <v/>
      </c>
      <c r="AV62" s="17"/>
      <c r="AW62" s="17"/>
      <c r="AX62" s="19" t="str">
        <f>IF(OR(AZ62="N/A",NOT(ISNUMBER(T62))),"",T62)</f>
        <v/>
      </c>
      <c r="AY62" s="17"/>
      <c r="AZ62" s="17"/>
      <c r="BA62" s="19" t="str">
        <f>IF(NOT(ISNUMBER(W62)),"",W62)</f>
        <v/>
      </c>
      <c r="BB62" s="17"/>
      <c r="BC62" s="17"/>
      <c r="BD62" s="19" t="str">
        <f>IF(OR(Z62="",Z62="N/A"),"",IF(ISNUMBER(AU62),AU62,""))</f>
        <v/>
      </c>
      <c r="BE62" s="17"/>
      <c r="BF62" s="17"/>
      <c r="BG62" s="17"/>
      <c r="BH62" s="17"/>
      <c r="BI62" s="89" t="e">
        <f>IF(OR(A62="",NOT(ISNUMBER(M62)),AND(WEEKDAY(M62,2)&lt;&gt;2,WEEKDAY(M62,2)&lt;&gt;4)),"",WORKDAY(M62,CABOffsetFromReleaseWD))</f>
        <v>#VALUE!</v>
      </c>
      <c r="BJ62" s="17"/>
      <c r="BK62" s="19" t="str">
        <f>IF(NOT(ISNUMBER(BI62)),"",IF(WEEKDAY(BI62-CodeReviewCalendarDays,2)&gt;5,BI62-CodeReviewCalendarDays-(WEEKDAY(BI62-CodeReviewCalendarDays,2)-5),BI62-CodeReviewCalendarDays))</f>
        <v/>
      </c>
      <c r="BL62" s="17"/>
      <c r="BM62" s="19" t="str">
        <f>IF(NOT(ISNUMBER(BK62)),"",IF(WEEKDAY(BK62-CodeReviewInviteCalendarDays,2)&gt;5,BK62-CodeReviewInviteCalendarDays-(WEEKDAY(BK62-CodeReviewInviteCalendarDays,2)-5),BK62-CodeReviewInviteCalendarDays))</f>
        <v/>
      </c>
      <c r="BN62" s="17"/>
      <c r="BO62" s="17"/>
      <c r="BP62" s="18" t="str">
        <f ca="1">IF(A62="","",IF(IF(AND(ISNUMBER(J62),WEEKDAY(J62,2)&lt;&gt;2,WEEKDAY(J62,2)&lt;&gt;4)," | Release must be Tuesday or Thursday","")&amp;IF(AND(ISNUMBER(H62),WEEKDAY(H62,2)&lt;&gt;1)," | Sprint Start is not a Monday - dates still calculated from the date entered","")&amp;IF(AND(A62&lt;&gt;"",NOT(ISNUMBER(H62)),NOT(ISNUMBER(J62)))," | Enter Sprint Start or Release Date","")&amp;IF(AND(ISNUMBER(F62),F62&lt;TODAY(),D62&lt;&gt;"Completed")," | One or more raise-by dates are in the past and not completed","")&amp;IF(AND(ISNUMBER(K62),K62-TODAY()&lt;SprintWarningDays,K62&gt;=TODAY(),OR(D62="Yet to start",D62="Blocked"))," | Sprint starts in under 10 days - raise access requests now","")&amp;IF(AND(ISNUMBER(BM62),BN62&lt;&gt;"Completed",BN62&lt;&gt;"N/A",BM62-TODAY()&lt;CodeReviewInviteCalendarDays)," | Code Review invite should be sent at least 4 days before Code Review","")="","",MID(IF(AND(ISNUMBER(J62),WEEKDAY(J62,2)&lt;&gt;2,WEEKDAY(J62,2)&lt;&gt;4)," | Release must be Tuesday or Thursday","")&amp;IF(AND(ISNUMBER(H62),WEEKDAY(H62,2)&lt;&gt;1)," | Sprint Start is not a Monday - dates still calculated from the date entered","")&amp;IF(AND(A62&lt;&gt;"",NOT(ISNUMBER(H62)),NOT(ISNUMBER(J62)))," | Enter Sprint Start or Release Date","")&amp;IF(AND(ISNUMBER(F62),F62&lt;TODAY(),D62&lt;&gt;"Completed")," | One or more raise-by dates are in the past and not completed","")&amp;IF(AND(ISNUMBER(K62),K62-TODAY()&lt;SprintWarningDays,K62&gt;=TODAY(),OR(D62="Yet to start",D62="Blocked"))," | Sprint starts in under 10 days - raise access requests now","")&amp;IF(AND(ISNUMBER(BM62),BN62&lt;&gt;"Completed",BN62&lt;&gt;"N/A",BM62-TODAY()&lt;CodeReviewInviteCalendarDays)," | Code Review invite should be sent at least 4 days before Code Review",""),4,500)))</f>
        <v/>
      </c>
      <c r="BQ62" s="85" t="str">
        <f>IF(AND(ISNUMBER(Q62),S62&lt;&gt;"Completed",S62&lt;&gt;"N/A"),Q62,"")</f>
        <v/>
      </c>
      <c r="BR62" s="85" t="str">
        <f>IF(AND(ISNUMBER(T62),V62&lt;&gt;"Completed",V62&lt;&gt;"N/A"),T62,"")</f>
        <v/>
      </c>
      <c r="BS62" s="85" t="str">
        <f>IF(AND(ISNUMBER(W62),Y62&lt;&gt;"Completed",Y62&lt;&gt;"N/A"),W62,"")</f>
        <v/>
      </c>
      <c r="BT62" s="85" t="str">
        <f>IF(AND(ISNUMBER(AA62),AC62&lt;&gt;"Completed",AC62&lt;&gt;"N/A"),AA62,"")</f>
        <v/>
      </c>
      <c r="BU62" s="85" t="str">
        <f>IF(AND(ISNUMBER(AG62),AI62&lt;&gt;"Completed",AI62&lt;&gt;"N/A"),AG62,"")</f>
        <v/>
      </c>
      <c r="BV62" s="85" t="str">
        <f>IF(AND(ISNUMBER(AJ62),AL62&lt;&gt;"Completed",AL62&lt;&gt;"N/A"),AJ62,"")</f>
        <v/>
      </c>
      <c r="BW62" s="85" t="str">
        <f>IF(AND(ISNUMBER(AM62),AO62&lt;&gt;"Completed",AO62&lt;&gt;"N/A"),AM62,"")</f>
        <v/>
      </c>
      <c r="BX62" s="85" t="str">
        <f>IF(AND(ISNUMBER(AP62),AR62&lt;&gt;"Completed",AR62&lt;&gt;"N/A"),AP62,"")</f>
        <v/>
      </c>
      <c r="BY62" s="85" t="str">
        <f>IF(AND(ISNUMBER(AU62),AW62&lt;&gt;"Completed",AW62&lt;&gt;"N/A"),AU62,"")</f>
        <v/>
      </c>
      <c r="BZ62" s="85" t="str">
        <f>IF(AND(ISNUMBER(AX62),AZ62&lt;&gt;"Completed",AZ62&lt;&gt;"N/A"),AX62,"")</f>
        <v/>
      </c>
      <c r="CA62" s="85" t="str">
        <f>IF(AND(ISNUMBER(BA62),BC62&lt;&gt;"Completed",BC62&lt;&gt;"N/A"),BA62,"")</f>
        <v/>
      </c>
      <c r="CB62" s="85" t="str">
        <f>IF(AND(ISNUMBER(BD62),BF62&lt;&gt;"Completed",BF62&lt;&gt;"N/A"),BD62,"")</f>
        <v/>
      </c>
      <c r="CC62" s="85" t="str">
        <f>IF(AND(ISNUMBER(O62),P62&lt;&gt;"Completed",P62&lt;&gt;"N/A"),O62,"")</f>
        <v/>
      </c>
      <c r="CD62" s="85" t="str">
        <f>IF(AND(ISNUMBER(BM62),BN62&lt;&gt;"Completed",BN62&lt;&gt;"N/A"),BM62,"")</f>
        <v/>
      </c>
      <c r="CE62" s="85" t="str">
        <f>IF(AND(ISNUMBER(BK62),BL62&lt;&gt;"Completed",BL62&lt;&gt;"N/A"),BK62,"")</f>
        <v/>
      </c>
      <c r="CF62" s="85" t="str">
        <f>IF(AND(ISNUMBER(BI62),BJ62&lt;&gt;"Completed",BJ62&lt;&gt;"N/A"),BI62,"")</f>
        <v/>
      </c>
      <c r="CG62" s="85" t="str">
        <f ca="1">IF(OR(A62="",D62="Completed"),"",IF(N(G62)&gt;0,1/(N(G62)+ROW()/100000),IF(ISNUMBER(F62),1000+F62+ROW()/100000,TODAY()+400+ROW()/100000)))</f>
        <v/>
      </c>
    </row>
    <row r="63" spans="1:85" ht="15.95" customHeight="1">
      <c r="A63" s="17"/>
      <c r="B63" s="17"/>
      <c r="C63" s="17"/>
      <c r="D63" s="11" t="str">
        <f>IF(A63="","",IF(((S63="Blocked")+(V63="Blocked")+(Y63="Blocked")+(AC63="Blocked")+(AI63="Blocked")+(AL63="Blocked")+(AO63="Blocked")+(AR63="Blocked")+(AW63="Blocked")+(AZ63="Blocked")+(BC63="Blocked")+(BF63="Blocked")+(P63="Blocked")+(BJ63="Blocked")+(BL63="Blocked")+(BN63="Blocked")+(BO63="Blocked"))&gt;0,"Blocked",IF((ISNUMBER(Q63)+ISNUMBER(T63)+ISNUMBER(W63)+ISNUMBER(AA63)+ISNUMBER(AG63)+ISNUMBER(AJ63)+ISNUMBER(AM63)+ISNUMBER(AP63)+ISNUMBER(AU63)+ISNUMBER(AX63)+ISNUMBER(BA63)+ISNUMBER(BD63)+ISNUMBER(O63)+ISNUMBER(BI63)+ISNUMBER(BK63)+ISNUMBER(BM63))=0,"Yet to start",IF(AND(OR(NOT(ISNUMBER(Q63)),S63="Completed",S63="N/A"),OR(NOT(ISNUMBER(T63)),V63="Completed",V63="N/A"),OR(NOT(ISNUMBER(W63)),Y63="Completed",Y63="N/A"),OR(NOT(ISNUMBER(AA63)),AC63="Completed",AC63="N/A"),OR(NOT(ISNUMBER(AG63)),AI63="Completed",AI63="N/A"),OR(NOT(ISNUMBER(AJ63)),AL63="Completed",AL63="N/A"),OR(NOT(ISNUMBER(AM63)),AO63="Completed",AO63="N/A"),OR(NOT(ISNUMBER(AP63)),AR63="Completed",AR63="N/A"),OR(NOT(ISNUMBER(AU63)),AW63="Completed",AW63="N/A"),OR(NOT(ISNUMBER(AX63)),AZ63="Completed",AZ63="N/A"),OR(NOT(ISNUMBER(BA63)),BC63="Completed",BC63="N/A"),OR(NOT(ISNUMBER(BD63)),BF63="Completed",BF63="N/A"),OR(NOT(ISNUMBER(O63)),P63="Completed",P63="N/A"),OR(NOT(ISNUMBER(BI63)),BJ63="Completed",BJ63="N/A"),OR(NOT(ISNUMBER(BK63)),BL63="Completed",BL63="N/A"),OR(NOT(ISNUMBER(BM63)),BN63="Completed",BN63="N/A"),OR(BO63="Completed",BO63="N/A")),"Completed",IF(((S63="In Progress")+(V63="In Progress")+(Y63="In Progress")+(AC63="In Progress")+(AI63="In Progress")+(AL63="In Progress")+(AO63="In Progress")+(AR63="In Progress")+(AW63="In Progress")+(AZ63="In Progress")+(BC63="In Progress")+(BF63="In Progress")+(P63="In Progress")+(BJ63="In Progress")+(BL63="In Progress")+(BN63="In Progress")+(BO63="In Progress"))&gt;0,"In Progress","Yet to start")))))</f>
        <v/>
      </c>
      <c r="E63" s="11" t="str">
        <f>IF(A63="","",IF(F63="","All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Review","CAB"},MATCH(F63,BQ63:CF63,0))))</f>
        <v/>
      </c>
      <c r="F63" s="12" t="str">
        <f>IF(A63="","",IF(COUNT(BQ63:CF63)=0,"",MIN(BQ63:CF63)))</f>
        <v/>
      </c>
      <c r="G63" s="13" t="str">
        <f ca="1">IF(A63="","",MAX(0,IF(AND(ISNUMBER(Q63),S63&lt;&gt;"Completed",S63&lt;&gt;"N/A",Q63&lt;TODAY()),TODAY()-Q63,0),IF(AND(ISNUMBER(T63),V63&lt;&gt;"Completed",V63&lt;&gt;"N/A",T63&lt;TODAY()),TODAY()-T63,0),IF(AND(ISNUMBER(W63),Y63&lt;&gt;"Completed",Y63&lt;&gt;"N/A",W63&lt;TODAY()),TODAY()-W63,0),IF(AND(ISNUMBER(AA63),AC63&lt;&gt;"Completed",AC63&lt;&gt;"N/A",AA63&lt;TODAY()),TODAY()-AA63,0),IF(AND(ISNUMBER(AG63),AI63&lt;&gt;"Completed",AI63&lt;&gt;"N/A",AG63&lt;TODAY()),TODAY()-AG63,0),IF(AND(ISNUMBER(AJ63),AL63&lt;&gt;"Completed",AL63&lt;&gt;"N/A",AJ63&lt;TODAY()),TODAY()-AJ63,0),IF(AND(ISNUMBER(AM63),AO63&lt;&gt;"Completed",AO63&lt;&gt;"N/A",AM63&lt;TODAY()),TODAY()-AM63,0),IF(AND(ISNUMBER(AP63),AR63&lt;&gt;"Completed",AR63&lt;&gt;"N/A",AP63&lt;TODAY()),TODAY()-AP63,0),IF(AND(ISNUMBER(AU63),AW63&lt;&gt;"Completed",AW63&lt;&gt;"N/A",AU63&lt;TODAY()),TODAY()-AU63,0),IF(AND(ISNUMBER(AX63),AZ63&lt;&gt;"Completed",AZ63&lt;&gt;"N/A",AX63&lt;TODAY()),TODAY()-AX63,0),IF(AND(ISNUMBER(BA63),BC63&lt;&gt;"Completed",BC63&lt;&gt;"N/A",BA63&lt;TODAY()),TODAY()-BA63,0),IF(AND(ISNUMBER(BD63),BF63&lt;&gt;"Completed",BF63&lt;&gt;"N/A",BD63&lt;TODAY()),TODAY()-BD63,0),IF(AND(ISNUMBER(O63),P63&lt;&gt;"Completed",P63&lt;&gt;"N/A",O63&lt;TODAY()),TODAY()-O63,0),IF(AND(ISNUMBER(BM63),BN63&lt;&gt;"Completed",BN63&lt;&gt;"N/A",BM63&lt;TODAY()),TODAY()-BM63,0),IF(AND(ISNUMBER(BK63),BL63&lt;&gt;"Completed",BL63&lt;&gt;"N/A",BK63&lt;TODAY()),TODAY()-BK63,0),IF(AND(ISNUMBER(BI63),BJ63&lt;&gt;"Completed",BJ63&lt;&gt;"N/A",BI63&lt;TODAY()),TODAY()-BI63,0)))</f>
        <v/>
      </c>
      <c r="H63" s="15"/>
      <c r="I63" s="15"/>
      <c r="J63" s="15"/>
      <c r="K63" s="12" t="str">
        <f>IF(ISNUMBER(H63),H63,IF(ISNUMBER(M63),M63-WEEKDAY(M63,2)+1-7,""))</f>
        <v/>
      </c>
      <c r="L63" s="12" t="str">
        <f>IF(ISNUMBER(I63),I63,IF(ISNUMBER(H63),WORKDAY(H63,SprintWorkingDays-1),IF(ISNUMBER(K63),WORKDAY(K63,SprintWorkingDays-1),"")))</f>
        <v/>
      </c>
      <c r="M63" s="12" t="str">
        <f>IF(ISNUMBER(J63),J63,IF(ISNUMBER(I63),I63-IF(OR(WEEKDAY(I63,2)=2,WEEKDAY(I63,2)=4),0,IF(WEEKDAY(I63,2)=3,1,IF(WEEKDAY(I63,2)=1,4,WEEKDAY(I63,2)-4))),IF(ISNUMBER(H63),WORKDAY(H63,SprintWorkingDays-1)-IF(OR(WEEKDAY(WORKDAY(H63,SprintWorkingDays-1),2)=2,WEEKDAY(WORKDAY(H63,SprintWorkingDays-1),2)=4),0,IF(WEEKDAY(WORKDAY(H63,SprintWorkingDays-1),2)=3,1,IF(WEEKDAY(WORKDAY(H63,SprintWorkingDays-1),2)=1,4,WEEKDAY(WORKDAY(H63,SprintWorkingDays-1),2)-4))),"")))</f>
        <v/>
      </c>
      <c r="N63" s="12" t="str">
        <f>IF(NOT(ISNUMBER(K63)),"",WORKDAY(K63,ReadyOffsetWD))</f>
        <v/>
      </c>
      <c r="O63" s="12" t="str">
        <f>IF(NOT(ISNUMBER(K63)),"",WORKDAY(K63,SprintReadinessOffsetWD))</f>
        <v/>
      </c>
      <c r="P63" s="10"/>
      <c r="Q63" s="12" t="str">
        <f>IF(A63="","",IF(V63="N/A",IF(NOT(ISNUMBER(W63)),"",WORKDAY(W63,RTSKOffsetFromOUR_WD)),IF(NOT(ISNUMBER(T63)),"",WORKDAY(T63,RTSKOffsetFromOUR_WD))))</f>
        <v/>
      </c>
      <c r="R63" s="15"/>
      <c r="S63" s="10"/>
      <c r="T63" s="12" t="str">
        <f>IF(OR(A63="",V63="N/A"),"",IF(NOT(ISNUMBER(W63)),"",WORKDAY(W63,OUROffsetFromSR_WD)))</f>
        <v/>
      </c>
      <c r="U63" s="15"/>
      <c r="V63" s="10"/>
      <c r="W63" s="12" t="str">
        <f>IF(OR(A63="",NOT(ISNUMBER(K63))),"",WORKDAY(K63,SROffsetFromStartWD))</f>
        <v/>
      </c>
      <c r="X63" s="15"/>
      <c r="Y63" s="10"/>
      <c r="Z63" s="10"/>
      <c r="AA63" s="12" t="str">
        <f>IF(OR(Z63="",Z63="N/A"),"",IF(ISNUMBER(Q63),Q63,""))</f>
        <v/>
      </c>
      <c r="AB63" s="15"/>
      <c r="AC63" s="10"/>
      <c r="AD63" s="10"/>
      <c r="AE63" s="10"/>
      <c r="AF63" s="10" t="str">
        <f>IF(Z63="N/A","N/A","")</f>
        <v/>
      </c>
      <c r="AG63" s="12" t="str">
        <f>IF(NOT(ISNUMBER(Q63)),"",Q63)</f>
        <v/>
      </c>
      <c r="AH63" s="15"/>
      <c r="AI63" s="10"/>
      <c r="AJ63" s="12" t="str">
        <f>IF(OR(AL63="N/A",NOT(ISNUMBER(T63))),"",T63)</f>
        <v/>
      </c>
      <c r="AK63" s="15"/>
      <c r="AL63" s="10"/>
      <c r="AM63" s="12" t="str">
        <f>IF(NOT(ISNUMBER(W63)),"",W63)</f>
        <v/>
      </c>
      <c r="AN63" s="15"/>
      <c r="AO63" s="10"/>
      <c r="AP63" s="12" t="str">
        <f>IF(OR(Z63="",Z63="N/A"),"",IF(ISNUMBER(AG63),AG63,""))</f>
        <v/>
      </c>
      <c r="AQ63" s="15"/>
      <c r="AR63" s="10"/>
      <c r="AS63" s="10"/>
      <c r="AT63" s="10"/>
      <c r="AU63" s="12" t="str">
        <f>IF(NOT(ISNUMBER(Q63)),"",Q63)</f>
        <v/>
      </c>
      <c r="AV63" s="15"/>
      <c r="AW63" s="10"/>
      <c r="AX63" s="12" t="str">
        <f>IF(OR(AZ63="N/A",NOT(ISNUMBER(T63))),"",T63)</f>
        <v/>
      </c>
      <c r="AY63" s="15"/>
      <c r="AZ63" s="10"/>
      <c r="BA63" s="12" t="str">
        <f>IF(NOT(ISNUMBER(W63)),"",W63)</f>
        <v/>
      </c>
      <c r="BB63" s="15"/>
      <c r="BC63" s="10"/>
      <c r="BD63" s="12" t="str">
        <f>IF(OR(Z63="",Z63="N/A"),"",IF(ISNUMBER(AU63),AU63,""))</f>
        <v/>
      </c>
      <c r="BE63" s="15"/>
      <c r="BF63" s="10"/>
      <c r="BG63" s="10"/>
      <c r="BH63" s="10"/>
      <c r="BI63" s="12" t="e">
        <f>IF(OR(A63="",NOT(ISNUMBER(M63)),AND(WEEKDAY(M63,2)&lt;&gt;2,WEEKDAY(M63,2)&lt;&gt;4)),"",WORKDAY(M63,CABOffsetFromReleaseWD))</f>
        <v>#VALUE!</v>
      </c>
      <c r="BJ63" s="10"/>
      <c r="BK63" s="12" t="str">
        <f>IF(NOT(ISNUMBER(BI63)),"",IF(WEEKDAY(BI63-CodeReviewCalendarDays,2)&gt;5,BI63-CodeReviewCalendarDays-(WEEKDAY(BI63-CodeReviewCalendarDays,2)-5),BI63-CodeReviewCalendarDays))</f>
        <v/>
      </c>
      <c r="BL63" s="10"/>
      <c r="BM63" s="12" t="str">
        <f>IF(NOT(ISNUMBER(BK63)),"",IF(WEEKDAY(BK63-CodeReviewInviteCalendarDays,2)&gt;5,BK63-CodeReviewInviteCalendarDays-(WEEKDAY(BK63-CodeReviewInviteCalendarDays,2)-5),BK63-CodeReviewInviteCalendarDays))</f>
        <v/>
      </c>
      <c r="BN63" s="10"/>
      <c r="BO63" s="10"/>
      <c r="BP63" s="16" t="str">
        <f ca="1">IF(A63="","",IF(IF(AND(ISNUMBER(J63),WEEKDAY(J63,2)&lt;&gt;2,WEEKDAY(J63,2)&lt;&gt;4)," | Release must be Tuesday or Thursday","")&amp;IF(AND(ISNUMBER(H63),WEEKDAY(H63,2)&lt;&gt;1)," | Sprint Start is not a Monday - dates still calculated from the date entered","")&amp;IF(AND(A63&lt;&gt;"",NOT(ISNUMBER(H63)),NOT(ISNUMBER(J63)))," | Enter Sprint Start or Release Date","")&amp;IF(AND(ISNUMBER(F63),F63&lt;TODAY(),D63&lt;&gt;"Completed")," | One or more raise-by dates are in the past and not completed","")&amp;IF(AND(ISNUMBER(K63),K63-TODAY()&lt;SprintWarningDays,K63&gt;=TODAY(),OR(D63="Yet to start",D63="Blocked"))," | Sprint starts in under 10 days - raise access requests now","")&amp;IF(AND(ISNUMBER(BM63),BN63&lt;&gt;"Completed",BN63&lt;&gt;"N/A",BM63-TODAY()&lt;CodeReviewInviteCalendarDays)," | Code Review invite should be sent at least 4 days before Code Review","")="","",MID(IF(AND(ISNUMBER(J63),WEEKDAY(J63,2)&lt;&gt;2,WEEKDAY(J63,2)&lt;&gt;4)," | Release must be Tuesday or Thursday","")&amp;IF(AND(ISNUMBER(H63),WEEKDAY(H63,2)&lt;&gt;1)," | Sprint Start is not a Monday - dates still calculated from the date entered","")&amp;IF(AND(A63&lt;&gt;"",NOT(ISNUMBER(H63)),NOT(ISNUMBER(J63)))," | Enter Sprint Start or Release Date","")&amp;IF(AND(ISNUMBER(F63),F63&lt;TODAY(),D63&lt;&gt;"Completed")," | One or more raise-by dates are in the past and not completed","")&amp;IF(AND(ISNUMBER(K63),K63-TODAY()&lt;SprintWarningDays,K63&gt;=TODAY(),OR(D63="Yet to start",D63="Blocked"))," | Sprint starts in under 10 days - raise access requests now","")&amp;IF(AND(ISNUMBER(BM63),BN63&lt;&gt;"Completed",BN63&lt;&gt;"N/A",BM63-TODAY()&lt;CodeReviewInviteCalendarDays)," | Code Review invite should be sent at least 4 days before Code Review",""),4,500)))</f>
        <v/>
      </c>
      <c r="BQ63" s="1" t="str">
        <f>IF(AND(ISNUMBER(Q63),S63&lt;&gt;"Completed",S63&lt;&gt;"N/A"),Q63,"")</f>
        <v/>
      </c>
      <c r="BR63" s="1" t="str">
        <f>IF(AND(ISNUMBER(T63),V63&lt;&gt;"Completed",V63&lt;&gt;"N/A"),T63,"")</f>
        <v/>
      </c>
      <c r="BS63" s="1" t="str">
        <f>IF(AND(ISNUMBER(W63),Y63&lt;&gt;"Completed",Y63&lt;&gt;"N/A"),W63,"")</f>
        <v/>
      </c>
      <c r="BT63" s="1" t="str">
        <f>IF(AND(ISNUMBER(AA63),AC63&lt;&gt;"Completed",AC63&lt;&gt;"N/A"),AA63,"")</f>
        <v/>
      </c>
      <c r="BU63" s="1" t="str">
        <f>IF(AND(ISNUMBER(AG63),AI63&lt;&gt;"Completed",AI63&lt;&gt;"N/A"),AG63,"")</f>
        <v/>
      </c>
      <c r="BV63" s="1" t="str">
        <f>IF(AND(ISNUMBER(AJ63),AL63&lt;&gt;"Completed",AL63&lt;&gt;"N/A"),AJ63,"")</f>
        <v/>
      </c>
      <c r="BW63" s="1" t="str">
        <f>IF(AND(ISNUMBER(AM63),AO63&lt;&gt;"Completed",AO63&lt;&gt;"N/A"),AM63,"")</f>
        <v/>
      </c>
      <c r="BX63" s="1" t="str">
        <f>IF(AND(ISNUMBER(AP63),AR63&lt;&gt;"Completed",AR63&lt;&gt;"N/A"),AP63,"")</f>
        <v/>
      </c>
      <c r="BY63" s="1" t="str">
        <f>IF(AND(ISNUMBER(AU63),AW63&lt;&gt;"Completed",AW63&lt;&gt;"N/A"),AU63,"")</f>
        <v/>
      </c>
      <c r="BZ63" s="1" t="str">
        <f>IF(AND(ISNUMBER(AX63),AZ63&lt;&gt;"Completed",AZ63&lt;&gt;"N/A"),AX63,"")</f>
        <v/>
      </c>
      <c r="CA63" s="1" t="str">
        <f>IF(AND(ISNUMBER(BA63),BC63&lt;&gt;"Completed",BC63&lt;&gt;"N/A"),BA63,"")</f>
        <v/>
      </c>
      <c r="CB63" s="1" t="str">
        <f>IF(AND(ISNUMBER(BD63),BF63&lt;&gt;"Completed",BF63&lt;&gt;"N/A"),BD63,"")</f>
        <v/>
      </c>
      <c r="CC63" s="1" t="str">
        <f>IF(AND(ISNUMBER(O63),P63&lt;&gt;"Completed",P63&lt;&gt;"N/A"),O63,"")</f>
        <v/>
      </c>
      <c r="CD63" s="1" t="str">
        <f>IF(AND(ISNUMBER(BM63),BN63&lt;&gt;"Completed",BN63&lt;&gt;"N/A"),BM63,"")</f>
        <v/>
      </c>
      <c r="CE63" s="1" t="str">
        <f>IF(AND(ISNUMBER(BK63),BL63&lt;&gt;"Completed",BL63&lt;&gt;"N/A"),BK63,"")</f>
        <v/>
      </c>
      <c r="CF63" s="1" t="str">
        <f>IF(AND(ISNUMBER(BI63),BJ63&lt;&gt;"Completed",BJ63&lt;&gt;"N/A"),BI63,"")</f>
        <v/>
      </c>
      <c r="CG63" s="1" t="str">
        <f ca="1">IF(OR(A63="",D63="Completed"),"",IF(N(G63)&gt;0,1/(N(G63)+ROW()/100000),IF(ISNUMBER(F63),1000+F63+ROW()/100000,TODAY()+400+ROW()/100000)))</f>
        <v/>
      </c>
    </row>
    <row r="64" spans="1:85" ht="15.95" customHeight="1">
      <c r="A64" s="17"/>
      <c r="B64" s="17"/>
      <c r="C64" s="17"/>
      <c r="D64" s="11" t="str">
        <f>IF(A64="","",IF(((S64="Blocked")+(V64="Blocked")+(Y64="Blocked")+(AC64="Blocked")+(AI64="Blocked")+(AL64="Blocked")+(AO64="Blocked")+(AR64="Blocked")+(AW64="Blocked")+(AZ64="Blocked")+(BC64="Blocked")+(BF64="Blocked")+(P64="Blocked")+(BJ64="Blocked")+(BL64="Blocked")+(BN64="Blocked")+(BO64="Blocked"))&gt;0,"Blocked",IF((ISNUMBER(Q64)+ISNUMBER(T64)+ISNUMBER(W64)+ISNUMBER(AA64)+ISNUMBER(AG64)+ISNUMBER(AJ64)+ISNUMBER(AM64)+ISNUMBER(AP64)+ISNUMBER(AU64)+ISNUMBER(AX64)+ISNUMBER(BA64)+ISNUMBER(BD64)+ISNUMBER(O64)+ISNUMBER(BI64)+ISNUMBER(BK64)+ISNUMBER(BM64))=0,"Yet to start",IF(AND(OR(NOT(ISNUMBER(Q64)),S64="Completed",S64="N/A"),OR(NOT(ISNUMBER(T64)),V64="Completed",V64="N/A"),OR(NOT(ISNUMBER(W64)),Y64="Completed",Y64="N/A"),OR(NOT(ISNUMBER(AA64)),AC64="Completed",AC64="N/A"),OR(NOT(ISNUMBER(AG64)),AI64="Completed",AI64="N/A"),OR(NOT(ISNUMBER(AJ64)),AL64="Completed",AL64="N/A"),OR(NOT(ISNUMBER(AM64)),AO64="Completed",AO64="N/A"),OR(NOT(ISNUMBER(AP64)),AR64="Completed",AR64="N/A"),OR(NOT(ISNUMBER(AU64)),AW64="Completed",AW64="N/A"),OR(NOT(ISNUMBER(AX64)),AZ64="Completed",AZ64="N/A"),OR(NOT(ISNUMBER(BA64)),BC64="Completed",BC64="N/A"),OR(NOT(ISNUMBER(BD64)),BF64="Completed",BF64="N/A"),OR(NOT(ISNUMBER(O64)),P64="Completed",P64="N/A"),OR(NOT(ISNUMBER(BI64)),BJ64="Completed",BJ64="N/A"),OR(NOT(ISNUMBER(BK64)),BL64="Completed",BL64="N/A"),OR(NOT(ISNUMBER(BM64)),BN64="Completed",BN64="N/A"),OR(BO64="Completed",BO64="N/A")),"Completed",IF(((S64="In Progress")+(V64="In Progress")+(Y64="In Progress")+(AC64="In Progress")+(AI64="In Progress")+(AL64="In Progress")+(AO64="In Progress")+(AR64="In Progress")+(AW64="In Progress")+(AZ64="In Progress")+(BC64="In Progress")+(BF64="In Progress")+(P64="In Progress")+(BJ64="In Progress")+(BL64="In Progress")+(BN64="In Progress")+(BO64="In Progress"))&gt;0,"In Progress","Yet to start")))))</f>
        <v/>
      </c>
      <c r="E64" s="11" t="str">
        <f>IF(A64="","",IF(F64="","All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Review","CAB"},MATCH(F64,BQ64:CF64,0))))</f>
        <v/>
      </c>
      <c r="F64" s="12" t="str">
        <f>IF(A64="","",IF(COUNT(BQ64:CF64)=0,"",MIN(BQ64:CF64)))</f>
        <v/>
      </c>
      <c r="G64" s="13" t="str">
        <f ca="1">IF(A64="","",MAX(0,IF(AND(ISNUMBER(Q64),S64&lt;&gt;"Completed",S64&lt;&gt;"N/A",Q64&lt;TODAY()),TODAY()-Q64,0),IF(AND(ISNUMBER(T64),V64&lt;&gt;"Completed",V64&lt;&gt;"N/A",T64&lt;TODAY()),TODAY()-T64,0),IF(AND(ISNUMBER(W64),Y64&lt;&gt;"Completed",Y64&lt;&gt;"N/A",W64&lt;TODAY()),TODAY()-W64,0),IF(AND(ISNUMBER(AA64),AC64&lt;&gt;"Completed",AC64&lt;&gt;"N/A",AA64&lt;TODAY()),TODAY()-AA64,0),IF(AND(ISNUMBER(AG64),AI64&lt;&gt;"Completed",AI64&lt;&gt;"N/A",AG64&lt;TODAY()),TODAY()-AG64,0),IF(AND(ISNUMBER(AJ64),AL64&lt;&gt;"Completed",AL64&lt;&gt;"N/A",AJ64&lt;TODAY()),TODAY()-AJ64,0),IF(AND(ISNUMBER(AM64),AO64&lt;&gt;"Completed",AO64&lt;&gt;"N/A",AM64&lt;TODAY()),TODAY()-AM64,0),IF(AND(ISNUMBER(AP64),AR64&lt;&gt;"Completed",AR64&lt;&gt;"N/A",AP64&lt;TODAY()),TODAY()-AP64,0),IF(AND(ISNUMBER(AU64),AW64&lt;&gt;"Completed",AW64&lt;&gt;"N/A",AU64&lt;TODAY()),TODAY()-AU64,0),IF(AND(ISNUMBER(AX64),AZ64&lt;&gt;"Completed",AZ64&lt;&gt;"N/A",AX64&lt;TODAY()),TODAY()-AX64,0),IF(AND(ISNUMBER(BA64),BC64&lt;&gt;"Completed",BC64&lt;&gt;"N/A",BA64&lt;TODAY()),TODAY()-BA64,0),IF(AND(ISNUMBER(BD64),BF64&lt;&gt;"Completed",BF64&lt;&gt;"N/A",BD64&lt;TODAY()),TODAY()-BD64,0),IF(AND(ISNUMBER(O64),P64&lt;&gt;"Completed",P64&lt;&gt;"N/A",O64&lt;TODAY()),TODAY()-O64,0),IF(AND(ISNUMBER(BM64),BN64&lt;&gt;"Completed",BN64&lt;&gt;"N/A",BM64&lt;TODAY()),TODAY()-BM64,0),IF(AND(ISNUMBER(BK64),BL64&lt;&gt;"Completed",BL64&lt;&gt;"N/A",BK64&lt;TODAY()),TODAY()-BK64,0),IF(AND(ISNUMBER(BI64),BJ64&lt;&gt;"Completed",BJ64&lt;&gt;"N/A",BI64&lt;TODAY()),TODAY()-BI64,0)))</f>
        <v/>
      </c>
      <c r="H64" s="15"/>
      <c r="I64" s="15"/>
      <c r="J64" s="15"/>
      <c r="K64" s="12" t="str">
        <f>IF(ISNUMBER(H64),H64,IF(ISNUMBER(M64),M64-WEEKDAY(M64,2)+1-7,""))</f>
        <v/>
      </c>
      <c r="L64" s="12" t="str">
        <f>IF(ISNUMBER(I64),I64,IF(ISNUMBER(H64),WORKDAY(H64,SprintWorkingDays-1),IF(ISNUMBER(K64),WORKDAY(K64,SprintWorkingDays-1),"")))</f>
        <v/>
      </c>
      <c r="M64" s="12" t="str">
        <f>IF(ISNUMBER(J64),J64,IF(ISNUMBER(I64),I64-IF(OR(WEEKDAY(I64,2)=2,WEEKDAY(I64,2)=4),0,IF(WEEKDAY(I64,2)=3,1,IF(WEEKDAY(I64,2)=1,4,WEEKDAY(I64,2)-4))),IF(ISNUMBER(H64),WORKDAY(H64,SprintWorkingDays-1)-IF(OR(WEEKDAY(WORKDAY(H64,SprintWorkingDays-1),2)=2,WEEKDAY(WORKDAY(H64,SprintWorkingDays-1),2)=4),0,IF(WEEKDAY(WORKDAY(H64,SprintWorkingDays-1),2)=3,1,IF(WEEKDAY(WORKDAY(H64,SprintWorkingDays-1),2)=1,4,WEEKDAY(WORKDAY(H64,SprintWorkingDays-1),2)-4))),"")))</f>
        <v/>
      </c>
      <c r="N64" s="12" t="str">
        <f>IF(NOT(ISNUMBER(K64)),"",WORKDAY(K64,ReadyOffsetWD))</f>
        <v/>
      </c>
      <c r="O64" s="12" t="str">
        <f>IF(NOT(ISNUMBER(K64)),"",WORKDAY(K64,SprintReadinessOffsetWD))</f>
        <v/>
      </c>
      <c r="P64" s="10"/>
      <c r="Q64" s="12" t="str">
        <f>IF(A64="","",IF(V64="N/A",IF(NOT(ISNUMBER(W64)),"",WORKDAY(W64,RTSKOffsetFromOUR_WD)),IF(NOT(ISNUMBER(T64)),"",WORKDAY(T64,RTSKOffsetFromOUR_WD))))</f>
        <v/>
      </c>
      <c r="R64" s="15"/>
      <c r="S64" s="10"/>
      <c r="T64" s="12" t="str">
        <f>IF(OR(A64="",V64="N/A"),"",IF(NOT(ISNUMBER(W64)),"",WORKDAY(W64,OUROffsetFromSR_WD)))</f>
        <v/>
      </c>
      <c r="U64" s="15"/>
      <c r="V64" s="10"/>
      <c r="W64" s="12" t="str">
        <f>IF(OR(A64="",NOT(ISNUMBER(K64))),"",WORKDAY(K64,SROffsetFromStartWD))</f>
        <v/>
      </c>
      <c r="X64" s="15"/>
      <c r="Y64" s="10"/>
      <c r="Z64" s="10"/>
      <c r="AA64" s="12" t="str">
        <f>IF(OR(Z64="",Z64="N/A"),"",IF(ISNUMBER(Q64),Q64,""))</f>
        <v/>
      </c>
      <c r="AB64" s="15"/>
      <c r="AC64" s="10"/>
      <c r="AD64" s="10"/>
      <c r="AE64" s="10"/>
      <c r="AF64" s="10" t="str">
        <f>IF(Z64="N/A","N/A","")</f>
        <v/>
      </c>
      <c r="AG64" s="12" t="str">
        <f>IF(NOT(ISNUMBER(Q64)),"",Q64)</f>
        <v/>
      </c>
      <c r="AH64" s="15"/>
      <c r="AI64" s="10"/>
      <c r="AJ64" s="12" t="str">
        <f>IF(OR(AL64="N/A",NOT(ISNUMBER(T64))),"",T64)</f>
        <v/>
      </c>
      <c r="AK64" s="15"/>
      <c r="AL64" s="10"/>
      <c r="AM64" s="12" t="str">
        <f>IF(NOT(ISNUMBER(W64)),"",W64)</f>
        <v/>
      </c>
      <c r="AN64" s="15"/>
      <c r="AO64" s="10"/>
      <c r="AP64" s="12" t="str">
        <f>IF(OR(Z64="",Z64="N/A"),"",IF(ISNUMBER(AG64),AG64,""))</f>
        <v/>
      </c>
      <c r="AQ64" s="15"/>
      <c r="AR64" s="10"/>
      <c r="AS64" s="10"/>
      <c r="AT64" s="10"/>
      <c r="AU64" s="12" t="str">
        <f>IF(NOT(ISNUMBER(Q64)),"",Q64)</f>
        <v/>
      </c>
      <c r="AV64" s="15"/>
      <c r="AW64" s="10"/>
      <c r="AX64" s="12" t="str">
        <f>IF(OR(AZ64="N/A",NOT(ISNUMBER(T64))),"",T64)</f>
        <v/>
      </c>
      <c r="AY64" s="15"/>
      <c r="AZ64" s="10"/>
      <c r="BA64" s="12" t="str">
        <f>IF(NOT(ISNUMBER(W64)),"",W64)</f>
        <v/>
      </c>
      <c r="BB64" s="15"/>
      <c r="BC64" s="10"/>
      <c r="BD64" s="12" t="str">
        <f>IF(OR(Z64="",Z64="N/A"),"",IF(ISNUMBER(AU64),AU64,""))</f>
        <v/>
      </c>
      <c r="BE64" s="15"/>
      <c r="BF64" s="10"/>
      <c r="BG64" s="10"/>
      <c r="BH64" s="10"/>
      <c r="BI64" s="12" t="e">
        <f>IF(OR(A64="",NOT(ISNUMBER(M64)),AND(WEEKDAY(M64,2)&lt;&gt;2,WEEKDAY(M64,2)&lt;&gt;4)),"",WORKDAY(M64,CABOffsetFromReleaseWD))</f>
        <v>#VALUE!</v>
      </c>
      <c r="BJ64" s="10"/>
      <c r="BK64" s="12" t="str">
        <f>IF(NOT(ISNUMBER(BI64)),"",IF(WEEKDAY(BI64-CodeReviewCalendarDays,2)&gt;5,BI64-CodeReviewCalendarDays-(WEEKDAY(BI64-CodeReviewCalendarDays,2)-5),BI64-CodeReviewCalendarDays))</f>
        <v/>
      </c>
      <c r="BL64" s="10"/>
      <c r="BM64" s="12" t="str">
        <f>IF(NOT(ISNUMBER(BK64)),"",IF(WEEKDAY(BK64-CodeReviewInviteCalendarDays,2)&gt;5,BK64-CodeReviewInviteCalendarDays-(WEEKDAY(BK64-CodeReviewInviteCalendarDays,2)-5),BK64-CodeReviewInviteCalendarDays))</f>
        <v/>
      </c>
      <c r="BN64" s="10"/>
      <c r="BO64" s="10"/>
      <c r="BP64" s="16" t="str">
        <f ca="1">IF(A64="","",IF(IF(AND(ISNUMBER(J64),WEEKDAY(J64,2)&lt;&gt;2,WEEKDAY(J64,2)&lt;&gt;4)," | Release must be Tuesday or Thursday","")&amp;IF(AND(ISNUMBER(H64),WEEKDAY(H64,2)&lt;&gt;1)," | Sprint Start is not a Monday - dates still calculated from the date entered","")&amp;IF(AND(A64&lt;&gt;"",NOT(ISNUMBER(H64)),NOT(ISNUMBER(J64)))," | Enter Sprint Start or Release Date","")&amp;IF(AND(ISNUMBER(F64),F64&lt;TODAY(),D64&lt;&gt;"Completed")," | One or more raise-by dates are in the past and not completed","")&amp;IF(AND(ISNUMBER(K64),K64-TODAY()&lt;SprintWarningDays,K64&gt;=TODAY(),OR(D64="Yet to start",D64="Blocked"))," | Sprint starts in under 10 days - raise access requests now","")&amp;IF(AND(ISNUMBER(BM64),BN64&lt;&gt;"Completed",BN64&lt;&gt;"N/A",BM64-TODAY()&lt;CodeReviewInviteCalendarDays)," | Code Review invite should be sent at least 4 days before Code Review","")="","",MID(IF(AND(ISNUMBER(J64),WEEKDAY(J64,2)&lt;&gt;2,WEEKDAY(J64,2)&lt;&gt;4)," | Release must be Tuesday or Thursday","")&amp;IF(AND(ISNUMBER(H64),WEEKDAY(H64,2)&lt;&gt;1)," | Sprint Start is not a Monday - dates still calculated from the date entered","")&amp;IF(AND(A64&lt;&gt;"",NOT(ISNUMBER(H64)),NOT(ISNUMBER(J64)))," | Enter Sprint Start or Release Date","")&amp;IF(AND(ISNUMBER(F64),F64&lt;TODAY(),D64&lt;&gt;"Completed")," | One or more raise-by dates are in the past and not completed","")&amp;IF(AND(ISNUMBER(K64),K64-TODAY()&lt;SprintWarningDays,K64&gt;=TODAY(),OR(D64="Yet to start",D64="Blocked"))," | Sprint starts in under 10 days - raise access requests now","")&amp;IF(AND(ISNUMBER(BM64),BN64&lt;&gt;"Completed",BN64&lt;&gt;"N/A",BM64-TODAY()&lt;CodeReviewInviteCalendarDays)," | Code Review invite should be sent at least 4 days before Code Review",""),4,500)))</f>
        <v/>
      </c>
      <c r="BQ64" s="1" t="str">
        <f>IF(AND(ISNUMBER(Q64),S64&lt;&gt;"Completed",S64&lt;&gt;"N/A"),Q64,"")</f>
        <v/>
      </c>
      <c r="BR64" s="1" t="str">
        <f>IF(AND(ISNUMBER(T64),V64&lt;&gt;"Completed",V64&lt;&gt;"N/A"),T64,"")</f>
        <v/>
      </c>
      <c r="BS64" s="1" t="str">
        <f>IF(AND(ISNUMBER(W64),Y64&lt;&gt;"Completed",Y64&lt;&gt;"N/A"),W64,"")</f>
        <v/>
      </c>
      <c r="BT64" s="1" t="str">
        <f>IF(AND(ISNUMBER(AA64),AC64&lt;&gt;"Completed",AC64&lt;&gt;"N/A"),AA64,"")</f>
        <v/>
      </c>
      <c r="BU64" s="1" t="str">
        <f>IF(AND(ISNUMBER(AG64),AI64&lt;&gt;"Completed",AI64&lt;&gt;"N/A"),AG64,"")</f>
        <v/>
      </c>
      <c r="BV64" s="1" t="str">
        <f>IF(AND(ISNUMBER(AJ64),AL64&lt;&gt;"Completed",AL64&lt;&gt;"N/A"),AJ64,"")</f>
        <v/>
      </c>
      <c r="BW64" s="1" t="str">
        <f>IF(AND(ISNUMBER(AM64),AO64&lt;&gt;"Completed",AO64&lt;&gt;"N/A"),AM64,"")</f>
        <v/>
      </c>
      <c r="BX64" s="1" t="str">
        <f>IF(AND(ISNUMBER(AP64),AR64&lt;&gt;"Completed",AR64&lt;&gt;"N/A"),AP64,"")</f>
        <v/>
      </c>
      <c r="BY64" s="1" t="str">
        <f>IF(AND(ISNUMBER(AU64),AW64&lt;&gt;"Completed",AW64&lt;&gt;"N/A"),AU64,"")</f>
        <v/>
      </c>
      <c r="BZ64" s="1" t="str">
        <f>IF(AND(ISNUMBER(AX64),AZ64&lt;&gt;"Completed",AZ64&lt;&gt;"N/A"),AX64,"")</f>
        <v/>
      </c>
      <c r="CA64" s="1" t="str">
        <f>IF(AND(ISNUMBER(BA64),BC64&lt;&gt;"Completed",BC64&lt;&gt;"N/A"),BA64,"")</f>
        <v/>
      </c>
      <c r="CB64" s="1" t="str">
        <f>IF(AND(ISNUMBER(BD64),BF64&lt;&gt;"Completed",BF64&lt;&gt;"N/A"),BD64,"")</f>
        <v/>
      </c>
      <c r="CC64" s="1" t="str">
        <f>IF(AND(ISNUMBER(O64),P64&lt;&gt;"Completed",P64&lt;&gt;"N/A"),O64,"")</f>
        <v/>
      </c>
      <c r="CD64" s="1" t="str">
        <f>IF(AND(ISNUMBER(BM64),BN64&lt;&gt;"Completed",BN64&lt;&gt;"N/A"),BM64,"")</f>
        <v/>
      </c>
      <c r="CE64" s="1" t="str">
        <f>IF(AND(ISNUMBER(BK64),BL64&lt;&gt;"Completed",BL64&lt;&gt;"N/A"),BK64,"")</f>
        <v/>
      </c>
      <c r="CF64" s="1" t="str">
        <f>IF(AND(ISNUMBER(BI64),BJ64&lt;&gt;"Completed",BJ64&lt;&gt;"N/A"),BI64,"")</f>
        <v/>
      </c>
      <c r="CG64" s="1" t="str">
        <f ca="1">IF(OR(A64="",D64="Completed"),"",IF(N(G64)&gt;0,1/(N(G64)+ROW()/100000),IF(ISNUMBER(F64),1000+F64+ROW()/100000,TODAY()+400+ROW()/100000)))</f>
        <v/>
      </c>
    </row>
    <row r="65" spans="1:85" ht="15.95" customHeight="1">
      <c r="A65" s="17"/>
      <c r="B65" s="17"/>
      <c r="C65" s="17"/>
      <c r="D65" s="11" t="str">
        <f>IF(A65="","",IF(((S65="Blocked")+(V65="Blocked")+(Y65="Blocked")+(AC65="Blocked")+(AI65="Blocked")+(AL65="Blocked")+(AO65="Blocked")+(AR65="Blocked")+(AW65="Blocked")+(AZ65="Blocked")+(BC65="Blocked")+(BF65="Blocked")+(P65="Blocked")+(BJ65="Blocked")+(BL65="Blocked")+(BN65="Blocked")+(BO65="Blocked"))&gt;0,"Blocked",IF((ISNUMBER(Q65)+ISNUMBER(T65)+ISNUMBER(W65)+ISNUMBER(AA65)+ISNUMBER(AG65)+ISNUMBER(AJ65)+ISNUMBER(AM65)+ISNUMBER(AP65)+ISNUMBER(AU65)+ISNUMBER(AX65)+ISNUMBER(BA65)+ISNUMBER(BD65)+ISNUMBER(O65)+ISNUMBER(BI65)+ISNUMBER(BK65)+ISNUMBER(BM65))=0,"Yet to start",IF(AND(OR(NOT(ISNUMBER(Q65)),S65="Completed",S65="N/A"),OR(NOT(ISNUMBER(T65)),V65="Completed",V65="N/A"),OR(NOT(ISNUMBER(W65)),Y65="Completed",Y65="N/A"),OR(NOT(ISNUMBER(AA65)),AC65="Completed",AC65="N/A"),OR(NOT(ISNUMBER(AG65)),AI65="Completed",AI65="N/A"),OR(NOT(ISNUMBER(AJ65)),AL65="Completed",AL65="N/A"),OR(NOT(ISNUMBER(AM65)),AO65="Completed",AO65="N/A"),OR(NOT(ISNUMBER(AP65)),AR65="Completed",AR65="N/A"),OR(NOT(ISNUMBER(AU65)),AW65="Completed",AW65="N/A"),OR(NOT(ISNUMBER(AX65)),AZ65="Completed",AZ65="N/A"),OR(NOT(ISNUMBER(BA65)),BC65="Completed",BC65="N/A"),OR(NOT(ISNUMBER(BD65)),BF65="Completed",BF65="N/A"),OR(NOT(ISNUMBER(O65)),P65="Completed",P65="N/A"),OR(NOT(ISNUMBER(BI65)),BJ65="Completed",BJ65="N/A"),OR(NOT(ISNUMBER(BK65)),BL65="Completed",BL65="N/A"),OR(NOT(ISNUMBER(BM65)),BN65="Completed",BN65="N/A"),OR(BO65="Completed",BO65="N/A")),"Completed",IF(((S65="In Progress")+(V65="In Progress")+(Y65="In Progress")+(AC65="In Progress")+(AI65="In Progress")+(AL65="In Progress")+(AO65="In Progress")+(AR65="In Progress")+(AW65="In Progress")+(AZ65="In Progress")+(BC65="In Progress")+(BF65="In Progress")+(P65="In Progress")+(BJ65="In Progress")+(BL65="In Progress")+(BN65="In Progress")+(BO65="In Progress"))&gt;0,"In Progress","Yet to start")))))</f>
        <v/>
      </c>
      <c r="E65" s="11" t="str">
        <f>IF(A65="","",IF(F65="","All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Review","CAB"},MATCH(F65,BQ65:CF65,0))))</f>
        <v/>
      </c>
      <c r="F65" s="12" t="str">
        <f>IF(A65="","",IF(COUNT(BQ65:CF65)=0,"",MIN(BQ65:CF65)))</f>
        <v/>
      </c>
      <c r="G65" s="13" t="str">
        <f ca="1">IF(A65="","",MAX(0,IF(AND(ISNUMBER(Q65),S65&lt;&gt;"Completed",S65&lt;&gt;"N/A",Q65&lt;TODAY()),TODAY()-Q65,0),IF(AND(ISNUMBER(T65),V65&lt;&gt;"Completed",V65&lt;&gt;"N/A",T65&lt;TODAY()),TODAY()-T65,0),IF(AND(ISNUMBER(W65),Y65&lt;&gt;"Completed",Y65&lt;&gt;"N/A",W65&lt;TODAY()),TODAY()-W65,0),IF(AND(ISNUMBER(AA65),AC65&lt;&gt;"Completed",AC65&lt;&gt;"N/A",AA65&lt;TODAY()),TODAY()-AA65,0),IF(AND(ISNUMBER(AG65),AI65&lt;&gt;"Completed",AI65&lt;&gt;"N/A",AG65&lt;TODAY()),TODAY()-AG65,0),IF(AND(ISNUMBER(AJ65),AL65&lt;&gt;"Completed",AL65&lt;&gt;"N/A",AJ65&lt;TODAY()),TODAY()-AJ65,0),IF(AND(ISNUMBER(AM65),AO65&lt;&gt;"Completed",AO65&lt;&gt;"N/A",AM65&lt;TODAY()),TODAY()-AM65,0),IF(AND(ISNUMBER(AP65),AR65&lt;&gt;"Completed",AR65&lt;&gt;"N/A",AP65&lt;TODAY()),TODAY()-AP65,0),IF(AND(ISNUMBER(AU65),AW65&lt;&gt;"Completed",AW65&lt;&gt;"N/A",AU65&lt;TODAY()),TODAY()-AU65,0),IF(AND(ISNUMBER(AX65),AZ65&lt;&gt;"Completed",AZ65&lt;&gt;"N/A",AX65&lt;TODAY()),TODAY()-AX65,0),IF(AND(ISNUMBER(BA65),BC65&lt;&gt;"Completed",BC65&lt;&gt;"N/A",BA65&lt;TODAY()),TODAY()-BA65,0),IF(AND(ISNUMBER(BD65),BF65&lt;&gt;"Completed",BF65&lt;&gt;"N/A",BD65&lt;TODAY()),TODAY()-BD65,0),IF(AND(ISNUMBER(O65),P65&lt;&gt;"Completed",P65&lt;&gt;"N/A",O65&lt;TODAY()),TODAY()-O65,0),IF(AND(ISNUMBER(BM65),BN65&lt;&gt;"Completed",BN65&lt;&gt;"N/A",BM65&lt;TODAY()),TODAY()-BM65,0),IF(AND(ISNUMBER(BK65),BL65&lt;&gt;"Completed",BL65&lt;&gt;"N/A",BK65&lt;TODAY()),TODAY()-BK65,0),IF(AND(ISNUMBER(BI65),BJ65&lt;&gt;"Completed",BJ65&lt;&gt;"N/A",BI65&lt;TODAY()),TODAY()-BI65,0)))</f>
        <v/>
      </c>
      <c r="H65" s="15"/>
      <c r="I65" s="15"/>
      <c r="J65" s="15"/>
      <c r="K65" s="12" t="str">
        <f>IF(ISNUMBER(H65),H65,IF(ISNUMBER(M65),M65-WEEKDAY(M65,2)+1-7,""))</f>
        <v/>
      </c>
      <c r="L65" s="12" t="str">
        <f>IF(ISNUMBER(I65),I65,IF(ISNUMBER(H65),WORKDAY(H65,SprintWorkingDays-1),IF(ISNUMBER(K65),WORKDAY(K65,SprintWorkingDays-1),"")))</f>
        <v/>
      </c>
      <c r="M65" s="12" t="str">
        <f>IF(ISNUMBER(J65),J65,IF(ISNUMBER(I65),I65-IF(OR(WEEKDAY(I65,2)=2,WEEKDAY(I65,2)=4),0,IF(WEEKDAY(I65,2)=3,1,IF(WEEKDAY(I65,2)=1,4,WEEKDAY(I65,2)-4))),IF(ISNUMBER(H65),WORKDAY(H65,SprintWorkingDays-1)-IF(OR(WEEKDAY(WORKDAY(H65,SprintWorkingDays-1),2)=2,WEEKDAY(WORKDAY(H65,SprintWorkingDays-1),2)=4),0,IF(WEEKDAY(WORKDAY(H65,SprintWorkingDays-1),2)=3,1,IF(WEEKDAY(WORKDAY(H65,SprintWorkingDays-1),2)=1,4,WEEKDAY(WORKDAY(H65,SprintWorkingDays-1),2)-4))),"")))</f>
        <v/>
      </c>
      <c r="N65" s="12" t="str">
        <f>IF(NOT(ISNUMBER(K65)),"",WORKDAY(K65,ReadyOffsetWD))</f>
        <v/>
      </c>
      <c r="O65" s="12" t="str">
        <f>IF(NOT(ISNUMBER(K65)),"",WORKDAY(K65,SprintReadinessOffsetWD))</f>
        <v/>
      </c>
      <c r="P65" s="10"/>
      <c r="Q65" s="12" t="str">
        <f>IF(A65="","",IF(V65="N/A",IF(NOT(ISNUMBER(W65)),"",WORKDAY(W65,RTSKOffsetFromOUR_WD)),IF(NOT(ISNUMBER(T65)),"",WORKDAY(T65,RTSKOffsetFromOUR_WD))))</f>
        <v/>
      </c>
      <c r="R65" s="15"/>
      <c r="S65" s="10"/>
      <c r="T65" s="12" t="str">
        <f>IF(OR(A65="",V65="N/A"),"",IF(NOT(ISNUMBER(W65)),"",WORKDAY(W65,OUROffsetFromSR_WD)))</f>
        <v/>
      </c>
      <c r="U65" s="15"/>
      <c r="V65" s="10"/>
      <c r="W65" s="12" t="str">
        <f>IF(OR(A65="",NOT(ISNUMBER(K65))),"",WORKDAY(K65,SROffsetFromStartWD))</f>
        <v/>
      </c>
      <c r="X65" s="15"/>
      <c r="Y65" s="10"/>
      <c r="Z65" s="10"/>
      <c r="AA65" s="12" t="str">
        <f>IF(OR(Z65="",Z65="N/A"),"",IF(ISNUMBER(Q65),Q65,""))</f>
        <v/>
      </c>
      <c r="AB65" s="15"/>
      <c r="AC65" s="10"/>
      <c r="AD65" s="10"/>
      <c r="AE65" s="10"/>
      <c r="AF65" s="10" t="str">
        <f>IF(Z65="N/A","N/A","")</f>
        <v/>
      </c>
      <c r="AG65" s="12" t="str">
        <f>IF(NOT(ISNUMBER(Q65)),"",Q65)</f>
        <v/>
      </c>
      <c r="AH65" s="15"/>
      <c r="AI65" s="10"/>
      <c r="AJ65" s="12" t="str">
        <f>IF(OR(AL65="N/A",NOT(ISNUMBER(T65))),"",T65)</f>
        <v/>
      </c>
      <c r="AK65" s="15"/>
      <c r="AL65" s="10"/>
      <c r="AM65" s="12" t="str">
        <f>IF(NOT(ISNUMBER(W65)),"",W65)</f>
        <v/>
      </c>
      <c r="AN65" s="15"/>
      <c r="AO65" s="10"/>
      <c r="AP65" s="12" t="str">
        <f>IF(OR(Z65="",Z65="N/A"),"",IF(ISNUMBER(AG65),AG65,""))</f>
        <v/>
      </c>
      <c r="AQ65" s="15"/>
      <c r="AR65" s="10"/>
      <c r="AS65" s="10"/>
      <c r="AT65" s="10"/>
      <c r="AU65" s="12" t="str">
        <f>IF(NOT(ISNUMBER(Q65)),"",Q65)</f>
        <v/>
      </c>
      <c r="AV65" s="15"/>
      <c r="AW65" s="10"/>
      <c r="AX65" s="12" t="str">
        <f>IF(OR(AZ65="N/A",NOT(ISNUMBER(T65))),"",T65)</f>
        <v/>
      </c>
      <c r="AY65" s="15"/>
      <c r="AZ65" s="10"/>
      <c r="BA65" s="12" t="str">
        <f>IF(NOT(ISNUMBER(W65)),"",W65)</f>
        <v/>
      </c>
      <c r="BB65" s="15"/>
      <c r="BC65" s="10"/>
      <c r="BD65" s="12" t="str">
        <f>IF(OR(Z65="",Z65="N/A"),"",IF(ISNUMBER(AU65),AU65,""))</f>
        <v/>
      </c>
      <c r="BE65" s="15"/>
      <c r="BF65" s="10"/>
      <c r="BG65" s="10"/>
      <c r="BH65" s="10"/>
      <c r="BI65" s="12" t="e">
        <f>IF(OR(A65="",NOT(ISNUMBER(M65)),AND(WEEKDAY(M65,2)&lt;&gt;2,WEEKDAY(M65,2)&lt;&gt;4)),"",WORKDAY(M65,CABOffsetFromReleaseWD))</f>
        <v>#VALUE!</v>
      </c>
      <c r="BJ65" s="10"/>
      <c r="BK65" s="12" t="str">
        <f>IF(NOT(ISNUMBER(BI65)),"",IF(WEEKDAY(BI65-CodeReviewCalendarDays,2)&gt;5,BI65-CodeReviewCalendarDays-(WEEKDAY(BI65-CodeReviewCalendarDays,2)-5),BI65-CodeReviewCalendarDays))</f>
        <v/>
      </c>
      <c r="BL65" s="10"/>
      <c r="BM65" s="12" t="str">
        <f>IF(NOT(ISNUMBER(BK65)),"",IF(WEEKDAY(BK65-CodeReviewInviteCalendarDays,2)&gt;5,BK65-CodeReviewInviteCalendarDays-(WEEKDAY(BK65-CodeReviewInviteCalendarDays,2)-5),BK65-CodeReviewInviteCalendarDays))</f>
        <v/>
      </c>
      <c r="BN65" s="10"/>
      <c r="BO65" s="10"/>
      <c r="BP65" s="16" t="str">
        <f ca="1">IF(A65="","",IF(IF(AND(ISNUMBER(J65),WEEKDAY(J65,2)&lt;&gt;2,WEEKDAY(J65,2)&lt;&gt;4)," | Release must be Tuesday or Thursday","")&amp;IF(AND(ISNUMBER(H65),WEEKDAY(H65,2)&lt;&gt;1)," | Sprint Start is not a Monday - dates still calculated from the date entered","")&amp;IF(AND(A65&lt;&gt;"",NOT(ISNUMBER(H65)),NOT(ISNUMBER(J65)))," | Enter Sprint Start or Release Date","")&amp;IF(AND(ISNUMBER(F65),F65&lt;TODAY(),D65&lt;&gt;"Completed")," | One or more raise-by dates are in the past and not completed","")&amp;IF(AND(ISNUMBER(K65),K65-TODAY()&lt;SprintWarningDays,K65&gt;=TODAY(),OR(D65="Yet to start",D65="Blocked"))," | Sprint starts in under 10 days - raise access requests now","")&amp;IF(AND(ISNUMBER(BM65),BN65&lt;&gt;"Completed",BN65&lt;&gt;"N/A",BM65-TODAY()&lt;CodeReviewInviteCalendarDays)," | Code Review invite should be sent at least 4 days before Code Review","")="","",MID(IF(AND(ISNUMBER(J65),WEEKDAY(J65,2)&lt;&gt;2,WEEKDAY(J65,2)&lt;&gt;4)," | Release must be Tuesday or Thursday","")&amp;IF(AND(ISNUMBER(H65),WEEKDAY(H65,2)&lt;&gt;1)," | Sprint Start is not a Monday - dates still calculated from the date entered","")&amp;IF(AND(A65&lt;&gt;"",NOT(ISNUMBER(H65)),NOT(ISNUMBER(J65)))," | Enter Sprint Start or Release Date","")&amp;IF(AND(ISNUMBER(F65),F65&lt;TODAY(),D65&lt;&gt;"Completed")," | One or more raise-by dates are in the past and not completed","")&amp;IF(AND(ISNUMBER(K65),K65-TODAY()&lt;SprintWarningDays,K65&gt;=TODAY(),OR(D65="Yet to start",D65="Blocked"))," | Sprint starts in under 10 days - raise access requests now","")&amp;IF(AND(ISNUMBER(BM65),BN65&lt;&gt;"Completed",BN65&lt;&gt;"N/A",BM65-TODAY()&lt;CodeReviewInviteCalendarDays)," | Code Review invite should be sent at least 4 days before Code Review",""),4,500)))</f>
        <v/>
      </c>
      <c r="BQ65" s="1" t="str">
        <f>IF(AND(ISNUMBER(Q65),S65&lt;&gt;"Completed",S65&lt;&gt;"N/A"),Q65,"")</f>
        <v/>
      </c>
      <c r="BR65" s="1" t="str">
        <f>IF(AND(ISNUMBER(T65),V65&lt;&gt;"Completed",V65&lt;&gt;"N/A"),T65,"")</f>
        <v/>
      </c>
      <c r="BS65" s="1" t="str">
        <f>IF(AND(ISNUMBER(W65),Y65&lt;&gt;"Completed",Y65&lt;&gt;"N/A"),W65,"")</f>
        <v/>
      </c>
      <c r="BT65" s="1" t="str">
        <f>IF(AND(ISNUMBER(AA65),AC65&lt;&gt;"Completed",AC65&lt;&gt;"N/A"),AA65,"")</f>
        <v/>
      </c>
      <c r="BU65" s="1" t="str">
        <f>IF(AND(ISNUMBER(AG65),AI65&lt;&gt;"Completed",AI65&lt;&gt;"N/A"),AG65,"")</f>
        <v/>
      </c>
      <c r="BV65" s="1" t="str">
        <f>IF(AND(ISNUMBER(AJ65),AL65&lt;&gt;"Completed",AL65&lt;&gt;"N/A"),AJ65,"")</f>
        <v/>
      </c>
      <c r="BW65" s="1" t="str">
        <f>IF(AND(ISNUMBER(AM65),AO65&lt;&gt;"Completed",AO65&lt;&gt;"N/A"),AM65,"")</f>
        <v/>
      </c>
      <c r="BX65" s="1" t="str">
        <f>IF(AND(ISNUMBER(AP65),AR65&lt;&gt;"Completed",AR65&lt;&gt;"N/A"),AP65,"")</f>
        <v/>
      </c>
      <c r="BY65" s="1" t="str">
        <f>IF(AND(ISNUMBER(AU65),AW65&lt;&gt;"Completed",AW65&lt;&gt;"N/A"),AU65,"")</f>
        <v/>
      </c>
      <c r="BZ65" s="1" t="str">
        <f>IF(AND(ISNUMBER(AX65),AZ65&lt;&gt;"Completed",AZ65&lt;&gt;"N/A"),AX65,"")</f>
        <v/>
      </c>
      <c r="CA65" s="1" t="str">
        <f>IF(AND(ISNUMBER(BA65),BC65&lt;&gt;"Completed",BC65&lt;&gt;"N/A"),BA65,"")</f>
        <v/>
      </c>
      <c r="CB65" s="1" t="str">
        <f>IF(AND(ISNUMBER(BD65),BF65&lt;&gt;"Completed",BF65&lt;&gt;"N/A"),BD65,"")</f>
        <v/>
      </c>
      <c r="CC65" s="1" t="str">
        <f>IF(AND(ISNUMBER(O65),P65&lt;&gt;"Completed",P65&lt;&gt;"N/A"),O65,"")</f>
        <v/>
      </c>
      <c r="CD65" s="1" t="str">
        <f>IF(AND(ISNUMBER(BM65),BN65&lt;&gt;"Completed",BN65&lt;&gt;"N/A"),BM65,"")</f>
        <v/>
      </c>
      <c r="CE65" s="1" t="str">
        <f>IF(AND(ISNUMBER(BK65),BL65&lt;&gt;"Completed",BL65&lt;&gt;"N/A"),BK65,"")</f>
        <v/>
      </c>
      <c r="CF65" s="1" t="str">
        <f>IF(AND(ISNUMBER(BI65),BJ65&lt;&gt;"Completed",BJ65&lt;&gt;"N/A"),BI65,"")</f>
        <v/>
      </c>
      <c r="CG65" s="1" t="str">
        <f ca="1">IF(OR(A65="",D65="Completed"),"",IF(N(G65)&gt;0,1/(N(G65)+ROW()/100000),IF(ISNUMBER(F65),1000+F65+ROW()/100000,TODAY()+400+ROW()/100000)))</f>
        <v/>
      </c>
    </row>
    <row r="66" spans="1:85" ht="15.95" customHeight="1">
      <c r="A66" s="17"/>
      <c r="B66" s="17"/>
      <c r="C66" s="17"/>
      <c r="D66" s="11" t="str">
        <f>IF(A66="","",IF(((S66="Blocked")+(V66="Blocked")+(Y66="Blocked")+(AC66="Blocked")+(AI66="Blocked")+(AL66="Blocked")+(AO66="Blocked")+(AR66="Blocked")+(AW66="Blocked")+(AZ66="Blocked")+(BC66="Blocked")+(BF66="Blocked")+(P66="Blocked")+(BJ66="Blocked")+(BL66="Blocked")+(BN66="Blocked")+(BO66="Blocked"))&gt;0,"Blocked",IF((ISNUMBER(Q66)+ISNUMBER(T66)+ISNUMBER(W66)+ISNUMBER(AA66)+ISNUMBER(AG66)+ISNUMBER(AJ66)+ISNUMBER(AM66)+ISNUMBER(AP66)+ISNUMBER(AU66)+ISNUMBER(AX66)+ISNUMBER(BA66)+ISNUMBER(BD66)+ISNUMBER(O66)+ISNUMBER(BI66)+ISNUMBER(BK66)+ISNUMBER(BM66))=0,"Yet to start",IF(AND(OR(NOT(ISNUMBER(Q66)),S66="Completed",S66="N/A"),OR(NOT(ISNUMBER(T66)),V66="Completed",V66="N/A"),OR(NOT(ISNUMBER(W66)),Y66="Completed",Y66="N/A"),OR(NOT(ISNUMBER(AA66)),AC66="Completed",AC66="N/A"),OR(NOT(ISNUMBER(AG66)),AI66="Completed",AI66="N/A"),OR(NOT(ISNUMBER(AJ66)),AL66="Completed",AL66="N/A"),OR(NOT(ISNUMBER(AM66)),AO66="Completed",AO66="N/A"),OR(NOT(ISNUMBER(AP66)),AR66="Completed",AR66="N/A"),OR(NOT(ISNUMBER(AU66)),AW66="Completed",AW66="N/A"),OR(NOT(ISNUMBER(AX66)),AZ66="Completed",AZ66="N/A"),OR(NOT(ISNUMBER(BA66)),BC66="Completed",BC66="N/A"),OR(NOT(ISNUMBER(BD66)),BF66="Completed",BF66="N/A"),OR(NOT(ISNUMBER(O66)),P66="Completed",P66="N/A"),OR(NOT(ISNUMBER(BI66)),BJ66="Completed",BJ66="N/A"),OR(NOT(ISNUMBER(BK66)),BL66="Completed",BL66="N/A"),OR(NOT(ISNUMBER(BM66)),BN66="Completed",BN66="N/A"),OR(BO66="Completed",BO66="N/A")),"Completed",IF(((S66="In Progress")+(V66="In Progress")+(Y66="In Progress")+(AC66="In Progress")+(AI66="In Progress")+(AL66="In Progress")+(AO66="In Progress")+(AR66="In Progress")+(AW66="In Progress")+(AZ66="In Progress")+(BC66="In Progress")+(BF66="In Progress")+(P66="In Progress")+(BJ66="In Progress")+(BL66="In Progress")+(BN66="In Progress")+(BO66="In Progress"))&gt;0,"In Progress","Yet to start")))))</f>
        <v/>
      </c>
      <c r="E66" s="11" t="str">
        <f>IF(A66="","",IF(F66="","All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Review","CAB"},MATCH(F66,BQ66:CF66,0))))</f>
        <v/>
      </c>
      <c r="F66" s="12" t="str">
        <f>IF(A66="","",IF(COUNT(BQ66:CF66)=0,"",MIN(BQ66:CF66)))</f>
        <v/>
      </c>
      <c r="G66" s="13" t="str">
        <f ca="1">IF(A66="","",MAX(0,IF(AND(ISNUMBER(Q66),S66&lt;&gt;"Completed",S66&lt;&gt;"N/A",Q66&lt;TODAY()),TODAY()-Q66,0),IF(AND(ISNUMBER(T66),V66&lt;&gt;"Completed",V66&lt;&gt;"N/A",T66&lt;TODAY()),TODAY()-T66,0),IF(AND(ISNUMBER(W66),Y66&lt;&gt;"Completed",Y66&lt;&gt;"N/A",W66&lt;TODAY()),TODAY()-W66,0),IF(AND(ISNUMBER(AA66),AC66&lt;&gt;"Completed",AC66&lt;&gt;"N/A",AA66&lt;TODAY()),TODAY()-AA66,0),IF(AND(ISNUMBER(AG66),AI66&lt;&gt;"Completed",AI66&lt;&gt;"N/A",AG66&lt;TODAY()),TODAY()-AG66,0),IF(AND(ISNUMBER(AJ66),AL66&lt;&gt;"Completed",AL66&lt;&gt;"N/A",AJ66&lt;TODAY()),TODAY()-AJ66,0),IF(AND(ISNUMBER(AM66),AO66&lt;&gt;"Completed",AO66&lt;&gt;"N/A",AM66&lt;TODAY()),TODAY()-AM66,0),IF(AND(ISNUMBER(AP66),AR66&lt;&gt;"Completed",AR66&lt;&gt;"N/A",AP66&lt;TODAY()),TODAY()-AP66,0),IF(AND(ISNUMBER(AU66),AW66&lt;&gt;"Completed",AW66&lt;&gt;"N/A",AU66&lt;TODAY()),TODAY()-AU66,0),IF(AND(ISNUMBER(AX66),AZ66&lt;&gt;"Completed",AZ66&lt;&gt;"N/A",AX66&lt;TODAY()),TODAY()-AX66,0),IF(AND(ISNUMBER(BA66),BC66&lt;&gt;"Completed",BC66&lt;&gt;"N/A",BA66&lt;TODAY()),TODAY()-BA66,0),IF(AND(ISNUMBER(BD66),BF66&lt;&gt;"Completed",BF66&lt;&gt;"N/A",BD66&lt;TODAY()),TODAY()-BD66,0),IF(AND(ISNUMBER(O66),P66&lt;&gt;"Completed",P66&lt;&gt;"N/A",O66&lt;TODAY()),TODAY()-O66,0),IF(AND(ISNUMBER(BM66),BN66&lt;&gt;"Completed",BN66&lt;&gt;"N/A",BM66&lt;TODAY()),TODAY()-BM66,0),IF(AND(ISNUMBER(BK66),BL66&lt;&gt;"Completed",BL66&lt;&gt;"N/A",BK66&lt;TODAY()),TODAY()-BK66,0),IF(AND(ISNUMBER(BI66),BJ66&lt;&gt;"Completed",BJ66&lt;&gt;"N/A",BI66&lt;TODAY()),TODAY()-BI66,0)))</f>
        <v/>
      </c>
      <c r="H66" s="15"/>
      <c r="I66" s="15"/>
      <c r="J66" s="15"/>
      <c r="K66" s="12" t="str">
        <f>IF(ISNUMBER(H66),H66,IF(ISNUMBER(M66),M66-WEEKDAY(M66,2)+1-7,""))</f>
        <v/>
      </c>
      <c r="L66" s="12" t="str">
        <f>IF(ISNUMBER(I66),I66,IF(ISNUMBER(H66),WORKDAY(H66,SprintWorkingDays-1),IF(ISNUMBER(K66),WORKDAY(K66,SprintWorkingDays-1),"")))</f>
        <v/>
      </c>
      <c r="M66" s="12" t="str">
        <f>IF(ISNUMBER(J66),J66,IF(ISNUMBER(I66),I66-IF(OR(WEEKDAY(I66,2)=2,WEEKDAY(I66,2)=4),0,IF(WEEKDAY(I66,2)=3,1,IF(WEEKDAY(I66,2)=1,4,WEEKDAY(I66,2)-4))),IF(ISNUMBER(H66),WORKDAY(H66,SprintWorkingDays-1)-IF(OR(WEEKDAY(WORKDAY(H66,SprintWorkingDays-1),2)=2,WEEKDAY(WORKDAY(H66,SprintWorkingDays-1),2)=4),0,IF(WEEKDAY(WORKDAY(H66,SprintWorkingDays-1),2)=3,1,IF(WEEKDAY(WORKDAY(H66,SprintWorkingDays-1),2)=1,4,WEEKDAY(WORKDAY(H66,SprintWorkingDays-1),2)-4))),"")))</f>
        <v/>
      </c>
      <c r="N66" s="12" t="str">
        <f>IF(NOT(ISNUMBER(K66)),"",WORKDAY(K66,ReadyOffsetWD))</f>
        <v/>
      </c>
      <c r="O66" s="12" t="str">
        <f>IF(NOT(ISNUMBER(K66)),"",WORKDAY(K66,SprintReadinessOffsetWD))</f>
        <v/>
      </c>
      <c r="P66" s="10"/>
      <c r="Q66" s="12" t="str">
        <f>IF(A66="","",IF(V66="N/A",IF(NOT(ISNUMBER(W66)),"",WORKDAY(W66,RTSKOffsetFromOUR_WD)),IF(NOT(ISNUMBER(T66)),"",WORKDAY(T66,RTSKOffsetFromOUR_WD))))</f>
        <v/>
      </c>
      <c r="R66" s="15"/>
      <c r="S66" s="10"/>
      <c r="T66" s="12" t="str">
        <f>IF(OR(A66="",V66="N/A"),"",IF(NOT(ISNUMBER(W66)),"",WORKDAY(W66,OUROffsetFromSR_WD)))</f>
        <v/>
      </c>
      <c r="U66" s="15"/>
      <c r="V66" s="10"/>
      <c r="W66" s="12" t="str">
        <f>IF(OR(A66="",NOT(ISNUMBER(K66))),"",WORKDAY(K66,SROffsetFromStartWD))</f>
        <v/>
      </c>
      <c r="X66" s="15"/>
      <c r="Y66" s="10"/>
      <c r="Z66" s="10"/>
      <c r="AA66" s="12" t="str">
        <f>IF(OR(Z66="",Z66="N/A"),"",IF(ISNUMBER(Q66),Q66,""))</f>
        <v/>
      </c>
      <c r="AB66" s="15"/>
      <c r="AC66" s="10"/>
      <c r="AD66" s="10"/>
      <c r="AE66" s="10"/>
      <c r="AF66" s="10" t="str">
        <f>IF(Z66="N/A","N/A","")</f>
        <v/>
      </c>
      <c r="AG66" s="12" t="str">
        <f>IF(NOT(ISNUMBER(Q66)),"",Q66)</f>
        <v/>
      </c>
      <c r="AH66" s="15"/>
      <c r="AI66" s="10"/>
      <c r="AJ66" s="12" t="str">
        <f>IF(OR(AL66="N/A",NOT(ISNUMBER(T66))),"",T66)</f>
        <v/>
      </c>
      <c r="AK66" s="15"/>
      <c r="AL66" s="10"/>
      <c r="AM66" s="12" t="str">
        <f>IF(NOT(ISNUMBER(W66)),"",W66)</f>
        <v/>
      </c>
      <c r="AN66" s="15"/>
      <c r="AO66" s="10"/>
      <c r="AP66" s="12" t="str">
        <f>IF(OR(Z66="",Z66="N/A"),"",IF(ISNUMBER(AG66),AG66,""))</f>
        <v/>
      </c>
      <c r="AQ66" s="15"/>
      <c r="AR66" s="10"/>
      <c r="AS66" s="10"/>
      <c r="AT66" s="10"/>
      <c r="AU66" s="12" t="str">
        <f>IF(NOT(ISNUMBER(Q66)),"",Q66)</f>
        <v/>
      </c>
      <c r="AV66" s="15"/>
      <c r="AW66" s="10"/>
      <c r="AX66" s="12" t="str">
        <f>IF(OR(AZ66="N/A",NOT(ISNUMBER(T66))),"",T66)</f>
        <v/>
      </c>
      <c r="AY66" s="15"/>
      <c r="AZ66" s="10"/>
      <c r="BA66" s="12" t="str">
        <f>IF(NOT(ISNUMBER(W66)),"",W66)</f>
        <v/>
      </c>
      <c r="BB66" s="15"/>
      <c r="BC66" s="10"/>
      <c r="BD66" s="12" t="str">
        <f>IF(OR(Z66="",Z66="N/A"),"",IF(ISNUMBER(AU66),AU66,""))</f>
        <v/>
      </c>
      <c r="BE66" s="15"/>
      <c r="BF66" s="10"/>
      <c r="BG66" s="10"/>
      <c r="BH66" s="10"/>
      <c r="BI66" s="12" t="e">
        <f>IF(OR(A66="",NOT(ISNUMBER(M66)),AND(WEEKDAY(M66,2)&lt;&gt;2,WEEKDAY(M66,2)&lt;&gt;4)),"",WORKDAY(M66,CABOffsetFromReleaseWD))</f>
        <v>#VALUE!</v>
      </c>
      <c r="BJ66" s="10"/>
      <c r="BK66" s="12" t="str">
        <f>IF(NOT(ISNUMBER(BI66)),"",IF(WEEKDAY(BI66-CodeReviewCalendarDays,2)&gt;5,BI66-CodeReviewCalendarDays-(WEEKDAY(BI66-CodeReviewCalendarDays,2)-5),BI66-CodeReviewCalendarDays))</f>
        <v/>
      </c>
      <c r="BL66" s="10"/>
      <c r="BM66" s="12" t="str">
        <f>IF(NOT(ISNUMBER(BK66)),"",IF(WEEKDAY(BK66-CodeReviewInviteCalendarDays,2)&gt;5,BK66-CodeReviewInviteCalendarDays-(WEEKDAY(BK66-CodeReviewInviteCalendarDays,2)-5),BK66-CodeReviewInviteCalendarDays))</f>
        <v/>
      </c>
      <c r="BN66" s="10"/>
      <c r="BO66" s="10"/>
      <c r="BP66" s="16" t="str">
        <f ca="1">IF(A66="","",IF(IF(AND(ISNUMBER(J66),WEEKDAY(J66,2)&lt;&gt;2,WEEKDAY(J66,2)&lt;&gt;4)," | Release must be Tuesday or Thursday","")&amp;IF(AND(ISNUMBER(H66),WEEKDAY(H66,2)&lt;&gt;1)," | Sprint Start is not a Monday - dates still calculated from the date entered","")&amp;IF(AND(A66&lt;&gt;"",NOT(ISNUMBER(H66)),NOT(ISNUMBER(J66)))," | Enter Sprint Start or Release Date","")&amp;IF(AND(ISNUMBER(F66),F66&lt;TODAY(),D66&lt;&gt;"Completed")," | One or more raise-by dates are in the past and not completed","")&amp;IF(AND(ISNUMBER(K66),K66-TODAY()&lt;SprintWarningDays,K66&gt;=TODAY(),OR(D66="Yet to start",D66="Blocked"))," | Sprint starts in under 10 days - raise access requests now","")&amp;IF(AND(ISNUMBER(BM66),BN66&lt;&gt;"Completed",BN66&lt;&gt;"N/A",BM66-TODAY()&lt;CodeReviewInviteCalendarDays)," | Code Review invite should be sent at least 4 days before Code Review","")="","",MID(IF(AND(ISNUMBER(J66),WEEKDAY(J66,2)&lt;&gt;2,WEEKDAY(J66,2)&lt;&gt;4)," | Release must be Tuesday or Thursday","")&amp;IF(AND(ISNUMBER(H66),WEEKDAY(H66,2)&lt;&gt;1)," | Sprint Start is not a Monday - dates still calculated from the date entered","")&amp;IF(AND(A66&lt;&gt;"",NOT(ISNUMBER(H66)),NOT(ISNUMBER(J66)))," | Enter Sprint Start or Release Date","")&amp;IF(AND(ISNUMBER(F66),F66&lt;TODAY(),D66&lt;&gt;"Completed")," | One or more raise-by dates are in the past and not completed","")&amp;IF(AND(ISNUMBER(K66),K66-TODAY()&lt;SprintWarningDays,K66&gt;=TODAY(),OR(D66="Yet to start",D66="Blocked"))," | Sprint starts in under 10 days - raise access requests now","")&amp;IF(AND(ISNUMBER(BM66),BN66&lt;&gt;"Completed",BN66&lt;&gt;"N/A",BM66-TODAY()&lt;CodeReviewInviteCalendarDays)," | Code Review invite should be sent at least 4 days before Code Review",""),4,500)))</f>
        <v/>
      </c>
      <c r="BQ66" s="1" t="str">
        <f>IF(AND(ISNUMBER(Q66),S66&lt;&gt;"Completed",S66&lt;&gt;"N/A"),Q66,"")</f>
        <v/>
      </c>
      <c r="BR66" s="1" t="str">
        <f>IF(AND(ISNUMBER(T66),V66&lt;&gt;"Completed",V66&lt;&gt;"N/A"),T66,"")</f>
        <v/>
      </c>
      <c r="BS66" s="1" t="str">
        <f>IF(AND(ISNUMBER(W66),Y66&lt;&gt;"Completed",Y66&lt;&gt;"N/A"),W66,"")</f>
        <v/>
      </c>
      <c r="BT66" s="1" t="str">
        <f>IF(AND(ISNUMBER(AA66),AC66&lt;&gt;"Completed",AC66&lt;&gt;"N/A"),AA66,"")</f>
        <v/>
      </c>
      <c r="BU66" s="1" t="str">
        <f>IF(AND(ISNUMBER(AG66),AI66&lt;&gt;"Completed",AI66&lt;&gt;"N/A"),AG66,"")</f>
        <v/>
      </c>
      <c r="BV66" s="1" t="str">
        <f>IF(AND(ISNUMBER(AJ66),AL66&lt;&gt;"Completed",AL66&lt;&gt;"N/A"),AJ66,"")</f>
        <v/>
      </c>
      <c r="BW66" s="1" t="str">
        <f>IF(AND(ISNUMBER(AM66),AO66&lt;&gt;"Completed",AO66&lt;&gt;"N/A"),AM66,"")</f>
        <v/>
      </c>
      <c r="BX66" s="1" t="str">
        <f>IF(AND(ISNUMBER(AP66),AR66&lt;&gt;"Completed",AR66&lt;&gt;"N/A"),AP66,"")</f>
        <v/>
      </c>
      <c r="BY66" s="1" t="str">
        <f>IF(AND(ISNUMBER(AU66),AW66&lt;&gt;"Completed",AW66&lt;&gt;"N/A"),AU66,"")</f>
        <v/>
      </c>
      <c r="BZ66" s="1" t="str">
        <f>IF(AND(ISNUMBER(AX66),AZ66&lt;&gt;"Completed",AZ66&lt;&gt;"N/A"),AX66,"")</f>
        <v/>
      </c>
      <c r="CA66" s="1" t="str">
        <f>IF(AND(ISNUMBER(BA66),BC66&lt;&gt;"Completed",BC66&lt;&gt;"N/A"),BA66,"")</f>
        <v/>
      </c>
      <c r="CB66" s="1" t="str">
        <f>IF(AND(ISNUMBER(BD66),BF66&lt;&gt;"Completed",BF66&lt;&gt;"N/A"),BD66,"")</f>
        <v/>
      </c>
      <c r="CC66" s="1" t="str">
        <f>IF(AND(ISNUMBER(O66),P66&lt;&gt;"Completed",P66&lt;&gt;"N/A"),O66,"")</f>
        <v/>
      </c>
      <c r="CD66" s="1" t="str">
        <f>IF(AND(ISNUMBER(BM66),BN66&lt;&gt;"Completed",BN66&lt;&gt;"N/A"),BM66,"")</f>
        <v/>
      </c>
      <c r="CE66" s="1" t="str">
        <f>IF(AND(ISNUMBER(BK66),BL66&lt;&gt;"Completed",BL66&lt;&gt;"N/A"),BK66,"")</f>
        <v/>
      </c>
      <c r="CF66" s="1" t="str">
        <f>IF(AND(ISNUMBER(BI66),BJ66&lt;&gt;"Completed",BJ66&lt;&gt;"N/A"),BI66,"")</f>
        <v/>
      </c>
      <c r="CG66" s="1" t="str">
        <f ca="1">IF(OR(A66="",D66="Completed"),"",IF(N(G66)&gt;0,1/(N(G66)+ROW()/100000),IF(ISNUMBER(F66),1000+F66+ROW()/100000,TODAY()+400+ROW()/100000)))</f>
        <v/>
      </c>
    </row>
    <row r="67" spans="1:85" ht="15.95" customHeight="1">
      <c r="A67" s="17"/>
      <c r="B67" s="17"/>
      <c r="C67" s="17"/>
      <c r="D67" s="11" t="str">
        <f>IF(A67="","",IF(((S67="Blocked")+(V67="Blocked")+(Y67="Blocked")+(AC67="Blocked")+(AI67="Blocked")+(AL67="Blocked")+(AO67="Blocked")+(AR67="Blocked")+(AW67="Blocked")+(AZ67="Blocked")+(BC67="Blocked")+(BF67="Blocked")+(P67="Blocked")+(BJ67="Blocked")+(BL67="Blocked")+(BN67="Blocked")+(BO67="Blocked"))&gt;0,"Blocked",IF((ISNUMBER(Q67)+ISNUMBER(T67)+ISNUMBER(W67)+ISNUMBER(AA67)+ISNUMBER(AG67)+ISNUMBER(AJ67)+ISNUMBER(AM67)+ISNUMBER(AP67)+ISNUMBER(AU67)+ISNUMBER(AX67)+ISNUMBER(BA67)+ISNUMBER(BD67)+ISNUMBER(O67)+ISNUMBER(BI67)+ISNUMBER(BK67)+ISNUMBER(BM67))=0,"Yet to start",IF(AND(OR(NOT(ISNUMBER(Q67)),S67="Completed",S67="N/A"),OR(NOT(ISNUMBER(T67)),V67="Completed",V67="N/A"),OR(NOT(ISNUMBER(W67)),Y67="Completed",Y67="N/A"),OR(NOT(ISNUMBER(AA67)),AC67="Completed",AC67="N/A"),OR(NOT(ISNUMBER(AG67)),AI67="Completed",AI67="N/A"),OR(NOT(ISNUMBER(AJ67)),AL67="Completed",AL67="N/A"),OR(NOT(ISNUMBER(AM67)),AO67="Completed",AO67="N/A"),OR(NOT(ISNUMBER(AP67)),AR67="Completed",AR67="N/A"),OR(NOT(ISNUMBER(AU67)),AW67="Completed",AW67="N/A"),OR(NOT(ISNUMBER(AX67)),AZ67="Completed",AZ67="N/A"),OR(NOT(ISNUMBER(BA67)),BC67="Completed",BC67="N/A"),OR(NOT(ISNUMBER(BD67)),BF67="Completed",BF67="N/A"),OR(NOT(ISNUMBER(O67)),P67="Completed",P67="N/A"),OR(NOT(ISNUMBER(BI67)),BJ67="Completed",BJ67="N/A"),OR(NOT(ISNUMBER(BK67)),BL67="Completed",BL67="N/A"),OR(NOT(ISNUMBER(BM67)),BN67="Completed",BN67="N/A"),OR(BO67="Completed",BO67="N/A")),"Completed",IF(((S67="In Progress")+(V67="In Progress")+(Y67="In Progress")+(AC67="In Progress")+(AI67="In Progress")+(AL67="In Progress")+(AO67="In Progress")+(AR67="In Progress")+(AW67="In Progress")+(AZ67="In Progress")+(BC67="In Progress")+(BF67="In Progress")+(P67="In Progress")+(BJ67="In Progress")+(BL67="In Progress")+(BN67="In Progress")+(BO67="In Progress"))&gt;0,"In Progress","Yet to start")))))</f>
        <v/>
      </c>
      <c r="E67" s="11" t="str">
        <f>IF(A67="","",IF(F67="","All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Review","CAB"},MATCH(F67,BQ67:CF67,0))))</f>
        <v/>
      </c>
      <c r="F67" s="12" t="str">
        <f>IF(A67="","",IF(COUNT(BQ67:CF67)=0,"",MIN(BQ67:CF67)))</f>
        <v/>
      </c>
      <c r="G67" s="13" t="str">
        <f ca="1">IF(A67="","",MAX(0,IF(AND(ISNUMBER(Q67),S67&lt;&gt;"Completed",S67&lt;&gt;"N/A",Q67&lt;TODAY()),TODAY()-Q67,0),IF(AND(ISNUMBER(T67),V67&lt;&gt;"Completed",V67&lt;&gt;"N/A",T67&lt;TODAY()),TODAY()-T67,0),IF(AND(ISNUMBER(W67),Y67&lt;&gt;"Completed",Y67&lt;&gt;"N/A",W67&lt;TODAY()),TODAY()-W67,0),IF(AND(ISNUMBER(AA67),AC67&lt;&gt;"Completed",AC67&lt;&gt;"N/A",AA67&lt;TODAY()),TODAY()-AA67,0),IF(AND(ISNUMBER(AG67),AI67&lt;&gt;"Completed",AI67&lt;&gt;"N/A",AG67&lt;TODAY()),TODAY()-AG67,0),IF(AND(ISNUMBER(AJ67),AL67&lt;&gt;"Completed",AL67&lt;&gt;"N/A",AJ67&lt;TODAY()),TODAY()-AJ67,0),IF(AND(ISNUMBER(AM67),AO67&lt;&gt;"Completed",AO67&lt;&gt;"N/A",AM67&lt;TODAY()),TODAY()-AM67,0),IF(AND(ISNUMBER(AP67),AR67&lt;&gt;"Completed",AR67&lt;&gt;"N/A",AP67&lt;TODAY()),TODAY()-AP67,0),IF(AND(ISNUMBER(AU67),AW67&lt;&gt;"Completed",AW67&lt;&gt;"N/A",AU67&lt;TODAY()),TODAY()-AU67,0),IF(AND(ISNUMBER(AX67),AZ67&lt;&gt;"Completed",AZ67&lt;&gt;"N/A",AX67&lt;TODAY()),TODAY()-AX67,0),IF(AND(ISNUMBER(BA67),BC67&lt;&gt;"Completed",BC67&lt;&gt;"N/A",BA67&lt;TODAY()),TODAY()-BA67,0),IF(AND(ISNUMBER(BD67),BF67&lt;&gt;"Completed",BF67&lt;&gt;"N/A",BD67&lt;TODAY()),TODAY()-BD67,0),IF(AND(ISNUMBER(O67),P67&lt;&gt;"Completed",P67&lt;&gt;"N/A",O67&lt;TODAY()),TODAY()-O67,0),IF(AND(ISNUMBER(BM67),BN67&lt;&gt;"Completed",BN67&lt;&gt;"N/A",BM67&lt;TODAY()),TODAY()-BM67,0),IF(AND(ISNUMBER(BK67),BL67&lt;&gt;"Completed",BL67&lt;&gt;"N/A",BK67&lt;TODAY()),TODAY()-BK67,0),IF(AND(ISNUMBER(BI67),BJ67&lt;&gt;"Completed",BJ67&lt;&gt;"N/A",BI67&lt;TODAY()),TODAY()-BI67,0)))</f>
        <v/>
      </c>
      <c r="H67" s="15"/>
      <c r="I67" s="15"/>
      <c r="J67" s="15"/>
      <c r="K67" s="12" t="str">
        <f>IF(ISNUMBER(H67),H67,IF(ISNUMBER(M67),M67-WEEKDAY(M67,2)+1-7,""))</f>
        <v/>
      </c>
      <c r="L67" s="12" t="str">
        <f>IF(ISNUMBER(I67),I67,IF(ISNUMBER(H67),WORKDAY(H67,SprintWorkingDays-1),IF(ISNUMBER(K67),WORKDAY(K67,SprintWorkingDays-1),"")))</f>
        <v/>
      </c>
      <c r="M67" s="12" t="str">
        <f>IF(ISNUMBER(J67),J67,IF(ISNUMBER(I67),I67-IF(OR(WEEKDAY(I67,2)=2,WEEKDAY(I67,2)=4),0,IF(WEEKDAY(I67,2)=3,1,IF(WEEKDAY(I67,2)=1,4,WEEKDAY(I67,2)-4))),IF(ISNUMBER(H67),WORKDAY(H67,SprintWorkingDays-1)-IF(OR(WEEKDAY(WORKDAY(H67,SprintWorkingDays-1),2)=2,WEEKDAY(WORKDAY(H67,SprintWorkingDays-1),2)=4),0,IF(WEEKDAY(WORKDAY(H67,SprintWorkingDays-1),2)=3,1,IF(WEEKDAY(WORKDAY(H67,SprintWorkingDays-1),2)=1,4,WEEKDAY(WORKDAY(H67,SprintWorkingDays-1),2)-4))),"")))</f>
        <v/>
      </c>
      <c r="N67" s="12" t="str">
        <f>IF(NOT(ISNUMBER(K67)),"",WORKDAY(K67,ReadyOffsetWD))</f>
        <v/>
      </c>
      <c r="O67" s="12" t="str">
        <f>IF(NOT(ISNUMBER(K67)),"",WORKDAY(K67,SprintReadinessOffsetWD))</f>
        <v/>
      </c>
      <c r="P67" s="10"/>
      <c r="Q67" s="12" t="str">
        <f>IF(A67="","",IF(V67="N/A",IF(NOT(ISNUMBER(W67)),"",WORKDAY(W67,RTSKOffsetFromOUR_WD)),IF(NOT(ISNUMBER(T67)),"",WORKDAY(T67,RTSKOffsetFromOUR_WD))))</f>
        <v/>
      </c>
      <c r="R67" s="15"/>
      <c r="S67" s="10"/>
      <c r="T67" s="12" t="str">
        <f>IF(OR(A67="",V67="N/A"),"",IF(NOT(ISNUMBER(W67)),"",WORKDAY(W67,OUROffsetFromSR_WD)))</f>
        <v/>
      </c>
      <c r="U67" s="15"/>
      <c r="V67" s="10"/>
      <c r="W67" s="12" t="str">
        <f>IF(OR(A67="",NOT(ISNUMBER(K67))),"",WORKDAY(K67,SROffsetFromStartWD))</f>
        <v/>
      </c>
      <c r="X67" s="15"/>
      <c r="Y67" s="10"/>
      <c r="Z67" s="10"/>
      <c r="AA67" s="12" t="str">
        <f>IF(OR(Z67="",Z67="N/A"),"",IF(ISNUMBER(Q67),Q67,""))</f>
        <v/>
      </c>
      <c r="AB67" s="15"/>
      <c r="AC67" s="10"/>
      <c r="AD67" s="10"/>
      <c r="AE67" s="10"/>
      <c r="AF67" s="10" t="str">
        <f>IF(Z67="N/A","N/A","")</f>
        <v/>
      </c>
      <c r="AG67" s="12" t="str">
        <f>IF(NOT(ISNUMBER(Q67)),"",Q67)</f>
        <v/>
      </c>
      <c r="AH67" s="15"/>
      <c r="AI67" s="10"/>
      <c r="AJ67" s="12" t="str">
        <f>IF(OR(AL67="N/A",NOT(ISNUMBER(T67))),"",T67)</f>
        <v/>
      </c>
      <c r="AK67" s="15"/>
      <c r="AL67" s="10"/>
      <c r="AM67" s="12" t="str">
        <f>IF(NOT(ISNUMBER(W67)),"",W67)</f>
        <v/>
      </c>
      <c r="AN67" s="15"/>
      <c r="AO67" s="10"/>
      <c r="AP67" s="12" t="str">
        <f>IF(OR(Z67="",Z67="N/A"),"",IF(ISNUMBER(AG67),AG67,""))</f>
        <v/>
      </c>
      <c r="AQ67" s="15"/>
      <c r="AR67" s="10"/>
      <c r="AS67" s="10"/>
      <c r="AT67" s="10"/>
      <c r="AU67" s="12" t="str">
        <f>IF(NOT(ISNUMBER(Q67)),"",Q67)</f>
        <v/>
      </c>
      <c r="AV67" s="15"/>
      <c r="AW67" s="10"/>
      <c r="AX67" s="12" t="str">
        <f>IF(OR(AZ67="N/A",NOT(ISNUMBER(T67))),"",T67)</f>
        <v/>
      </c>
      <c r="AY67" s="15"/>
      <c r="AZ67" s="10"/>
      <c r="BA67" s="12" t="str">
        <f>IF(NOT(ISNUMBER(W67)),"",W67)</f>
        <v/>
      </c>
      <c r="BB67" s="15"/>
      <c r="BC67" s="10"/>
      <c r="BD67" s="12" t="str">
        <f>IF(OR(Z67="",Z67="N/A"),"",IF(ISNUMBER(AU67),AU67,""))</f>
        <v/>
      </c>
      <c r="BE67" s="15"/>
      <c r="BF67" s="10"/>
      <c r="BG67" s="10"/>
      <c r="BH67" s="10"/>
      <c r="BI67" s="12" t="e">
        <f>IF(OR(A67="",NOT(ISNUMBER(M67)),AND(WEEKDAY(M67,2)&lt;&gt;2,WEEKDAY(M67,2)&lt;&gt;4)),"",WORKDAY(M67,CABOffsetFromReleaseWD))</f>
        <v>#VALUE!</v>
      </c>
      <c r="BJ67" s="10"/>
      <c r="BK67" s="12" t="str">
        <f>IF(NOT(ISNUMBER(BI67)),"",IF(WEEKDAY(BI67-CodeReviewCalendarDays,2)&gt;5,BI67-CodeReviewCalendarDays-(WEEKDAY(BI67-CodeReviewCalendarDays,2)-5),BI67-CodeReviewCalendarDays))</f>
        <v/>
      </c>
      <c r="BL67" s="10"/>
      <c r="BM67" s="12" t="str">
        <f>IF(NOT(ISNUMBER(BK67)),"",IF(WEEKDAY(BK67-CodeReviewInviteCalendarDays,2)&gt;5,BK67-CodeReviewInviteCalendarDays-(WEEKDAY(BK67-CodeReviewInviteCalendarDays,2)-5),BK67-CodeReviewInviteCalendarDays))</f>
        <v/>
      </c>
      <c r="BN67" s="10"/>
      <c r="BO67" s="10"/>
      <c r="BP67" s="16" t="str">
        <f ca="1">IF(A67="","",IF(IF(AND(ISNUMBER(J67),WEEKDAY(J67,2)&lt;&gt;2,WEEKDAY(J67,2)&lt;&gt;4)," | Release must be Tuesday or Thursday","")&amp;IF(AND(ISNUMBER(H67),WEEKDAY(H67,2)&lt;&gt;1)," | Sprint Start is not a Monday - dates still calculated from the date entered","")&amp;IF(AND(A67&lt;&gt;"",NOT(ISNUMBER(H67)),NOT(ISNUMBER(J67)))," | Enter Sprint Start or Release Date","")&amp;IF(AND(ISNUMBER(F67),F67&lt;TODAY(),D67&lt;&gt;"Completed")," | One or more raise-by dates are in the past and not completed","")&amp;IF(AND(ISNUMBER(K67),K67-TODAY()&lt;SprintWarningDays,K67&gt;=TODAY(),OR(D67="Yet to start",D67="Blocked"))," | Sprint starts in under 10 days - raise access requests now","")&amp;IF(AND(ISNUMBER(BM67),BN67&lt;&gt;"Completed",BN67&lt;&gt;"N/A",BM67-TODAY()&lt;CodeReviewInviteCalendarDays)," | Code Review invite should be sent at least 4 days before Code Review","")="","",MID(IF(AND(ISNUMBER(J67),WEEKDAY(J67,2)&lt;&gt;2,WEEKDAY(J67,2)&lt;&gt;4)," | Release must be Tuesday or Thursday","")&amp;IF(AND(ISNUMBER(H67),WEEKDAY(H67,2)&lt;&gt;1)," | Sprint Start is not a Monday - dates still calculated from the date entered","")&amp;IF(AND(A67&lt;&gt;"",NOT(ISNUMBER(H67)),NOT(ISNUMBER(J67)))," | Enter Sprint Start or Release Date","")&amp;IF(AND(ISNUMBER(F67),F67&lt;TODAY(),D67&lt;&gt;"Completed")," | One or more raise-by dates are in the past and not completed","")&amp;IF(AND(ISNUMBER(K67),K67-TODAY()&lt;SprintWarningDays,K67&gt;=TODAY(),OR(D67="Yet to start",D67="Blocked"))," | Sprint starts in under 10 days - raise access requests now","")&amp;IF(AND(ISNUMBER(BM67),BN67&lt;&gt;"Completed",BN67&lt;&gt;"N/A",BM67-TODAY()&lt;CodeReviewInviteCalendarDays)," | Code Review invite should be sent at least 4 days before Code Review",""),4,500)))</f>
        <v/>
      </c>
      <c r="BQ67" s="1" t="str">
        <f>IF(AND(ISNUMBER(Q67),S67&lt;&gt;"Completed",S67&lt;&gt;"N/A"),Q67,"")</f>
        <v/>
      </c>
      <c r="BR67" s="1" t="str">
        <f>IF(AND(ISNUMBER(T67),V67&lt;&gt;"Completed",V67&lt;&gt;"N/A"),T67,"")</f>
        <v/>
      </c>
      <c r="BS67" s="1" t="str">
        <f>IF(AND(ISNUMBER(W67),Y67&lt;&gt;"Completed",Y67&lt;&gt;"N/A"),W67,"")</f>
        <v/>
      </c>
      <c r="BT67" s="1" t="str">
        <f>IF(AND(ISNUMBER(AA67),AC67&lt;&gt;"Completed",AC67&lt;&gt;"N/A"),AA67,"")</f>
        <v/>
      </c>
      <c r="BU67" s="1" t="str">
        <f>IF(AND(ISNUMBER(AG67),AI67&lt;&gt;"Completed",AI67&lt;&gt;"N/A"),AG67,"")</f>
        <v/>
      </c>
      <c r="BV67" s="1" t="str">
        <f>IF(AND(ISNUMBER(AJ67),AL67&lt;&gt;"Completed",AL67&lt;&gt;"N/A"),AJ67,"")</f>
        <v/>
      </c>
      <c r="BW67" s="1" t="str">
        <f>IF(AND(ISNUMBER(AM67),AO67&lt;&gt;"Completed",AO67&lt;&gt;"N/A"),AM67,"")</f>
        <v/>
      </c>
      <c r="BX67" s="1" t="str">
        <f>IF(AND(ISNUMBER(AP67),AR67&lt;&gt;"Completed",AR67&lt;&gt;"N/A"),AP67,"")</f>
        <v/>
      </c>
      <c r="BY67" s="1" t="str">
        <f>IF(AND(ISNUMBER(AU67),AW67&lt;&gt;"Completed",AW67&lt;&gt;"N/A"),AU67,"")</f>
        <v/>
      </c>
      <c r="BZ67" s="1" t="str">
        <f>IF(AND(ISNUMBER(AX67),AZ67&lt;&gt;"Completed",AZ67&lt;&gt;"N/A"),AX67,"")</f>
        <v/>
      </c>
      <c r="CA67" s="1" t="str">
        <f>IF(AND(ISNUMBER(BA67),BC67&lt;&gt;"Completed",BC67&lt;&gt;"N/A"),BA67,"")</f>
        <v/>
      </c>
      <c r="CB67" s="1" t="str">
        <f>IF(AND(ISNUMBER(BD67),BF67&lt;&gt;"Completed",BF67&lt;&gt;"N/A"),BD67,"")</f>
        <v/>
      </c>
      <c r="CC67" s="1" t="str">
        <f>IF(AND(ISNUMBER(O67),P67&lt;&gt;"Completed",P67&lt;&gt;"N/A"),O67,"")</f>
        <v/>
      </c>
      <c r="CD67" s="1" t="str">
        <f>IF(AND(ISNUMBER(BM67),BN67&lt;&gt;"Completed",BN67&lt;&gt;"N/A"),BM67,"")</f>
        <v/>
      </c>
      <c r="CE67" s="1" t="str">
        <f>IF(AND(ISNUMBER(BK67),BL67&lt;&gt;"Completed",BL67&lt;&gt;"N/A"),BK67,"")</f>
        <v/>
      </c>
      <c r="CF67" s="1" t="str">
        <f>IF(AND(ISNUMBER(BI67),BJ67&lt;&gt;"Completed",BJ67&lt;&gt;"N/A"),BI67,"")</f>
        <v/>
      </c>
      <c r="CG67" s="1" t="str">
        <f ca="1">IF(OR(A67="",D67="Completed"),"",IF(N(G67)&gt;0,1/(N(G67)+ROW()/100000),IF(ISNUMBER(F67),1000+F67+ROW()/100000,TODAY()+400+ROW()/100000)))</f>
        <v/>
      </c>
    </row>
    <row r="68" spans="1:85" ht="15.95" customHeight="1">
      <c r="A68" s="17"/>
      <c r="B68" s="17"/>
      <c r="C68" s="17"/>
      <c r="D68" s="11" t="str">
        <f>IF(A68="","",IF(((S68="Blocked")+(V68="Blocked")+(Y68="Blocked")+(AC68="Blocked")+(AI68="Blocked")+(AL68="Blocked")+(AO68="Blocked")+(AR68="Blocked")+(AW68="Blocked")+(AZ68="Blocked")+(BC68="Blocked")+(BF68="Blocked")+(P68="Blocked")+(BJ68="Blocked")+(BL68="Blocked")+(BN68="Blocked")+(BO68="Blocked"))&gt;0,"Blocked",IF((ISNUMBER(Q68)+ISNUMBER(T68)+ISNUMBER(W68)+ISNUMBER(AA68)+ISNUMBER(AG68)+ISNUMBER(AJ68)+ISNUMBER(AM68)+ISNUMBER(AP68)+ISNUMBER(AU68)+ISNUMBER(AX68)+ISNUMBER(BA68)+ISNUMBER(BD68)+ISNUMBER(O68)+ISNUMBER(BI68)+ISNUMBER(BK68)+ISNUMBER(BM68))=0,"Yet to start",IF(AND(OR(NOT(ISNUMBER(Q68)),S68="Completed",S68="N/A"),OR(NOT(ISNUMBER(T68)),V68="Completed",V68="N/A"),OR(NOT(ISNUMBER(W68)),Y68="Completed",Y68="N/A"),OR(NOT(ISNUMBER(AA68)),AC68="Completed",AC68="N/A"),OR(NOT(ISNUMBER(AG68)),AI68="Completed",AI68="N/A"),OR(NOT(ISNUMBER(AJ68)),AL68="Completed",AL68="N/A"),OR(NOT(ISNUMBER(AM68)),AO68="Completed",AO68="N/A"),OR(NOT(ISNUMBER(AP68)),AR68="Completed",AR68="N/A"),OR(NOT(ISNUMBER(AU68)),AW68="Completed",AW68="N/A"),OR(NOT(ISNUMBER(AX68)),AZ68="Completed",AZ68="N/A"),OR(NOT(ISNUMBER(BA68)),BC68="Completed",BC68="N/A"),OR(NOT(ISNUMBER(BD68)),BF68="Completed",BF68="N/A"),OR(NOT(ISNUMBER(O68)),P68="Completed",P68="N/A"),OR(NOT(ISNUMBER(BI68)),BJ68="Completed",BJ68="N/A"),OR(NOT(ISNUMBER(BK68)),BL68="Completed",BL68="N/A"),OR(NOT(ISNUMBER(BM68)),BN68="Completed",BN68="N/A"),OR(BO68="Completed",BO68="N/A")),"Completed",IF(((S68="In Progress")+(V68="In Progress")+(Y68="In Progress")+(AC68="In Progress")+(AI68="In Progress")+(AL68="In Progress")+(AO68="In Progress")+(AR68="In Progress")+(AW68="In Progress")+(AZ68="In Progress")+(BC68="In Progress")+(BF68="In Progress")+(P68="In Progress")+(BJ68="In Progress")+(BL68="In Progress")+(BN68="In Progress")+(BO68="In Progress"))&gt;0,"In Progress","Yet to start")))))</f>
        <v/>
      </c>
      <c r="E68" s="11" t="str">
        <f>IF(A68="","",IF(F68="","All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Review","CAB"},MATCH(F68,BQ68:CF68,0))))</f>
        <v/>
      </c>
      <c r="F68" s="12" t="str">
        <f>IF(A68="","",IF(COUNT(BQ68:CF68)=0,"",MIN(BQ68:CF68)))</f>
        <v/>
      </c>
      <c r="G68" s="13" t="str">
        <f ca="1">IF(A68="","",MAX(0,IF(AND(ISNUMBER(Q68),S68&lt;&gt;"Completed",S68&lt;&gt;"N/A",Q68&lt;TODAY()),TODAY()-Q68,0),IF(AND(ISNUMBER(T68),V68&lt;&gt;"Completed",V68&lt;&gt;"N/A",T68&lt;TODAY()),TODAY()-T68,0),IF(AND(ISNUMBER(W68),Y68&lt;&gt;"Completed",Y68&lt;&gt;"N/A",W68&lt;TODAY()),TODAY()-W68,0),IF(AND(ISNUMBER(AA68),AC68&lt;&gt;"Completed",AC68&lt;&gt;"N/A",AA68&lt;TODAY()),TODAY()-AA68,0),IF(AND(ISNUMBER(AG68),AI68&lt;&gt;"Completed",AI68&lt;&gt;"N/A",AG68&lt;TODAY()),TODAY()-AG68,0),IF(AND(ISNUMBER(AJ68),AL68&lt;&gt;"Completed",AL68&lt;&gt;"N/A",AJ68&lt;TODAY()),TODAY()-AJ68,0),IF(AND(ISNUMBER(AM68),AO68&lt;&gt;"Completed",AO68&lt;&gt;"N/A",AM68&lt;TODAY()),TODAY()-AM68,0),IF(AND(ISNUMBER(AP68),AR68&lt;&gt;"Completed",AR68&lt;&gt;"N/A",AP68&lt;TODAY()),TODAY()-AP68,0),IF(AND(ISNUMBER(AU68),AW68&lt;&gt;"Completed",AW68&lt;&gt;"N/A",AU68&lt;TODAY()),TODAY()-AU68,0),IF(AND(ISNUMBER(AX68),AZ68&lt;&gt;"Completed",AZ68&lt;&gt;"N/A",AX68&lt;TODAY()),TODAY()-AX68,0),IF(AND(ISNUMBER(BA68),BC68&lt;&gt;"Completed",BC68&lt;&gt;"N/A",BA68&lt;TODAY()),TODAY()-BA68,0),IF(AND(ISNUMBER(BD68),BF68&lt;&gt;"Completed",BF68&lt;&gt;"N/A",BD68&lt;TODAY()),TODAY()-BD68,0),IF(AND(ISNUMBER(O68),P68&lt;&gt;"Completed",P68&lt;&gt;"N/A",O68&lt;TODAY()),TODAY()-O68,0),IF(AND(ISNUMBER(BM68),BN68&lt;&gt;"Completed",BN68&lt;&gt;"N/A",BM68&lt;TODAY()),TODAY()-BM68,0),IF(AND(ISNUMBER(BK68),BL68&lt;&gt;"Completed",BL68&lt;&gt;"N/A",BK68&lt;TODAY()),TODAY()-BK68,0),IF(AND(ISNUMBER(BI68),BJ68&lt;&gt;"Completed",BJ68&lt;&gt;"N/A",BI68&lt;TODAY()),TODAY()-BI68,0)))</f>
        <v/>
      </c>
      <c r="H68" s="15"/>
      <c r="I68" s="15"/>
      <c r="J68" s="15"/>
      <c r="K68" s="12" t="str">
        <f>IF(ISNUMBER(H68),H68,IF(ISNUMBER(M68),M68-WEEKDAY(M68,2)+1-7,""))</f>
        <v/>
      </c>
      <c r="L68" s="12" t="str">
        <f>IF(ISNUMBER(I68),I68,IF(ISNUMBER(H68),WORKDAY(H68,SprintWorkingDays-1),IF(ISNUMBER(K68),WORKDAY(K68,SprintWorkingDays-1),"")))</f>
        <v/>
      </c>
      <c r="M68" s="12" t="str">
        <f>IF(ISNUMBER(J68),J68,IF(ISNUMBER(I68),I68-IF(OR(WEEKDAY(I68,2)=2,WEEKDAY(I68,2)=4),0,IF(WEEKDAY(I68,2)=3,1,IF(WEEKDAY(I68,2)=1,4,WEEKDAY(I68,2)-4))),IF(ISNUMBER(H68),WORKDAY(H68,SprintWorkingDays-1)-IF(OR(WEEKDAY(WORKDAY(H68,SprintWorkingDays-1),2)=2,WEEKDAY(WORKDAY(H68,SprintWorkingDays-1),2)=4),0,IF(WEEKDAY(WORKDAY(H68,SprintWorkingDays-1),2)=3,1,IF(WEEKDAY(WORKDAY(H68,SprintWorkingDays-1),2)=1,4,WEEKDAY(WORKDAY(H68,SprintWorkingDays-1),2)-4))),"")))</f>
        <v/>
      </c>
      <c r="N68" s="12" t="str">
        <f>IF(NOT(ISNUMBER(K68)),"",WORKDAY(K68,ReadyOffsetWD))</f>
        <v/>
      </c>
      <c r="O68" s="12" t="str">
        <f>IF(NOT(ISNUMBER(K68)),"",WORKDAY(K68,SprintReadinessOffsetWD))</f>
        <v/>
      </c>
      <c r="P68" s="10"/>
      <c r="Q68" s="12" t="str">
        <f>IF(A68="","",IF(V68="N/A",IF(NOT(ISNUMBER(W68)),"",WORKDAY(W68,RTSKOffsetFromOUR_WD)),IF(NOT(ISNUMBER(T68)),"",WORKDAY(T68,RTSKOffsetFromOUR_WD))))</f>
        <v/>
      </c>
      <c r="R68" s="15"/>
      <c r="S68" s="10"/>
      <c r="T68" s="12" t="str">
        <f>IF(OR(A68="",V68="N/A"),"",IF(NOT(ISNUMBER(W68)),"",WORKDAY(W68,OUROffsetFromSR_WD)))</f>
        <v/>
      </c>
      <c r="U68" s="15"/>
      <c r="V68" s="10"/>
      <c r="W68" s="12" t="str">
        <f>IF(OR(A68="",NOT(ISNUMBER(K68))),"",WORKDAY(K68,SROffsetFromStartWD))</f>
        <v/>
      </c>
      <c r="X68" s="15"/>
      <c r="Y68" s="10"/>
      <c r="Z68" s="10"/>
      <c r="AA68" s="12" t="str">
        <f>IF(OR(Z68="",Z68="N/A"),"",IF(ISNUMBER(Q68),Q68,""))</f>
        <v/>
      </c>
      <c r="AB68" s="15"/>
      <c r="AC68" s="10"/>
      <c r="AD68" s="10"/>
      <c r="AE68" s="10"/>
      <c r="AF68" s="10" t="str">
        <f>IF(Z68="N/A","N/A","")</f>
        <v/>
      </c>
      <c r="AG68" s="12" t="str">
        <f>IF(NOT(ISNUMBER(Q68)),"",Q68)</f>
        <v/>
      </c>
      <c r="AH68" s="15"/>
      <c r="AI68" s="10"/>
      <c r="AJ68" s="12" t="str">
        <f>IF(OR(AL68="N/A",NOT(ISNUMBER(T68))),"",T68)</f>
        <v/>
      </c>
      <c r="AK68" s="15"/>
      <c r="AL68" s="10"/>
      <c r="AM68" s="12" t="str">
        <f>IF(NOT(ISNUMBER(W68)),"",W68)</f>
        <v/>
      </c>
      <c r="AN68" s="15"/>
      <c r="AO68" s="10"/>
      <c r="AP68" s="12" t="str">
        <f>IF(OR(Z68="",Z68="N/A"),"",IF(ISNUMBER(AG68),AG68,""))</f>
        <v/>
      </c>
      <c r="AQ68" s="15"/>
      <c r="AR68" s="10"/>
      <c r="AS68" s="10"/>
      <c r="AT68" s="10"/>
      <c r="AU68" s="12" t="str">
        <f>IF(NOT(ISNUMBER(Q68)),"",Q68)</f>
        <v/>
      </c>
      <c r="AV68" s="15"/>
      <c r="AW68" s="10"/>
      <c r="AX68" s="12" t="str">
        <f>IF(OR(AZ68="N/A",NOT(ISNUMBER(T68))),"",T68)</f>
        <v/>
      </c>
      <c r="AY68" s="15"/>
      <c r="AZ68" s="10"/>
      <c r="BA68" s="12" t="str">
        <f>IF(NOT(ISNUMBER(W68)),"",W68)</f>
        <v/>
      </c>
      <c r="BB68" s="15"/>
      <c r="BC68" s="10"/>
      <c r="BD68" s="12" t="str">
        <f>IF(OR(Z68="",Z68="N/A"),"",IF(ISNUMBER(AU68),AU68,""))</f>
        <v/>
      </c>
      <c r="BE68" s="15"/>
      <c r="BF68" s="10"/>
      <c r="BG68" s="10"/>
      <c r="BH68" s="10"/>
      <c r="BI68" s="12" t="e">
        <f>IF(OR(A68="",NOT(ISNUMBER(M68)),AND(WEEKDAY(M68,2)&lt;&gt;2,WEEKDAY(M68,2)&lt;&gt;4)),"",WORKDAY(M68,CABOffsetFromReleaseWD))</f>
        <v>#VALUE!</v>
      </c>
      <c r="BJ68" s="10"/>
      <c r="BK68" s="12" t="str">
        <f>IF(NOT(ISNUMBER(BI68)),"",IF(WEEKDAY(BI68-CodeReviewCalendarDays,2)&gt;5,BI68-CodeReviewCalendarDays-(WEEKDAY(BI68-CodeReviewCalendarDays,2)-5),BI68-CodeReviewCalendarDays))</f>
        <v/>
      </c>
      <c r="BL68" s="10"/>
      <c r="BM68" s="12" t="str">
        <f>IF(NOT(ISNUMBER(BK68)),"",IF(WEEKDAY(BK68-CodeReviewInviteCalendarDays,2)&gt;5,BK68-CodeReviewInviteCalendarDays-(WEEKDAY(BK68-CodeReviewInviteCalendarDays,2)-5),BK68-CodeReviewInviteCalendarDays))</f>
        <v/>
      </c>
      <c r="BN68" s="10"/>
      <c r="BO68" s="10"/>
      <c r="BP68" s="16" t="str">
        <f ca="1">IF(A68="","",IF(IF(AND(ISNUMBER(J68),WEEKDAY(J68,2)&lt;&gt;2,WEEKDAY(J68,2)&lt;&gt;4)," | Release must be Tuesday or Thursday","")&amp;IF(AND(ISNUMBER(H68),WEEKDAY(H68,2)&lt;&gt;1)," | Sprint Start is not a Monday - dates still calculated from the date entered","")&amp;IF(AND(A68&lt;&gt;"",NOT(ISNUMBER(H68)),NOT(ISNUMBER(J68)))," | Enter Sprint Start or Release Date","")&amp;IF(AND(ISNUMBER(F68),F68&lt;TODAY(),D68&lt;&gt;"Completed")," | One or more raise-by dates are in the past and not completed","")&amp;IF(AND(ISNUMBER(K68),K68-TODAY()&lt;SprintWarningDays,K68&gt;=TODAY(),OR(D68="Yet to start",D68="Blocked"))," | Sprint starts in under 10 days - raise access requests now","")&amp;IF(AND(ISNUMBER(BM68),BN68&lt;&gt;"Completed",BN68&lt;&gt;"N/A",BM68-TODAY()&lt;CodeReviewInviteCalendarDays)," | Code Review invite should be sent at least 4 days before Code Review","")="","",MID(IF(AND(ISNUMBER(J68),WEEKDAY(J68,2)&lt;&gt;2,WEEKDAY(J68,2)&lt;&gt;4)," | Release must be Tuesday or Thursday","")&amp;IF(AND(ISNUMBER(H68),WEEKDAY(H68,2)&lt;&gt;1)," | Sprint Start is not a Monday - dates still calculated from the date entered","")&amp;IF(AND(A68&lt;&gt;"",NOT(ISNUMBER(H68)),NOT(ISNUMBER(J68)))," | Enter Sprint Start or Release Date","")&amp;IF(AND(ISNUMBER(F68),F68&lt;TODAY(),D68&lt;&gt;"Completed")," | One or more raise-by dates are in the past and not completed","")&amp;IF(AND(ISNUMBER(K68),K68-TODAY()&lt;SprintWarningDays,K68&gt;=TODAY(),OR(D68="Yet to start",D68="Blocked"))," | Sprint starts in under 10 days - raise access requests now","")&amp;IF(AND(ISNUMBER(BM68),BN68&lt;&gt;"Completed",BN68&lt;&gt;"N/A",BM68-TODAY()&lt;CodeReviewInviteCalendarDays)," | Code Review invite should be sent at least 4 days before Code Review",""),4,500)))</f>
        <v/>
      </c>
      <c r="BQ68" s="1" t="str">
        <f>IF(AND(ISNUMBER(Q68),S68&lt;&gt;"Completed",S68&lt;&gt;"N/A"),Q68,"")</f>
        <v/>
      </c>
      <c r="BR68" s="1" t="str">
        <f>IF(AND(ISNUMBER(T68),V68&lt;&gt;"Completed",V68&lt;&gt;"N/A"),T68,"")</f>
        <v/>
      </c>
      <c r="BS68" s="1" t="str">
        <f>IF(AND(ISNUMBER(W68),Y68&lt;&gt;"Completed",Y68&lt;&gt;"N/A"),W68,"")</f>
        <v/>
      </c>
      <c r="BT68" s="1" t="str">
        <f>IF(AND(ISNUMBER(AA68),AC68&lt;&gt;"Completed",AC68&lt;&gt;"N/A"),AA68,"")</f>
        <v/>
      </c>
      <c r="BU68" s="1" t="str">
        <f>IF(AND(ISNUMBER(AG68),AI68&lt;&gt;"Completed",AI68&lt;&gt;"N/A"),AG68,"")</f>
        <v/>
      </c>
      <c r="BV68" s="1" t="str">
        <f>IF(AND(ISNUMBER(AJ68),AL68&lt;&gt;"Completed",AL68&lt;&gt;"N/A"),AJ68,"")</f>
        <v/>
      </c>
      <c r="BW68" s="1" t="str">
        <f>IF(AND(ISNUMBER(AM68),AO68&lt;&gt;"Completed",AO68&lt;&gt;"N/A"),AM68,"")</f>
        <v/>
      </c>
      <c r="BX68" s="1" t="str">
        <f>IF(AND(ISNUMBER(AP68),AR68&lt;&gt;"Completed",AR68&lt;&gt;"N/A"),AP68,"")</f>
        <v/>
      </c>
      <c r="BY68" s="1" t="str">
        <f>IF(AND(ISNUMBER(AU68),AW68&lt;&gt;"Completed",AW68&lt;&gt;"N/A"),AU68,"")</f>
        <v/>
      </c>
      <c r="BZ68" s="1" t="str">
        <f>IF(AND(ISNUMBER(AX68),AZ68&lt;&gt;"Completed",AZ68&lt;&gt;"N/A"),AX68,"")</f>
        <v/>
      </c>
      <c r="CA68" s="1" t="str">
        <f>IF(AND(ISNUMBER(BA68),BC68&lt;&gt;"Completed",BC68&lt;&gt;"N/A"),BA68,"")</f>
        <v/>
      </c>
      <c r="CB68" s="1" t="str">
        <f>IF(AND(ISNUMBER(BD68),BF68&lt;&gt;"Completed",BF68&lt;&gt;"N/A"),BD68,"")</f>
        <v/>
      </c>
      <c r="CC68" s="1" t="str">
        <f>IF(AND(ISNUMBER(O68),P68&lt;&gt;"Completed",P68&lt;&gt;"N/A"),O68,"")</f>
        <v/>
      </c>
      <c r="CD68" s="1" t="str">
        <f>IF(AND(ISNUMBER(BM68),BN68&lt;&gt;"Completed",BN68&lt;&gt;"N/A"),BM68,"")</f>
        <v/>
      </c>
      <c r="CE68" s="1" t="str">
        <f>IF(AND(ISNUMBER(BK68),BL68&lt;&gt;"Completed",BL68&lt;&gt;"N/A"),BK68,"")</f>
        <v/>
      </c>
      <c r="CF68" s="1" t="str">
        <f>IF(AND(ISNUMBER(BI68),BJ68&lt;&gt;"Completed",BJ68&lt;&gt;"N/A"),BI68,"")</f>
        <v/>
      </c>
      <c r="CG68" s="1" t="str">
        <f ca="1">IF(OR(A68="",D68="Completed"),"",IF(N(G68)&gt;0,1/(N(G68)+ROW()/100000),IF(ISNUMBER(F68),1000+F68+ROW()/100000,TODAY()+400+ROW()/100000)))</f>
        <v/>
      </c>
    </row>
    <row r="69" spans="1:85" ht="15.95" customHeight="1">
      <c r="A69" s="17"/>
      <c r="B69" s="17"/>
      <c r="C69" s="17"/>
      <c r="D69" s="11" t="str">
        <f>IF(A69="","",IF(((S69="Blocked")+(V69="Blocked")+(Y69="Blocked")+(AC69="Blocked")+(AI69="Blocked")+(AL69="Blocked")+(AO69="Blocked")+(AR69="Blocked")+(AW69="Blocked")+(AZ69="Blocked")+(BC69="Blocked")+(BF69="Blocked")+(P69="Blocked")+(BJ69="Blocked")+(BL69="Blocked")+(BN69="Blocked")+(BO69="Blocked"))&gt;0,"Blocked",IF((ISNUMBER(Q69)+ISNUMBER(T69)+ISNUMBER(W69)+ISNUMBER(AA69)+ISNUMBER(AG69)+ISNUMBER(AJ69)+ISNUMBER(AM69)+ISNUMBER(AP69)+ISNUMBER(AU69)+ISNUMBER(AX69)+ISNUMBER(BA69)+ISNUMBER(BD69)+ISNUMBER(O69)+ISNUMBER(BI69)+ISNUMBER(BK69)+ISNUMBER(BM69))=0,"Yet to start",IF(AND(OR(NOT(ISNUMBER(Q69)),S69="Completed",S69="N/A"),OR(NOT(ISNUMBER(T69)),V69="Completed",V69="N/A"),OR(NOT(ISNUMBER(W69)),Y69="Completed",Y69="N/A"),OR(NOT(ISNUMBER(AA69)),AC69="Completed",AC69="N/A"),OR(NOT(ISNUMBER(AG69)),AI69="Completed",AI69="N/A"),OR(NOT(ISNUMBER(AJ69)),AL69="Completed",AL69="N/A"),OR(NOT(ISNUMBER(AM69)),AO69="Completed",AO69="N/A"),OR(NOT(ISNUMBER(AP69)),AR69="Completed",AR69="N/A"),OR(NOT(ISNUMBER(AU69)),AW69="Completed",AW69="N/A"),OR(NOT(ISNUMBER(AX69)),AZ69="Completed",AZ69="N/A"),OR(NOT(ISNUMBER(BA69)),BC69="Completed",BC69="N/A"),OR(NOT(ISNUMBER(BD69)),BF69="Completed",BF69="N/A"),OR(NOT(ISNUMBER(O69)),P69="Completed",P69="N/A"),OR(NOT(ISNUMBER(BI69)),BJ69="Completed",BJ69="N/A"),OR(NOT(ISNUMBER(BK69)),BL69="Completed",BL69="N/A"),OR(NOT(ISNUMBER(BM69)),BN69="Completed",BN69="N/A"),OR(BO69="Completed",BO69="N/A")),"Completed",IF(((S69="In Progress")+(V69="In Progress")+(Y69="In Progress")+(AC69="In Progress")+(AI69="In Progress")+(AL69="In Progress")+(AO69="In Progress")+(AR69="In Progress")+(AW69="In Progress")+(AZ69="In Progress")+(BC69="In Progress")+(BF69="In Progress")+(P69="In Progress")+(BJ69="In Progress")+(BL69="In Progress")+(BN69="In Progress")+(BO69="In Progress"))&gt;0,"In Progress","Yet to start")))))</f>
        <v/>
      </c>
      <c r="E69" s="11" t="str">
        <f>IF(A69="","",IF(F69="","All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Review","CAB"},MATCH(F69,BQ69:CF69,0))))</f>
        <v/>
      </c>
      <c r="F69" s="12" t="str">
        <f>IF(A69="","",IF(COUNT(BQ69:CF69)=0,"",MIN(BQ69:CF69)))</f>
        <v/>
      </c>
      <c r="G69" s="13" t="str">
        <f ca="1">IF(A69="","",MAX(0,IF(AND(ISNUMBER(Q69),S69&lt;&gt;"Completed",S69&lt;&gt;"N/A",Q69&lt;TODAY()),TODAY()-Q69,0),IF(AND(ISNUMBER(T69),V69&lt;&gt;"Completed",V69&lt;&gt;"N/A",T69&lt;TODAY()),TODAY()-T69,0),IF(AND(ISNUMBER(W69),Y69&lt;&gt;"Completed",Y69&lt;&gt;"N/A",W69&lt;TODAY()),TODAY()-W69,0),IF(AND(ISNUMBER(AA69),AC69&lt;&gt;"Completed",AC69&lt;&gt;"N/A",AA69&lt;TODAY()),TODAY()-AA69,0),IF(AND(ISNUMBER(AG69),AI69&lt;&gt;"Completed",AI69&lt;&gt;"N/A",AG69&lt;TODAY()),TODAY()-AG69,0),IF(AND(ISNUMBER(AJ69),AL69&lt;&gt;"Completed",AL69&lt;&gt;"N/A",AJ69&lt;TODAY()),TODAY()-AJ69,0),IF(AND(ISNUMBER(AM69),AO69&lt;&gt;"Completed",AO69&lt;&gt;"N/A",AM69&lt;TODAY()),TODAY()-AM69,0),IF(AND(ISNUMBER(AP69),AR69&lt;&gt;"Completed",AR69&lt;&gt;"N/A",AP69&lt;TODAY()),TODAY()-AP69,0),IF(AND(ISNUMBER(AU69),AW69&lt;&gt;"Completed",AW69&lt;&gt;"N/A",AU69&lt;TODAY()),TODAY()-AU69,0),IF(AND(ISNUMBER(AX69),AZ69&lt;&gt;"Completed",AZ69&lt;&gt;"N/A",AX69&lt;TODAY()),TODAY()-AX69,0),IF(AND(ISNUMBER(BA69),BC69&lt;&gt;"Completed",BC69&lt;&gt;"N/A",BA69&lt;TODAY()),TODAY()-BA69,0),IF(AND(ISNUMBER(BD69),BF69&lt;&gt;"Completed",BF69&lt;&gt;"N/A",BD69&lt;TODAY()),TODAY()-BD69,0),IF(AND(ISNUMBER(O69),P69&lt;&gt;"Completed",P69&lt;&gt;"N/A",O69&lt;TODAY()),TODAY()-O69,0),IF(AND(ISNUMBER(BM69),BN69&lt;&gt;"Completed",BN69&lt;&gt;"N/A",BM69&lt;TODAY()),TODAY()-BM69,0),IF(AND(ISNUMBER(BK69),BL69&lt;&gt;"Completed",BL69&lt;&gt;"N/A",BK69&lt;TODAY()),TODAY()-BK69,0),IF(AND(ISNUMBER(BI69),BJ69&lt;&gt;"Completed",BJ69&lt;&gt;"N/A",BI69&lt;TODAY()),TODAY()-BI69,0)))</f>
        <v/>
      </c>
      <c r="H69" s="15"/>
      <c r="I69" s="15"/>
      <c r="J69" s="15"/>
      <c r="K69" s="12" t="str">
        <f>IF(ISNUMBER(H69),H69,IF(ISNUMBER(M69),M69-WEEKDAY(M69,2)+1-7,""))</f>
        <v/>
      </c>
      <c r="L69" s="12" t="str">
        <f>IF(ISNUMBER(I69),I69,IF(ISNUMBER(H69),WORKDAY(H69,SprintWorkingDays-1),IF(ISNUMBER(K69),WORKDAY(K69,SprintWorkingDays-1),"")))</f>
        <v/>
      </c>
      <c r="M69" s="12" t="str">
        <f>IF(ISNUMBER(J69),J69,IF(ISNUMBER(I69),I69-IF(OR(WEEKDAY(I69,2)=2,WEEKDAY(I69,2)=4),0,IF(WEEKDAY(I69,2)=3,1,IF(WEEKDAY(I69,2)=1,4,WEEKDAY(I69,2)-4))),IF(ISNUMBER(H69),WORKDAY(H69,SprintWorkingDays-1)-IF(OR(WEEKDAY(WORKDAY(H69,SprintWorkingDays-1),2)=2,WEEKDAY(WORKDAY(H69,SprintWorkingDays-1),2)=4),0,IF(WEEKDAY(WORKDAY(H69,SprintWorkingDays-1),2)=3,1,IF(WEEKDAY(WORKDAY(H69,SprintWorkingDays-1),2)=1,4,WEEKDAY(WORKDAY(H69,SprintWorkingDays-1),2)-4))),"")))</f>
        <v/>
      </c>
      <c r="N69" s="12" t="str">
        <f>IF(NOT(ISNUMBER(K69)),"",WORKDAY(K69,ReadyOffsetWD))</f>
        <v/>
      </c>
      <c r="O69" s="12" t="str">
        <f>IF(NOT(ISNUMBER(K69)),"",WORKDAY(K69,SprintReadinessOffsetWD))</f>
        <v/>
      </c>
      <c r="P69" s="10"/>
      <c r="Q69" s="12" t="str">
        <f>IF(A69="","",IF(V69="N/A",IF(NOT(ISNUMBER(W69)),"",WORKDAY(W69,RTSKOffsetFromOUR_WD)),IF(NOT(ISNUMBER(T69)),"",WORKDAY(T69,RTSKOffsetFromOUR_WD))))</f>
        <v/>
      </c>
      <c r="R69" s="15"/>
      <c r="S69" s="10"/>
      <c r="T69" s="12" t="str">
        <f>IF(OR(A69="",V69="N/A"),"",IF(NOT(ISNUMBER(W69)),"",WORKDAY(W69,OUROffsetFromSR_WD)))</f>
        <v/>
      </c>
      <c r="U69" s="15"/>
      <c r="V69" s="10"/>
      <c r="W69" s="12" t="str">
        <f>IF(OR(A69="",NOT(ISNUMBER(K69))),"",WORKDAY(K69,SROffsetFromStartWD))</f>
        <v/>
      </c>
      <c r="X69" s="15"/>
      <c r="Y69" s="10"/>
      <c r="Z69" s="10"/>
      <c r="AA69" s="12" t="str">
        <f>IF(OR(Z69="",Z69="N/A"),"",IF(ISNUMBER(Q69),Q69,""))</f>
        <v/>
      </c>
      <c r="AB69" s="15"/>
      <c r="AC69" s="10"/>
      <c r="AD69" s="10"/>
      <c r="AE69" s="10"/>
      <c r="AF69" s="10" t="str">
        <f>IF(Z69="N/A","N/A","")</f>
        <v/>
      </c>
      <c r="AG69" s="12" t="str">
        <f>IF(NOT(ISNUMBER(Q69)),"",Q69)</f>
        <v/>
      </c>
      <c r="AH69" s="15"/>
      <c r="AI69" s="10"/>
      <c r="AJ69" s="12" t="str">
        <f>IF(OR(AL69="N/A",NOT(ISNUMBER(T69))),"",T69)</f>
        <v/>
      </c>
      <c r="AK69" s="15"/>
      <c r="AL69" s="10"/>
      <c r="AM69" s="12" t="str">
        <f>IF(NOT(ISNUMBER(W69)),"",W69)</f>
        <v/>
      </c>
      <c r="AN69" s="15"/>
      <c r="AO69" s="10"/>
      <c r="AP69" s="12" t="str">
        <f>IF(OR(Z69="",Z69="N/A"),"",IF(ISNUMBER(AG69),AG69,""))</f>
        <v/>
      </c>
      <c r="AQ69" s="15"/>
      <c r="AR69" s="10"/>
      <c r="AS69" s="10"/>
      <c r="AT69" s="10"/>
      <c r="AU69" s="12" t="str">
        <f>IF(NOT(ISNUMBER(Q69)),"",Q69)</f>
        <v/>
      </c>
      <c r="AV69" s="15"/>
      <c r="AW69" s="10"/>
      <c r="AX69" s="12" t="str">
        <f>IF(OR(AZ69="N/A",NOT(ISNUMBER(T69))),"",T69)</f>
        <v/>
      </c>
      <c r="AY69" s="15"/>
      <c r="AZ69" s="10"/>
      <c r="BA69" s="12" t="str">
        <f>IF(NOT(ISNUMBER(W69)),"",W69)</f>
        <v/>
      </c>
      <c r="BB69" s="15"/>
      <c r="BC69" s="10"/>
      <c r="BD69" s="12" t="str">
        <f>IF(OR(Z69="",Z69="N/A"),"",IF(ISNUMBER(AU69),AU69,""))</f>
        <v/>
      </c>
      <c r="BE69" s="15"/>
      <c r="BF69" s="10"/>
      <c r="BG69" s="10"/>
      <c r="BH69" s="10"/>
      <c r="BI69" s="12" t="e">
        <f>IF(OR(A69="",NOT(ISNUMBER(M69)),AND(WEEKDAY(M69,2)&lt;&gt;2,WEEKDAY(M69,2)&lt;&gt;4)),"",WORKDAY(M69,CABOffsetFromReleaseWD))</f>
        <v>#VALUE!</v>
      </c>
      <c r="BJ69" s="10"/>
      <c r="BK69" s="12" t="str">
        <f>IF(NOT(ISNUMBER(BI69)),"",IF(WEEKDAY(BI69-CodeReviewCalendarDays,2)&gt;5,BI69-CodeReviewCalendarDays-(WEEKDAY(BI69-CodeReviewCalendarDays,2)-5),BI69-CodeReviewCalendarDays))</f>
        <v/>
      </c>
      <c r="BL69" s="10"/>
      <c r="BM69" s="12" t="str">
        <f>IF(NOT(ISNUMBER(BK69)),"",IF(WEEKDAY(BK69-CodeReviewInviteCalendarDays,2)&gt;5,BK69-CodeReviewInviteCalendarDays-(WEEKDAY(BK69-CodeReviewInviteCalendarDays,2)-5),BK69-CodeReviewInviteCalendarDays))</f>
        <v/>
      </c>
      <c r="BN69" s="10"/>
      <c r="BO69" s="10"/>
      <c r="BP69" s="16" t="str">
        <f ca="1">IF(A69="","",IF(IF(AND(ISNUMBER(J69),WEEKDAY(J69,2)&lt;&gt;2,WEEKDAY(J69,2)&lt;&gt;4)," | Release must be Tuesday or Thursday","")&amp;IF(AND(ISNUMBER(H69),WEEKDAY(H69,2)&lt;&gt;1)," | Sprint Start is not a Monday - dates still calculated from the date entered","")&amp;IF(AND(A69&lt;&gt;"",NOT(ISNUMBER(H69)),NOT(ISNUMBER(J69)))," | Enter Sprint Start or Release Date","")&amp;IF(AND(ISNUMBER(F69),F69&lt;TODAY(),D69&lt;&gt;"Completed")," | One or more raise-by dates are in the past and not completed","")&amp;IF(AND(ISNUMBER(K69),K69-TODAY()&lt;SprintWarningDays,K69&gt;=TODAY(),OR(D69="Yet to start",D69="Blocked"))," | Sprint starts in under 10 days - raise access requests now","")&amp;IF(AND(ISNUMBER(BM69),BN69&lt;&gt;"Completed",BN69&lt;&gt;"N/A",BM69-TODAY()&lt;CodeReviewInviteCalendarDays)," | Code Review invite should be sent at least 4 days before Code Review","")="","",MID(IF(AND(ISNUMBER(J69),WEEKDAY(J69,2)&lt;&gt;2,WEEKDAY(J69,2)&lt;&gt;4)," | Release must be Tuesday or Thursday","")&amp;IF(AND(ISNUMBER(H69),WEEKDAY(H69,2)&lt;&gt;1)," | Sprint Start is not a Monday - dates still calculated from the date entered","")&amp;IF(AND(A69&lt;&gt;"",NOT(ISNUMBER(H69)),NOT(ISNUMBER(J69)))," | Enter Sprint Start or Release Date","")&amp;IF(AND(ISNUMBER(F69),F69&lt;TODAY(),D69&lt;&gt;"Completed")," | One or more raise-by dates are in the past and not completed","")&amp;IF(AND(ISNUMBER(K69),K69-TODAY()&lt;SprintWarningDays,K69&gt;=TODAY(),OR(D69="Yet to start",D69="Blocked"))," | Sprint starts in under 10 days - raise access requests now","")&amp;IF(AND(ISNUMBER(BM69),BN69&lt;&gt;"Completed",BN69&lt;&gt;"N/A",BM69-TODAY()&lt;CodeReviewInviteCalendarDays)," | Code Review invite should be sent at least 4 days before Code Review",""),4,500)))</f>
        <v/>
      </c>
      <c r="BQ69" s="1" t="str">
        <f>IF(AND(ISNUMBER(Q69),S69&lt;&gt;"Completed",S69&lt;&gt;"N/A"),Q69,"")</f>
        <v/>
      </c>
      <c r="BR69" s="1" t="str">
        <f>IF(AND(ISNUMBER(T69),V69&lt;&gt;"Completed",V69&lt;&gt;"N/A"),T69,"")</f>
        <v/>
      </c>
      <c r="BS69" s="1" t="str">
        <f>IF(AND(ISNUMBER(W69),Y69&lt;&gt;"Completed",Y69&lt;&gt;"N/A"),W69,"")</f>
        <v/>
      </c>
      <c r="BT69" s="1" t="str">
        <f>IF(AND(ISNUMBER(AA69),AC69&lt;&gt;"Completed",AC69&lt;&gt;"N/A"),AA69,"")</f>
        <v/>
      </c>
      <c r="BU69" s="1" t="str">
        <f>IF(AND(ISNUMBER(AG69),AI69&lt;&gt;"Completed",AI69&lt;&gt;"N/A"),AG69,"")</f>
        <v/>
      </c>
      <c r="BV69" s="1" t="str">
        <f>IF(AND(ISNUMBER(AJ69),AL69&lt;&gt;"Completed",AL69&lt;&gt;"N/A"),AJ69,"")</f>
        <v/>
      </c>
      <c r="BW69" s="1" t="str">
        <f>IF(AND(ISNUMBER(AM69),AO69&lt;&gt;"Completed",AO69&lt;&gt;"N/A"),AM69,"")</f>
        <v/>
      </c>
      <c r="BX69" s="1" t="str">
        <f>IF(AND(ISNUMBER(AP69),AR69&lt;&gt;"Completed",AR69&lt;&gt;"N/A"),AP69,"")</f>
        <v/>
      </c>
      <c r="BY69" s="1" t="str">
        <f>IF(AND(ISNUMBER(AU69),AW69&lt;&gt;"Completed",AW69&lt;&gt;"N/A"),AU69,"")</f>
        <v/>
      </c>
      <c r="BZ69" s="1" t="str">
        <f>IF(AND(ISNUMBER(AX69),AZ69&lt;&gt;"Completed",AZ69&lt;&gt;"N/A"),AX69,"")</f>
        <v/>
      </c>
      <c r="CA69" s="1" t="str">
        <f>IF(AND(ISNUMBER(BA69),BC69&lt;&gt;"Completed",BC69&lt;&gt;"N/A"),BA69,"")</f>
        <v/>
      </c>
      <c r="CB69" s="1" t="str">
        <f>IF(AND(ISNUMBER(BD69),BF69&lt;&gt;"Completed",BF69&lt;&gt;"N/A"),BD69,"")</f>
        <v/>
      </c>
      <c r="CC69" s="1" t="str">
        <f>IF(AND(ISNUMBER(O69),P69&lt;&gt;"Completed",P69&lt;&gt;"N/A"),O69,"")</f>
        <v/>
      </c>
      <c r="CD69" s="1" t="str">
        <f>IF(AND(ISNUMBER(BM69),BN69&lt;&gt;"Completed",BN69&lt;&gt;"N/A"),BM69,"")</f>
        <v/>
      </c>
      <c r="CE69" s="1" t="str">
        <f>IF(AND(ISNUMBER(BK69),BL69&lt;&gt;"Completed",BL69&lt;&gt;"N/A"),BK69,"")</f>
        <v/>
      </c>
      <c r="CF69" s="1" t="str">
        <f>IF(AND(ISNUMBER(BI69),BJ69&lt;&gt;"Completed",BJ69&lt;&gt;"N/A"),BI69,"")</f>
        <v/>
      </c>
      <c r="CG69" s="1" t="str">
        <f ca="1">IF(OR(A69="",D69="Completed"),"",IF(N(G69)&gt;0,1/(N(G69)+ROW()/100000),IF(ISNUMBER(F69),1000+F69+ROW()/100000,TODAY()+400+ROW()/100000)))</f>
        <v/>
      </c>
    </row>
    <row r="70" spans="1:85" ht="15.95" customHeight="1">
      <c r="A70" s="17"/>
      <c r="B70" s="17"/>
      <c r="C70" s="17"/>
      <c r="D70" s="11" t="str">
        <f>IF(A70="","",IF(((S70="Blocked")+(V70="Blocked")+(Y70="Blocked")+(AC70="Blocked")+(AI70="Blocked")+(AL70="Blocked")+(AO70="Blocked")+(AR70="Blocked")+(AW70="Blocked")+(AZ70="Blocked")+(BC70="Blocked")+(BF70="Blocked")+(P70="Blocked")+(BJ70="Blocked")+(BL70="Blocked")+(BN70="Blocked")+(BO70="Blocked"))&gt;0,"Blocked",IF((ISNUMBER(Q70)+ISNUMBER(T70)+ISNUMBER(W70)+ISNUMBER(AA70)+ISNUMBER(AG70)+ISNUMBER(AJ70)+ISNUMBER(AM70)+ISNUMBER(AP70)+ISNUMBER(AU70)+ISNUMBER(AX70)+ISNUMBER(BA70)+ISNUMBER(BD70)+ISNUMBER(O70)+ISNUMBER(BI70)+ISNUMBER(BK70)+ISNUMBER(BM70))=0,"Yet to start",IF(AND(OR(NOT(ISNUMBER(Q70)),S70="Completed",S70="N/A"),OR(NOT(ISNUMBER(T70)),V70="Completed",V70="N/A"),OR(NOT(ISNUMBER(W70)),Y70="Completed",Y70="N/A"),OR(NOT(ISNUMBER(AA70)),AC70="Completed",AC70="N/A"),OR(NOT(ISNUMBER(AG70)),AI70="Completed",AI70="N/A"),OR(NOT(ISNUMBER(AJ70)),AL70="Completed",AL70="N/A"),OR(NOT(ISNUMBER(AM70)),AO70="Completed",AO70="N/A"),OR(NOT(ISNUMBER(AP70)),AR70="Completed",AR70="N/A"),OR(NOT(ISNUMBER(AU70)),AW70="Completed",AW70="N/A"),OR(NOT(ISNUMBER(AX70)),AZ70="Completed",AZ70="N/A"),OR(NOT(ISNUMBER(BA70)),BC70="Completed",BC70="N/A"),OR(NOT(ISNUMBER(BD70)),BF70="Completed",BF70="N/A"),OR(NOT(ISNUMBER(O70)),P70="Completed",P70="N/A"),OR(NOT(ISNUMBER(BI70)),BJ70="Completed",BJ70="N/A"),OR(NOT(ISNUMBER(BK70)),BL70="Completed",BL70="N/A"),OR(NOT(ISNUMBER(BM70)),BN70="Completed",BN70="N/A"),OR(BO70="Completed",BO70="N/A")),"Completed",IF(((S70="In Progress")+(V70="In Progress")+(Y70="In Progress")+(AC70="In Progress")+(AI70="In Progress")+(AL70="In Progress")+(AO70="In Progress")+(AR70="In Progress")+(AW70="In Progress")+(AZ70="In Progress")+(BC70="In Progress")+(BF70="In Progress")+(P70="In Progress")+(BJ70="In Progress")+(BL70="In Progress")+(BN70="In Progress")+(BO70="In Progress"))&gt;0,"In Progress","Yet to start")))))</f>
        <v/>
      </c>
      <c r="E70" s="11" t="str">
        <f>IF(A70="","",IF(F70="","All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Review","CAB"},MATCH(F70,BQ70:CF70,0))))</f>
        <v/>
      </c>
      <c r="F70" s="12" t="str">
        <f>IF(A70="","",IF(COUNT(BQ70:CF70)=0,"",MIN(BQ70:CF70)))</f>
        <v/>
      </c>
      <c r="G70" s="13" t="str">
        <f ca="1">IF(A70="","",MAX(0,IF(AND(ISNUMBER(Q70),S70&lt;&gt;"Completed",S70&lt;&gt;"N/A",Q70&lt;TODAY()),TODAY()-Q70,0),IF(AND(ISNUMBER(T70),V70&lt;&gt;"Completed",V70&lt;&gt;"N/A",T70&lt;TODAY()),TODAY()-T70,0),IF(AND(ISNUMBER(W70),Y70&lt;&gt;"Completed",Y70&lt;&gt;"N/A",W70&lt;TODAY()),TODAY()-W70,0),IF(AND(ISNUMBER(AA70),AC70&lt;&gt;"Completed",AC70&lt;&gt;"N/A",AA70&lt;TODAY()),TODAY()-AA70,0),IF(AND(ISNUMBER(AG70),AI70&lt;&gt;"Completed",AI70&lt;&gt;"N/A",AG70&lt;TODAY()),TODAY()-AG70,0),IF(AND(ISNUMBER(AJ70),AL70&lt;&gt;"Completed",AL70&lt;&gt;"N/A",AJ70&lt;TODAY()),TODAY()-AJ70,0),IF(AND(ISNUMBER(AM70),AO70&lt;&gt;"Completed",AO70&lt;&gt;"N/A",AM70&lt;TODAY()),TODAY()-AM70,0),IF(AND(ISNUMBER(AP70),AR70&lt;&gt;"Completed",AR70&lt;&gt;"N/A",AP70&lt;TODAY()),TODAY()-AP70,0),IF(AND(ISNUMBER(AU70),AW70&lt;&gt;"Completed",AW70&lt;&gt;"N/A",AU70&lt;TODAY()),TODAY()-AU70,0),IF(AND(ISNUMBER(AX70),AZ70&lt;&gt;"Completed",AZ70&lt;&gt;"N/A",AX70&lt;TODAY()),TODAY()-AX70,0),IF(AND(ISNUMBER(BA70),BC70&lt;&gt;"Completed",BC70&lt;&gt;"N/A",BA70&lt;TODAY()),TODAY()-BA70,0),IF(AND(ISNUMBER(BD70),BF70&lt;&gt;"Completed",BF70&lt;&gt;"N/A",BD70&lt;TODAY()),TODAY()-BD70,0),IF(AND(ISNUMBER(O70),P70&lt;&gt;"Completed",P70&lt;&gt;"N/A",O70&lt;TODAY()),TODAY()-O70,0),IF(AND(ISNUMBER(BM70),BN70&lt;&gt;"Completed",BN70&lt;&gt;"N/A",BM70&lt;TODAY()),TODAY()-BM70,0),IF(AND(ISNUMBER(BK70),BL70&lt;&gt;"Completed",BL70&lt;&gt;"N/A",BK70&lt;TODAY()),TODAY()-BK70,0),IF(AND(ISNUMBER(BI70),BJ70&lt;&gt;"Completed",BJ70&lt;&gt;"N/A",BI70&lt;TODAY()),TODAY()-BI70,0)))</f>
        <v/>
      </c>
      <c r="H70" s="15"/>
      <c r="I70" s="15"/>
      <c r="J70" s="15"/>
      <c r="K70" s="12" t="str">
        <f>IF(ISNUMBER(H70),H70,IF(ISNUMBER(M70),M70-WEEKDAY(M70,2)+1-7,""))</f>
        <v/>
      </c>
      <c r="L70" s="12" t="str">
        <f>IF(ISNUMBER(I70),I70,IF(ISNUMBER(H70),WORKDAY(H70,SprintWorkingDays-1),IF(ISNUMBER(K70),WORKDAY(K70,SprintWorkingDays-1),"")))</f>
        <v/>
      </c>
      <c r="M70" s="12" t="str">
        <f>IF(ISNUMBER(J70),J70,IF(ISNUMBER(I70),I70-IF(OR(WEEKDAY(I70,2)=2,WEEKDAY(I70,2)=4),0,IF(WEEKDAY(I70,2)=3,1,IF(WEEKDAY(I70,2)=1,4,WEEKDAY(I70,2)-4))),IF(ISNUMBER(H70),WORKDAY(H70,SprintWorkingDays-1)-IF(OR(WEEKDAY(WORKDAY(H70,SprintWorkingDays-1),2)=2,WEEKDAY(WORKDAY(H70,SprintWorkingDays-1),2)=4),0,IF(WEEKDAY(WORKDAY(H70,SprintWorkingDays-1),2)=3,1,IF(WEEKDAY(WORKDAY(H70,SprintWorkingDays-1),2)=1,4,WEEKDAY(WORKDAY(H70,SprintWorkingDays-1),2)-4))),"")))</f>
        <v/>
      </c>
      <c r="N70" s="12" t="str">
        <f>IF(NOT(ISNUMBER(K70)),"",WORKDAY(K70,ReadyOffsetWD))</f>
        <v/>
      </c>
      <c r="O70" s="12" t="str">
        <f>IF(NOT(ISNUMBER(K70)),"",WORKDAY(K70,SprintReadinessOffsetWD))</f>
        <v/>
      </c>
      <c r="P70" s="10"/>
      <c r="Q70" s="12" t="str">
        <f>IF(A70="","",IF(V70="N/A",IF(NOT(ISNUMBER(W70)),"",WORKDAY(W70,RTSKOffsetFromOUR_WD)),IF(NOT(ISNUMBER(T70)),"",WORKDAY(T70,RTSKOffsetFromOUR_WD))))</f>
        <v/>
      </c>
      <c r="R70" s="15"/>
      <c r="S70" s="10"/>
      <c r="T70" s="12" t="str">
        <f>IF(OR(A70="",V70="N/A"),"",IF(NOT(ISNUMBER(W70)),"",WORKDAY(W70,OUROffsetFromSR_WD)))</f>
        <v/>
      </c>
      <c r="U70" s="15"/>
      <c r="V70" s="10"/>
      <c r="W70" s="12" t="str">
        <f>IF(OR(A70="",NOT(ISNUMBER(K70))),"",WORKDAY(K70,SROffsetFromStartWD))</f>
        <v/>
      </c>
      <c r="X70" s="15"/>
      <c r="Y70" s="10"/>
      <c r="Z70" s="10"/>
      <c r="AA70" s="12" t="str">
        <f>IF(OR(Z70="",Z70="N/A"),"",IF(ISNUMBER(Q70),Q70,""))</f>
        <v/>
      </c>
      <c r="AB70" s="15"/>
      <c r="AC70" s="10"/>
      <c r="AD70" s="10"/>
      <c r="AE70" s="10"/>
      <c r="AF70" s="10" t="str">
        <f>IF(Z70="N/A","N/A","")</f>
        <v/>
      </c>
      <c r="AG70" s="12" t="str">
        <f>IF(NOT(ISNUMBER(Q70)),"",Q70)</f>
        <v/>
      </c>
      <c r="AH70" s="15"/>
      <c r="AI70" s="10"/>
      <c r="AJ70" s="12" t="str">
        <f>IF(OR(AL70="N/A",NOT(ISNUMBER(T70))),"",T70)</f>
        <v/>
      </c>
      <c r="AK70" s="15"/>
      <c r="AL70" s="10"/>
      <c r="AM70" s="12" t="str">
        <f>IF(NOT(ISNUMBER(W70)),"",W70)</f>
        <v/>
      </c>
      <c r="AN70" s="15"/>
      <c r="AO70" s="10"/>
      <c r="AP70" s="12" t="str">
        <f>IF(OR(Z70="",Z70="N/A"),"",IF(ISNUMBER(AG70),AG70,""))</f>
        <v/>
      </c>
      <c r="AQ70" s="15"/>
      <c r="AR70" s="10"/>
      <c r="AS70" s="10"/>
      <c r="AT70" s="10"/>
      <c r="AU70" s="12" t="str">
        <f>IF(NOT(ISNUMBER(Q70)),"",Q70)</f>
        <v/>
      </c>
      <c r="AV70" s="15"/>
      <c r="AW70" s="10"/>
      <c r="AX70" s="12" t="str">
        <f>IF(OR(AZ70="N/A",NOT(ISNUMBER(T70))),"",T70)</f>
        <v/>
      </c>
      <c r="AY70" s="15"/>
      <c r="AZ70" s="10"/>
      <c r="BA70" s="12" t="str">
        <f>IF(NOT(ISNUMBER(W70)),"",W70)</f>
        <v/>
      </c>
      <c r="BB70" s="15"/>
      <c r="BC70" s="10"/>
      <c r="BD70" s="12" t="str">
        <f>IF(OR(Z70="",Z70="N/A"),"",IF(ISNUMBER(AU70),AU70,""))</f>
        <v/>
      </c>
      <c r="BE70" s="15"/>
      <c r="BF70" s="10"/>
      <c r="BG70" s="10"/>
      <c r="BH70" s="10"/>
      <c r="BI70" s="12" t="e">
        <f>IF(OR(A70="",NOT(ISNUMBER(M70)),AND(WEEKDAY(M70,2)&lt;&gt;2,WEEKDAY(M70,2)&lt;&gt;4)),"",WORKDAY(M70,CABOffsetFromReleaseWD))</f>
        <v>#VALUE!</v>
      </c>
      <c r="BJ70" s="10"/>
      <c r="BK70" s="12" t="str">
        <f>IF(NOT(ISNUMBER(BI70)),"",IF(WEEKDAY(BI70-CodeReviewCalendarDays,2)&gt;5,BI70-CodeReviewCalendarDays-(WEEKDAY(BI70-CodeReviewCalendarDays,2)-5),BI70-CodeReviewCalendarDays))</f>
        <v/>
      </c>
      <c r="BL70" s="10"/>
      <c r="BM70" s="12" t="str">
        <f>IF(NOT(ISNUMBER(BK70)),"",IF(WEEKDAY(BK70-CodeReviewInviteCalendarDays,2)&gt;5,BK70-CodeReviewInviteCalendarDays-(WEEKDAY(BK70-CodeReviewInviteCalendarDays,2)-5),BK70-CodeReviewInviteCalendarDays))</f>
        <v/>
      </c>
      <c r="BN70" s="10"/>
      <c r="BO70" s="10"/>
      <c r="BP70" s="16" t="str">
        <f ca="1">IF(A70="","",IF(IF(AND(ISNUMBER(J70),WEEKDAY(J70,2)&lt;&gt;2,WEEKDAY(J70,2)&lt;&gt;4)," | Release must be Tuesday or Thursday","")&amp;IF(AND(ISNUMBER(H70),WEEKDAY(H70,2)&lt;&gt;1)," | Sprint Start is not a Monday - dates still calculated from the date entered","")&amp;IF(AND(A70&lt;&gt;"",NOT(ISNUMBER(H70)),NOT(ISNUMBER(J70)))," | Enter Sprint Start or Release Date","")&amp;IF(AND(ISNUMBER(F70),F70&lt;TODAY(),D70&lt;&gt;"Completed")," | One or more raise-by dates are in the past and not completed","")&amp;IF(AND(ISNUMBER(K70),K70-TODAY()&lt;SprintWarningDays,K70&gt;=TODAY(),OR(D70="Yet to start",D70="Blocked"))," | Sprint starts in under 10 days - raise access requests now","")&amp;IF(AND(ISNUMBER(BM70),BN70&lt;&gt;"Completed",BN70&lt;&gt;"N/A",BM70-TODAY()&lt;CodeReviewInviteCalendarDays)," | Code Review invite should be sent at least 4 days before Code Review","")="","",MID(IF(AND(ISNUMBER(J70),WEEKDAY(J70,2)&lt;&gt;2,WEEKDAY(J70,2)&lt;&gt;4)," | Release must be Tuesday or Thursday","")&amp;IF(AND(ISNUMBER(H70),WEEKDAY(H70,2)&lt;&gt;1)," | Sprint Start is not a Monday - dates still calculated from the date entered","")&amp;IF(AND(A70&lt;&gt;"",NOT(ISNUMBER(H70)),NOT(ISNUMBER(J70)))," | Enter Sprint Start or Release Date","")&amp;IF(AND(ISNUMBER(F70),F70&lt;TODAY(),D70&lt;&gt;"Completed")," | One or more raise-by dates are in the past and not completed","")&amp;IF(AND(ISNUMBER(K70),K70-TODAY()&lt;SprintWarningDays,K70&gt;=TODAY(),OR(D70="Yet to start",D70="Blocked"))," | Sprint starts in under 10 days - raise access requests now","")&amp;IF(AND(ISNUMBER(BM70),BN70&lt;&gt;"Completed",BN70&lt;&gt;"N/A",BM70-TODAY()&lt;CodeReviewInviteCalendarDays)," | Code Review invite should be sent at least 4 days before Code Review",""),4,500)))</f>
        <v/>
      </c>
      <c r="BQ70" s="1" t="str">
        <f>IF(AND(ISNUMBER(Q70),S70&lt;&gt;"Completed",S70&lt;&gt;"N/A"),Q70,"")</f>
        <v/>
      </c>
      <c r="BR70" s="1" t="str">
        <f>IF(AND(ISNUMBER(T70),V70&lt;&gt;"Completed",V70&lt;&gt;"N/A"),T70,"")</f>
        <v/>
      </c>
      <c r="BS70" s="1" t="str">
        <f>IF(AND(ISNUMBER(W70),Y70&lt;&gt;"Completed",Y70&lt;&gt;"N/A"),W70,"")</f>
        <v/>
      </c>
      <c r="BT70" s="1" t="str">
        <f>IF(AND(ISNUMBER(AA70),AC70&lt;&gt;"Completed",AC70&lt;&gt;"N/A"),AA70,"")</f>
        <v/>
      </c>
      <c r="BU70" s="1" t="str">
        <f>IF(AND(ISNUMBER(AG70),AI70&lt;&gt;"Completed",AI70&lt;&gt;"N/A"),AG70,"")</f>
        <v/>
      </c>
      <c r="BV70" s="1" t="str">
        <f>IF(AND(ISNUMBER(AJ70),AL70&lt;&gt;"Completed",AL70&lt;&gt;"N/A"),AJ70,"")</f>
        <v/>
      </c>
      <c r="BW70" s="1" t="str">
        <f>IF(AND(ISNUMBER(AM70),AO70&lt;&gt;"Completed",AO70&lt;&gt;"N/A"),AM70,"")</f>
        <v/>
      </c>
      <c r="BX70" s="1" t="str">
        <f>IF(AND(ISNUMBER(AP70),AR70&lt;&gt;"Completed",AR70&lt;&gt;"N/A"),AP70,"")</f>
        <v/>
      </c>
      <c r="BY70" s="1" t="str">
        <f>IF(AND(ISNUMBER(AU70),AW70&lt;&gt;"Completed",AW70&lt;&gt;"N/A"),AU70,"")</f>
        <v/>
      </c>
      <c r="BZ70" s="1" t="str">
        <f>IF(AND(ISNUMBER(AX70),AZ70&lt;&gt;"Completed",AZ70&lt;&gt;"N/A"),AX70,"")</f>
        <v/>
      </c>
      <c r="CA70" s="1" t="str">
        <f>IF(AND(ISNUMBER(BA70),BC70&lt;&gt;"Completed",BC70&lt;&gt;"N/A"),BA70,"")</f>
        <v/>
      </c>
      <c r="CB70" s="1" t="str">
        <f>IF(AND(ISNUMBER(BD70),BF70&lt;&gt;"Completed",BF70&lt;&gt;"N/A"),BD70,"")</f>
        <v/>
      </c>
      <c r="CC70" s="1" t="str">
        <f>IF(AND(ISNUMBER(O70),P70&lt;&gt;"Completed",P70&lt;&gt;"N/A"),O70,"")</f>
        <v/>
      </c>
      <c r="CD70" s="1" t="str">
        <f>IF(AND(ISNUMBER(BM70),BN70&lt;&gt;"Completed",BN70&lt;&gt;"N/A"),BM70,"")</f>
        <v/>
      </c>
      <c r="CE70" s="1" t="str">
        <f>IF(AND(ISNUMBER(BK70),BL70&lt;&gt;"Completed",BL70&lt;&gt;"N/A"),BK70,"")</f>
        <v/>
      </c>
      <c r="CF70" s="1" t="str">
        <f>IF(AND(ISNUMBER(BI70),BJ70&lt;&gt;"Completed",BJ70&lt;&gt;"N/A"),BI70,"")</f>
        <v/>
      </c>
      <c r="CG70" s="1" t="str">
        <f ca="1">IF(OR(A70="",D70="Completed"),"",IF(N(G70)&gt;0,1/(N(G70)+ROW()/100000),IF(ISNUMBER(F70),1000+F70+ROW()/100000,TODAY()+400+ROW()/100000)))</f>
        <v/>
      </c>
    </row>
    <row r="71" spans="1:85">
      <c r="A71" s="17"/>
      <c r="B71" s="17"/>
      <c r="C71" s="17"/>
      <c r="D71" s="18" t="str">
        <f>IF(A71="","",IF(((S71="Blocked")+(V71="Blocked")+(Y71="Blocked")+(AC71="Blocked")+(AI71="Blocked")+(AL71="Blocked")+(AO71="Blocked")+(AR71="Blocked")+(AW71="Blocked")+(AZ71="Blocked")+(BC71="Blocked")+(BF71="Blocked")+(P71="Blocked")+(BJ71="Blocked")+(BL71="Blocked")+(BN71="Blocked")+(BO71="Blocked"))&gt;0,"Blocked",IF((ISNUMBER(Q71)+ISNUMBER(T71)+ISNUMBER(W71)+ISNUMBER(AA71)+ISNUMBER(AG71)+ISNUMBER(AJ71)+ISNUMBER(AM71)+ISNUMBER(AP71)+ISNUMBER(AU71)+ISNUMBER(AX71)+ISNUMBER(BA71)+ISNUMBER(BD71)+ISNUMBER(O71)+ISNUMBER(BI71)+ISNUMBER(BK71)+ISNUMBER(BM71))=0,"Yet to start",IF(AND(OR(NOT(ISNUMBER(Q71)),S71="Completed",S71="N/A"),OR(NOT(ISNUMBER(T71)),V71="Completed",V71="N/A"),OR(NOT(ISNUMBER(W71)),Y71="Completed",Y71="N/A"),OR(NOT(ISNUMBER(AA71)),AC71="Completed",AC71="N/A"),OR(NOT(ISNUMBER(AG71)),AI71="Completed",AI71="N/A"),OR(NOT(ISNUMBER(AJ71)),AL71="Completed",AL71="N/A"),OR(NOT(ISNUMBER(AM71)),AO71="Completed",AO71="N/A"),OR(NOT(ISNUMBER(AP71)),AR71="Completed",AR71="N/A"),OR(NOT(ISNUMBER(AU71)),AW71="Completed",AW71="N/A"),OR(NOT(ISNUMBER(AX71)),AZ71="Completed",AZ71="N/A"),OR(NOT(ISNUMBER(BA71)),BC71="Completed",BC71="N/A"),OR(NOT(ISNUMBER(BD71)),BF71="Completed",BF71="N/A"),OR(NOT(ISNUMBER(O71)),P71="Completed",P71="N/A"),OR(NOT(ISNUMBER(BI71)),BJ71="Completed",BJ71="N/A"),OR(NOT(ISNUMBER(BK71)),BL71="Completed",BL71="N/A"),OR(NOT(ISNUMBER(BM71)),BN71="Completed",BN71="N/A"),OR(BO71="Completed",BO71="N/A")),"Completed",IF(((S71="In Progress")+(V71="In Progress")+(Y71="In Progress")+(AC71="In Progress")+(AI71="In Progress")+(AL71="In Progress")+(AO71="In Progress")+(AR71="In Progress")+(AW71="In Progress")+(AZ71="In Progress")+(BC71="In Progress")+(BF71="In Progress")+(P71="In Progress")+(BJ71="In Progress")+(BL71="In Progress")+(BN71="In Progress")+(BO71="In Progress"))&gt;0,"In Progress","Yet to start")))))</f>
        <v/>
      </c>
      <c r="E71" s="18" t="str">
        <f>IF(A71="","",IF(F71="","All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Review","CAB"},MATCH(F71,BQ71:CF71,0))))</f>
        <v/>
      </c>
      <c r="F71" s="19" t="str">
        <f>IF(A71="","",IF(COUNT(BQ71:CF71)=0,"",MIN(BQ71:CF71)))</f>
        <v/>
      </c>
      <c r="G71" s="18" t="str">
        <f ca="1">IF(A71="","",MAX(0,IF(AND(ISNUMBER(Q71),S71&lt;&gt;"Completed",S71&lt;&gt;"N/A",Q71&lt;TODAY()),TODAY()-Q71,0),IF(AND(ISNUMBER(T71),V71&lt;&gt;"Completed",V71&lt;&gt;"N/A",T71&lt;TODAY()),TODAY()-T71,0),IF(AND(ISNUMBER(W71),Y71&lt;&gt;"Completed",Y71&lt;&gt;"N/A",W71&lt;TODAY()),TODAY()-W71,0),IF(AND(ISNUMBER(AA71),AC71&lt;&gt;"Completed",AC71&lt;&gt;"N/A",AA71&lt;TODAY()),TODAY()-AA71,0),IF(AND(ISNUMBER(AG71),AI71&lt;&gt;"Completed",AI71&lt;&gt;"N/A",AG71&lt;TODAY()),TODAY()-AG71,0),IF(AND(ISNUMBER(AJ71),AL71&lt;&gt;"Completed",AL71&lt;&gt;"N/A",AJ71&lt;TODAY()),TODAY()-AJ71,0),IF(AND(ISNUMBER(AM71),AO71&lt;&gt;"Completed",AO71&lt;&gt;"N/A",AM71&lt;TODAY()),TODAY()-AM71,0),IF(AND(ISNUMBER(AP71),AR71&lt;&gt;"Completed",AR71&lt;&gt;"N/A",AP71&lt;TODAY()),TODAY()-AP71,0),IF(AND(ISNUMBER(AU71),AW71&lt;&gt;"Completed",AW71&lt;&gt;"N/A",AU71&lt;TODAY()),TODAY()-AU71,0),IF(AND(ISNUMBER(AX71),AZ71&lt;&gt;"Completed",AZ71&lt;&gt;"N/A",AX71&lt;TODAY()),TODAY()-AX71,0),IF(AND(ISNUMBER(BA71),BC71&lt;&gt;"Completed",BC71&lt;&gt;"N/A",BA71&lt;TODAY()),TODAY()-BA71,0),IF(AND(ISNUMBER(BD71),BF71&lt;&gt;"Completed",BF71&lt;&gt;"N/A",BD71&lt;TODAY()),TODAY()-BD71,0),IF(AND(ISNUMBER(O71),P71&lt;&gt;"Completed",P71&lt;&gt;"N/A",O71&lt;TODAY()),TODAY()-O71,0),IF(AND(ISNUMBER(BM71),BN71&lt;&gt;"Completed",BN71&lt;&gt;"N/A",BM71&lt;TODAY()),TODAY()-BM71,0),IF(AND(ISNUMBER(BK71),BL71&lt;&gt;"Completed",BL71&lt;&gt;"N/A",BK71&lt;TODAY()),TODAY()-BK71,0),IF(AND(ISNUMBER(BI71),BJ71&lt;&gt;"Completed",BJ71&lt;&gt;"N/A",BI71&lt;TODAY()),TODAY()-BI71,0)))</f>
        <v/>
      </c>
      <c r="H71" s="17"/>
      <c r="I71" s="17"/>
      <c r="J71" s="17"/>
      <c r="K71" s="19" t="str">
        <f>IF(ISNUMBER(H71),H71,IF(ISNUMBER(M71),M71-WEEKDAY(M71,2)+1-7,""))</f>
        <v/>
      </c>
      <c r="L71" s="19" t="str">
        <f>IF(ISNUMBER(I71),I71,IF(ISNUMBER(H71),WORKDAY(H71,SprintWorkingDays-1),IF(ISNUMBER(K71),WORKDAY(K71,SprintWorkingDays-1),"")))</f>
        <v/>
      </c>
      <c r="M71" s="19" t="str">
        <f>IF(ISNUMBER(J71),J71,IF(ISNUMBER(I71),I71-IF(OR(WEEKDAY(I71,2)=2,WEEKDAY(I71,2)=4),0,IF(WEEKDAY(I71,2)=3,1,IF(WEEKDAY(I71,2)=1,4,WEEKDAY(I71,2)-4))),IF(ISNUMBER(H71),WORKDAY(H71,SprintWorkingDays-1)-IF(OR(WEEKDAY(WORKDAY(H71,SprintWorkingDays-1),2)=2,WEEKDAY(WORKDAY(H71,SprintWorkingDays-1),2)=4),0,IF(WEEKDAY(WORKDAY(H71,SprintWorkingDays-1),2)=3,1,IF(WEEKDAY(WORKDAY(H71,SprintWorkingDays-1),2)=1,4,WEEKDAY(WORKDAY(H71,SprintWorkingDays-1),2)-4))),"")))</f>
        <v/>
      </c>
      <c r="N71" s="19" t="str">
        <f>IF(NOT(ISNUMBER(K71)),"",WORKDAY(K71,ReadyOffsetWD))</f>
        <v/>
      </c>
      <c r="O71" s="19" t="str">
        <f>IF(NOT(ISNUMBER(K71)),"",WORKDAY(K71,SprintReadinessOffsetWD))</f>
        <v/>
      </c>
      <c r="P71" s="17"/>
      <c r="Q71" s="19" t="str">
        <f>IF(A71="","",IF(V71="N/A",IF(NOT(ISNUMBER(W71)),"",WORKDAY(W71,RTSKOffsetFromOUR_WD)),IF(NOT(ISNUMBER(T71)),"",WORKDAY(T71,RTSKOffsetFromOUR_WD))))</f>
        <v/>
      </c>
      <c r="R71" s="17"/>
      <c r="S71" s="17"/>
      <c r="T71" s="19" t="str">
        <f>IF(OR(A71="",V71="N/A"),"",IF(NOT(ISNUMBER(W71)),"",WORKDAY(W71,OUROffsetFromSR_WD)))</f>
        <v/>
      </c>
      <c r="U71" s="17"/>
      <c r="V71" s="17"/>
      <c r="W71" s="19" t="str">
        <f>IF(OR(A71="",NOT(ISNUMBER(K71))),"",WORKDAY(K71,SROffsetFromStartWD))</f>
        <v/>
      </c>
      <c r="X71" s="17"/>
      <c r="Y71" s="17"/>
      <c r="Z71" s="17"/>
      <c r="AA71" s="19" t="str">
        <f>IF(OR(Z71="",Z71="N/A"),"",IF(ISNUMBER(Q71),Q71,""))</f>
        <v/>
      </c>
      <c r="AB71" s="17"/>
      <c r="AC71" s="17"/>
      <c r="AD71" s="17"/>
      <c r="AE71" s="17"/>
      <c r="AF71" s="17" t="str">
        <f>IF(Z71="N/A","N/A","")</f>
        <v/>
      </c>
      <c r="AG71" s="19" t="str">
        <f>IF(NOT(ISNUMBER(Q71)),"",Q71)</f>
        <v/>
      </c>
      <c r="AH71" s="17"/>
      <c r="AI71" s="17"/>
      <c r="AJ71" s="19" t="str">
        <f>IF(OR(AL71="N/A",NOT(ISNUMBER(T71))),"",T71)</f>
        <v/>
      </c>
      <c r="AK71" s="17"/>
      <c r="AL71" s="17"/>
      <c r="AM71" s="19" t="str">
        <f>IF(NOT(ISNUMBER(W71)),"",W71)</f>
        <v/>
      </c>
      <c r="AN71" s="17"/>
      <c r="AO71" s="17"/>
      <c r="AP71" s="19" t="str">
        <f>IF(OR(Z71="",Z71="N/A"),"",IF(ISNUMBER(AG71),AG71,""))</f>
        <v/>
      </c>
      <c r="AQ71" s="17"/>
      <c r="AR71" s="17"/>
      <c r="AS71" s="17"/>
      <c r="AT71" s="17"/>
      <c r="AU71" s="19" t="str">
        <f>IF(NOT(ISNUMBER(Q71)),"",Q71)</f>
        <v/>
      </c>
      <c r="AV71" s="17"/>
      <c r="AW71" s="17"/>
      <c r="AX71" s="19" t="str">
        <f>IF(OR(AZ71="N/A",NOT(ISNUMBER(T71))),"",T71)</f>
        <v/>
      </c>
      <c r="AY71" s="17"/>
      <c r="AZ71" s="17"/>
      <c r="BA71" s="19" t="str">
        <f>IF(NOT(ISNUMBER(W71)),"",W71)</f>
        <v/>
      </c>
      <c r="BB71" s="17"/>
      <c r="BC71" s="17"/>
      <c r="BD71" s="19" t="str">
        <f>IF(OR(Z71="",Z71="N/A"),"",IF(ISNUMBER(AU71),AU71,""))</f>
        <v/>
      </c>
      <c r="BE71" s="17"/>
      <c r="BF71" s="17"/>
      <c r="BG71" s="17"/>
      <c r="BH71" s="17"/>
      <c r="BI71" s="89" t="e">
        <f>IF(OR(A71="",NOT(ISNUMBER(M71)),AND(WEEKDAY(M71,2)&lt;&gt;2,WEEKDAY(M71,2)&lt;&gt;4)),"",WORKDAY(M71,CABOffsetFromReleaseWD))</f>
        <v>#VALUE!</v>
      </c>
      <c r="BJ71" s="17"/>
      <c r="BK71" s="19" t="str">
        <f>IF(NOT(ISNUMBER(BI71)),"",IF(WEEKDAY(BI71-CodeReviewCalendarDays,2)&gt;5,BI71-CodeReviewCalendarDays-(WEEKDAY(BI71-CodeReviewCalendarDays,2)-5),BI71-CodeReviewCalendarDays))</f>
        <v/>
      </c>
      <c r="BL71" s="17"/>
      <c r="BM71" s="19" t="str">
        <f>IF(NOT(ISNUMBER(BK71)),"",IF(WEEKDAY(BK71-CodeReviewInviteCalendarDays,2)&gt;5,BK71-CodeReviewInviteCalendarDays-(WEEKDAY(BK71-CodeReviewInviteCalendarDays,2)-5),BK71-CodeReviewInviteCalendarDays))</f>
        <v/>
      </c>
      <c r="BN71" s="17"/>
      <c r="BO71" s="17"/>
      <c r="BP71" s="18" t="str">
        <f ca="1">IF(A71="","",IF(IF(AND(ISNUMBER(J71),WEEKDAY(J71,2)&lt;&gt;2,WEEKDAY(J71,2)&lt;&gt;4)," | Release must be Tuesday or Thursday","")&amp;IF(AND(ISNUMBER(H71),WEEKDAY(H71,2)&lt;&gt;1)," | Sprint Start is not a Monday - dates still calculated from the date entered","")&amp;IF(AND(A71&lt;&gt;"",NOT(ISNUMBER(H71)),NOT(ISNUMBER(J71)))," | Enter Sprint Start or Release Date","")&amp;IF(AND(ISNUMBER(F71),F71&lt;TODAY(),D71&lt;&gt;"Completed")," | One or more raise-by dates are in the past and not completed","")&amp;IF(AND(ISNUMBER(K71),K71-TODAY()&lt;SprintWarningDays,K71&gt;=TODAY(),OR(D71="Yet to start",D71="Blocked"))," | Sprint starts in under 10 days - raise access requests now","")&amp;IF(AND(ISNUMBER(BM71),BN71&lt;&gt;"Completed",BN71&lt;&gt;"N/A",BM71-TODAY()&lt;CodeReviewInviteCalendarDays)," | Code Review invite should be sent at least 4 days before Code Review","")="","",MID(IF(AND(ISNUMBER(J71),WEEKDAY(J71,2)&lt;&gt;2,WEEKDAY(J71,2)&lt;&gt;4)," | Release must be Tuesday or Thursday","")&amp;IF(AND(ISNUMBER(H71),WEEKDAY(H71,2)&lt;&gt;1)," | Sprint Start is not a Monday - dates still calculated from the date entered","")&amp;IF(AND(A71&lt;&gt;"",NOT(ISNUMBER(H71)),NOT(ISNUMBER(J71)))," | Enter Sprint Start or Release Date","")&amp;IF(AND(ISNUMBER(F71),F71&lt;TODAY(),D71&lt;&gt;"Completed")," | One or more raise-by dates are in the past and not completed","")&amp;IF(AND(ISNUMBER(K71),K71-TODAY()&lt;SprintWarningDays,K71&gt;=TODAY(),OR(D71="Yet to start",D71="Blocked"))," | Sprint starts in under 10 days - raise access requests now","")&amp;IF(AND(ISNUMBER(BM71),BN71&lt;&gt;"Completed",BN71&lt;&gt;"N/A",BM71-TODAY()&lt;CodeReviewInviteCalendarDays)," | Code Review invite should be sent at least 4 days before Code Review",""),4,500)))</f>
        <v/>
      </c>
      <c r="BQ71" s="85" t="str">
        <f>IF(AND(ISNUMBER(Q71),S71&lt;&gt;"Completed",S71&lt;&gt;"N/A"),Q71,"")</f>
        <v/>
      </c>
      <c r="BR71" s="85" t="str">
        <f>IF(AND(ISNUMBER(T71),V71&lt;&gt;"Completed",V71&lt;&gt;"N/A"),T71,"")</f>
        <v/>
      </c>
      <c r="BS71" s="85" t="str">
        <f>IF(AND(ISNUMBER(W71),Y71&lt;&gt;"Completed",Y71&lt;&gt;"N/A"),W71,"")</f>
        <v/>
      </c>
      <c r="BT71" s="85" t="str">
        <f>IF(AND(ISNUMBER(AA71),AC71&lt;&gt;"Completed",AC71&lt;&gt;"N/A"),AA71,"")</f>
        <v/>
      </c>
      <c r="BU71" s="85" t="str">
        <f>IF(AND(ISNUMBER(AG71),AI71&lt;&gt;"Completed",AI71&lt;&gt;"N/A"),AG71,"")</f>
        <v/>
      </c>
      <c r="BV71" s="85" t="str">
        <f>IF(AND(ISNUMBER(AJ71),AL71&lt;&gt;"Completed",AL71&lt;&gt;"N/A"),AJ71,"")</f>
        <v/>
      </c>
      <c r="BW71" s="85" t="str">
        <f>IF(AND(ISNUMBER(AM71),AO71&lt;&gt;"Completed",AO71&lt;&gt;"N/A"),AM71,"")</f>
        <v/>
      </c>
      <c r="BX71" s="85" t="str">
        <f>IF(AND(ISNUMBER(AP71),AR71&lt;&gt;"Completed",AR71&lt;&gt;"N/A"),AP71,"")</f>
        <v/>
      </c>
      <c r="BY71" s="85" t="str">
        <f>IF(AND(ISNUMBER(AU71),AW71&lt;&gt;"Completed",AW71&lt;&gt;"N/A"),AU71,"")</f>
        <v/>
      </c>
      <c r="BZ71" s="85" t="str">
        <f>IF(AND(ISNUMBER(AX71),AZ71&lt;&gt;"Completed",AZ71&lt;&gt;"N/A"),AX71,"")</f>
        <v/>
      </c>
      <c r="CA71" s="85" t="str">
        <f>IF(AND(ISNUMBER(BA71),BC71&lt;&gt;"Completed",BC71&lt;&gt;"N/A"),BA71,"")</f>
        <v/>
      </c>
      <c r="CB71" s="85" t="str">
        <f>IF(AND(ISNUMBER(BD71),BF71&lt;&gt;"Completed",BF71&lt;&gt;"N/A"),BD71,"")</f>
        <v/>
      </c>
      <c r="CC71" s="85" t="str">
        <f>IF(AND(ISNUMBER(O71),P71&lt;&gt;"Completed",P71&lt;&gt;"N/A"),O71,"")</f>
        <v/>
      </c>
      <c r="CD71" s="85" t="str">
        <f>IF(AND(ISNUMBER(BM71),BN71&lt;&gt;"Completed",BN71&lt;&gt;"N/A"),BM71,"")</f>
        <v/>
      </c>
      <c r="CE71" s="85" t="str">
        <f>IF(AND(ISNUMBER(BK71),BL71&lt;&gt;"Completed",BL71&lt;&gt;"N/A"),BK71,"")</f>
        <v/>
      </c>
      <c r="CF71" s="85" t="str">
        <f>IF(AND(ISNUMBER(BI71),BJ71&lt;&gt;"Completed",BJ71&lt;&gt;"N/A"),BI71,"")</f>
        <v/>
      </c>
      <c r="CG71" s="85" t="str">
        <f ca="1">IF(OR(A71="",D71="Completed"),"",IF(N(G71)&gt;0,1/(N(G71)+ROW()/100000),IF(ISNUMBER(F71),1000+F71+ROW()/100000,TODAY()+400+ROW()/100000)))</f>
        <v/>
      </c>
    </row>
    <row r="72" spans="1:85">
      <c r="A72" s="17"/>
      <c r="B72" s="17"/>
      <c r="C72" s="17"/>
      <c r="D72" s="18" t="str">
        <f>IF(A72="","",IF(((S72="Blocked")+(V72="Blocked")+(Y72="Blocked")+(AC72="Blocked")+(AI72="Blocked")+(AL72="Blocked")+(AO72="Blocked")+(AR72="Blocked")+(AW72="Blocked")+(AZ72="Blocked")+(BC72="Blocked")+(BF72="Blocked")+(P72="Blocked")+(BJ72="Blocked")+(BL72="Blocked")+(BN72="Blocked")+(BO72="Blocked"))&gt;0,"Blocked",IF((ISNUMBER(Q72)+ISNUMBER(T72)+ISNUMBER(W72)+ISNUMBER(AA72)+ISNUMBER(AG72)+ISNUMBER(AJ72)+ISNUMBER(AM72)+ISNUMBER(AP72)+ISNUMBER(AU72)+ISNUMBER(AX72)+ISNUMBER(BA72)+ISNUMBER(BD72)+ISNUMBER(O72)+ISNUMBER(BI72)+ISNUMBER(BK72)+ISNUMBER(BM72))=0,"Yet to start",IF(AND(OR(NOT(ISNUMBER(Q72)),S72="Completed",S72="N/A"),OR(NOT(ISNUMBER(T72)),V72="Completed",V72="N/A"),OR(NOT(ISNUMBER(W72)),Y72="Completed",Y72="N/A"),OR(NOT(ISNUMBER(AA72)),AC72="Completed",AC72="N/A"),OR(NOT(ISNUMBER(AG72)),AI72="Completed",AI72="N/A"),OR(NOT(ISNUMBER(AJ72)),AL72="Completed",AL72="N/A"),OR(NOT(ISNUMBER(AM72)),AO72="Completed",AO72="N/A"),OR(NOT(ISNUMBER(AP72)),AR72="Completed",AR72="N/A"),OR(NOT(ISNUMBER(AU72)),AW72="Completed",AW72="N/A"),OR(NOT(ISNUMBER(AX72)),AZ72="Completed",AZ72="N/A"),OR(NOT(ISNUMBER(BA72)),BC72="Completed",BC72="N/A"),OR(NOT(ISNUMBER(BD72)),BF72="Completed",BF72="N/A"),OR(NOT(ISNUMBER(O72)),P72="Completed",P72="N/A"),OR(NOT(ISNUMBER(BI72)),BJ72="Completed",BJ72="N/A"),OR(NOT(ISNUMBER(BK72)),BL72="Completed",BL72="N/A"),OR(NOT(ISNUMBER(BM72)),BN72="Completed",BN72="N/A"),OR(BO72="Completed",BO72="N/A")),"Completed",IF(((S72="In Progress")+(V72="In Progress")+(Y72="In Progress")+(AC72="In Progress")+(AI72="In Progress")+(AL72="In Progress")+(AO72="In Progress")+(AR72="In Progress")+(AW72="In Progress")+(AZ72="In Progress")+(BC72="In Progress")+(BF72="In Progress")+(P72="In Progress")+(BJ72="In Progress")+(BL72="In Progress")+(BN72="In Progress")+(BO72="In Progress"))&gt;0,"In Progress","Yet to start")))))</f>
        <v/>
      </c>
      <c r="E72" s="18" t="str">
        <f>IF(A72="","",IF(F72="","All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Review","CAB"},MATCH(F72,BQ72:CF72,0))))</f>
        <v/>
      </c>
      <c r="F72" s="19" t="str">
        <f>IF(A72="","",IF(COUNT(BQ72:CF72)=0,"",MIN(BQ72:CF72)))</f>
        <v/>
      </c>
      <c r="G72" s="18" t="str">
        <f ca="1">IF(A72="","",MAX(0,IF(AND(ISNUMBER(Q72),S72&lt;&gt;"Completed",S72&lt;&gt;"N/A",Q72&lt;TODAY()),TODAY()-Q72,0),IF(AND(ISNUMBER(T72),V72&lt;&gt;"Completed",V72&lt;&gt;"N/A",T72&lt;TODAY()),TODAY()-T72,0),IF(AND(ISNUMBER(W72),Y72&lt;&gt;"Completed",Y72&lt;&gt;"N/A",W72&lt;TODAY()),TODAY()-W72,0),IF(AND(ISNUMBER(AA72),AC72&lt;&gt;"Completed",AC72&lt;&gt;"N/A",AA72&lt;TODAY()),TODAY()-AA72,0),IF(AND(ISNUMBER(AG72),AI72&lt;&gt;"Completed",AI72&lt;&gt;"N/A",AG72&lt;TODAY()),TODAY()-AG72,0),IF(AND(ISNUMBER(AJ72),AL72&lt;&gt;"Completed",AL72&lt;&gt;"N/A",AJ72&lt;TODAY()),TODAY()-AJ72,0),IF(AND(ISNUMBER(AM72),AO72&lt;&gt;"Completed",AO72&lt;&gt;"N/A",AM72&lt;TODAY()),TODAY()-AM72,0),IF(AND(ISNUMBER(AP72),AR72&lt;&gt;"Completed",AR72&lt;&gt;"N/A",AP72&lt;TODAY()),TODAY()-AP72,0),IF(AND(ISNUMBER(AU72),AW72&lt;&gt;"Completed",AW72&lt;&gt;"N/A",AU72&lt;TODAY()),TODAY()-AU72,0),IF(AND(ISNUMBER(AX72),AZ72&lt;&gt;"Completed",AZ72&lt;&gt;"N/A",AX72&lt;TODAY()),TODAY()-AX72,0),IF(AND(ISNUMBER(BA72),BC72&lt;&gt;"Completed",BC72&lt;&gt;"N/A",BA72&lt;TODAY()),TODAY()-BA72,0),IF(AND(ISNUMBER(BD72),BF72&lt;&gt;"Completed",BF72&lt;&gt;"N/A",BD72&lt;TODAY()),TODAY()-BD72,0),IF(AND(ISNUMBER(O72),P72&lt;&gt;"Completed",P72&lt;&gt;"N/A",O72&lt;TODAY()),TODAY()-O72,0),IF(AND(ISNUMBER(BM72),BN72&lt;&gt;"Completed",BN72&lt;&gt;"N/A",BM72&lt;TODAY()),TODAY()-BM72,0),IF(AND(ISNUMBER(BK72),BL72&lt;&gt;"Completed",BL72&lt;&gt;"N/A",BK72&lt;TODAY()),TODAY()-BK72,0),IF(AND(ISNUMBER(BI72),BJ72&lt;&gt;"Completed",BJ72&lt;&gt;"N/A",BI72&lt;TODAY()),TODAY()-BI72,0)))</f>
        <v/>
      </c>
      <c r="H72" s="17"/>
      <c r="I72" s="17"/>
      <c r="J72" s="17"/>
      <c r="K72" s="19" t="str">
        <f>IF(ISNUMBER(H72),H72,IF(ISNUMBER(M72),M72-WEEKDAY(M72,2)+1-7,""))</f>
        <v/>
      </c>
      <c r="L72" s="19" t="str">
        <f>IF(ISNUMBER(I72),I72,IF(ISNUMBER(H72),WORKDAY(H72,SprintWorkingDays-1),IF(ISNUMBER(K72),WORKDAY(K72,SprintWorkingDays-1),"")))</f>
        <v/>
      </c>
      <c r="M72" s="19" t="str">
        <f>IF(ISNUMBER(J72),J72,IF(ISNUMBER(I72),I72-IF(OR(WEEKDAY(I72,2)=2,WEEKDAY(I72,2)=4),0,IF(WEEKDAY(I72,2)=3,1,IF(WEEKDAY(I72,2)=1,4,WEEKDAY(I72,2)-4))),IF(ISNUMBER(H72),WORKDAY(H72,SprintWorkingDays-1)-IF(OR(WEEKDAY(WORKDAY(H72,SprintWorkingDays-1),2)=2,WEEKDAY(WORKDAY(H72,SprintWorkingDays-1),2)=4),0,IF(WEEKDAY(WORKDAY(H72,SprintWorkingDays-1),2)=3,1,IF(WEEKDAY(WORKDAY(H72,SprintWorkingDays-1),2)=1,4,WEEKDAY(WORKDAY(H72,SprintWorkingDays-1),2)-4))),"")))</f>
        <v/>
      </c>
      <c r="N72" s="19" t="str">
        <f>IF(NOT(ISNUMBER(K72)),"",WORKDAY(K72,ReadyOffsetWD))</f>
        <v/>
      </c>
      <c r="O72" s="19" t="str">
        <f>IF(NOT(ISNUMBER(K72)),"",WORKDAY(K72,SprintReadinessOffsetWD))</f>
        <v/>
      </c>
      <c r="P72" s="17"/>
      <c r="Q72" s="19" t="str">
        <f>IF(A72="","",IF(V72="N/A",IF(NOT(ISNUMBER(W72)),"",WORKDAY(W72,RTSKOffsetFromOUR_WD)),IF(NOT(ISNUMBER(T72)),"",WORKDAY(T72,RTSKOffsetFromOUR_WD))))</f>
        <v/>
      </c>
      <c r="R72" s="17"/>
      <c r="S72" s="17"/>
      <c r="T72" s="19" t="str">
        <f>IF(OR(A72="",V72="N/A"),"",IF(NOT(ISNUMBER(W72)),"",WORKDAY(W72,OUROffsetFromSR_WD)))</f>
        <v/>
      </c>
      <c r="U72" s="17"/>
      <c r="V72" s="17"/>
      <c r="W72" s="19" t="str">
        <f>IF(OR(A72="",NOT(ISNUMBER(K72))),"",WORKDAY(K72,SROffsetFromStartWD))</f>
        <v/>
      </c>
      <c r="X72" s="17"/>
      <c r="Y72" s="17"/>
      <c r="Z72" s="17"/>
      <c r="AA72" s="19" t="str">
        <f>IF(OR(Z72="",Z72="N/A"),"",IF(ISNUMBER(Q72),Q72,""))</f>
        <v/>
      </c>
      <c r="AB72" s="17"/>
      <c r="AC72" s="17"/>
      <c r="AD72" s="17"/>
      <c r="AE72" s="17"/>
      <c r="AF72" s="17" t="str">
        <f>IF(Z72="N/A","N/A","")</f>
        <v/>
      </c>
      <c r="AG72" s="19" t="str">
        <f>IF(NOT(ISNUMBER(Q72)),"",Q72)</f>
        <v/>
      </c>
      <c r="AH72" s="17"/>
      <c r="AI72" s="17"/>
      <c r="AJ72" s="19" t="str">
        <f>IF(OR(AL72="N/A",NOT(ISNUMBER(T72))),"",T72)</f>
        <v/>
      </c>
      <c r="AK72" s="17"/>
      <c r="AL72" s="17"/>
      <c r="AM72" s="19" t="str">
        <f>IF(NOT(ISNUMBER(W72)),"",W72)</f>
        <v/>
      </c>
      <c r="AN72" s="17"/>
      <c r="AO72" s="17"/>
      <c r="AP72" s="19" t="str">
        <f>IF(OR(Z72="",Z72="N/A"),"",IF(ISNUMBER(AG72),AG72,""))</f>
        <v/>
      </c>
      <c r="AQ72" s="17"/>
      <c r="AR72" s="17"/>
      <c r="AS72" s="17"/>
      <c r="AT72" s="17"/>
      <c r="AU72" s="19" t="str">
        <f>IF(NOT(ISNUMBER(Q72)),"",Q72)</f>
        <v/>
      </c>
      <c r="AV72" s="17"/>
      <c r="AW72" s="17"/>
      <c r="AX72" s="19" t="str">
        <f>IF(OR(AZ72="N/A",NOT(ISNUMBER(T72))),"",T72)</f>
        <v/>
      </c>
      <c r="AY72" s="17"/>
      <c r="AZ72" s="17"/>
      <c r="BA72" s="19" t="str">
        <f>IF(NOT(ISNUMBER(W72)),"",W72)</f>
        <v/>
      </c>
      <c r="BB72" s="17"/>
      <c r="BC72" s="17"/>
      <c r="BD72" s="19" t="str">
        <f>IF(OR(Z72="",Z72="N/A"),"",IF(ISNUMBER(AU72),AU72,""))</f>
        <v/>
      </c>
      <c r="BE72" s="17"/>
      <c r="BF72" s="17"/>
      <c r="BG72" s="17"/>
      <c r="BH72" s="17"/>
      <c r="BI72" s="89" t="e">
        <f>IF(OR(A72="",NOT(ISNUMBER(M72)),AND(WEEKDAY(M72,2)&lt;&gt;2,WEEKDAY(M72,2)&lt;&gt;4)),"",WORKDAY(M72,CABOffsetFromReleaseWD))</f>
        <v>#VALUE!</v>
      </c>
      <c r="BJ72" s="17"/>
      <c r="BK72" s="19" t="str">
        <f>IF(NOT(ISNUMBER(BI72)),"",IF(WEEKDAY(BI72-CodeReviewCalendarDays,2)&gt;5,BI72-CodeReviewCalendarDays-(WEEKDAY(BI72-CodeReviewCalendarDays,2)-5),BI72-CodeReviewCalendarDays))</f>
        <v/>
      </c>
      <c r="BL72" s="17"/>
      <c r="BM72" s="19" t="str">
        <f>IF(NOT(ISNUMBER(BK72)),"",IF(WEEKDAY(BK72-CodeReviewInviteCalendarDays,2)&gt;5,BK72-CodeReviewInviteCalendarDays-(WEEKDAY(BK72-CodeReviewInviteCalendarDays,2)-5),BK72-CodeReviewInviteCalendarDays))</f>
        <v/>
      </c>
      <c r="BN72" s="17"/>
      <c r="BO72" s="17"/>
      <c r="BP72" s="18" t="str">
        <f ca="1">IF(A72="","",IF(IF(AND(ISNUMBER(J72),WEEKDAY(J72,2)&lt;&gt;2,WEEKDAY(J72,2)&lt;&gt;4)," | Release must be Tuesday or Thursday","")&amp;IF(AND(ISNUMBER(H72),WEEKDAY(H72,2)&lt;&gt;1)," | Sprint Start is not a Monday - dates still calculated from the date entered","")&amp;IF(AND(A72&lt;&gt;"",NOT(ISNUMBER(H72)),NOT(ISNUMBER(J72)))," | Enter Sprint Start or Release Date","")&amp;IF(AND(ISNUMBER(F72),F72&lt;TODAY(),D72&lt;&gt;"Completed")," | One or more raise-by dates are in the past and not completed","")&amp;IF(AND(ISNUMBER(K72),K72-TODAY()&lt;SprintWarningDays,K72&gt;=TODAY(),OR(D72="Yet to start",D72="Blocked"))," | Sprint starts in under 10 days - raise access requests now","")&amp;IF(AND(ISNUMBER(BM72),BN72&lt;&gt;"Completed",BN72&lt;&gt;"N/A",BM72-TODAY()&lt;CodeReviewInviteCalendarDays)," | Code Review invite should be sent at least 4 days before Code Review","")="","",MID(IF(AND(ISNUMBER(J72),WEEKDAY(J72,2)&lt;&gt;2,WEEKDAY(J72,2)&lt;&gt;4)," | Release must be Tuesday or Thursday","")&amp;IF(AND(ISNUMBER(H72),WEEKDAY(H72,2)&lt;&gt;1)," | Sprint Start is not a Monday - dates still calculated from the date entered","")&amp;IF(AND(A72&lt;&gt;"",NOT(ISNUMBER(H72)),NOT(ISNUMBER(J72)))," | Enter Sprint Start or Release Date","")&amp;IF(AND(ISNUMBER(F72),F72&lt;TODAY(),D72&lt;&gt;"Completed")," | One or more raise-by dates are in the past and not completed","")&amp;IF(AND(ISNUMBER(K72),K72-TODAY()&lt;SprintWarningDays,K72&gt;=TODAY(),OR(D72="Yet to start",D72="Blocked"))," | Sprint starts in under 10 days - raise access requests now","")&amp;IF(AND(ISNUMBER(BM72),BN72&lt;&gt;"Completed",BN72&lt;&gt;"N/A",BM72-TODAY()&lt;CodeReviewInviteCalendarDays)," | Code Review invite should be sent at least 4 days before Code Review",""),4,500)))</f>
        <v/>
      </c>
      <c r="BQ72" s="85" t="str">
        <f>IF(AND(ISNUMBER(Q72),S72&lt;&gt;"Completed",S72&lt;&gt;"N/A"),Q72,"")</f>
        <v/>
      </c>
      <c r="BR72" s="85" t="str">
        <f>IF(AND(ISNUMBER(T72),V72&lt;&gt;"Completed",V72&lt;&gt;"N/A"),T72,"")</f>
        <v/>
      </c>
      <c r="BS72" s="85" t="str">
        <f>IF(AND(ISNUMBER(W72),Y72&lt;&gt;"Completed",Y72&lt;&gt;"N/A"),W72,"")</f>
        <v/>
      </c>
      <c r="BT72" s="85" t="str">
        <f>IF(AND(ISNUMBER(AA72),AC72&lt;&gt;"Completed",AC72&lt;&gt;"N/A"),AA72,"")</f>
        <v/>
      </c>
      <c r="BU72" s="85" t="str">
        <f>IF(AND(ISNUMBER(AG72),AI72&lt;&gt;"Completed",AI72&lt;&gt;"N/A"),AG72,"")</f>
        <v/>
      </c>
      <c r="BV72" s="85" t="str">
        <f>IF(AND(ISNUMBER(AJ72),AL72&lt;&gt;"Completed",AL72&lt;&gt;"N/A"),AJ72,"")</f>
        <v/>
      </c>
      <c r="BW72" s="85" t="str">
        <f>IF(AND(ISNUMBER(AM72),AO72&lt;&gt;"Completed",AO72&lt;&gt;"N/A"),AM72,"")</f>
        <v/>
      </c>
      <c r="BX72" s="85" t="str">
        <f>IF(AND(ISNUMBER(AP72),AR72&lt;&gt;"Completed",AR72&lt;&gt;"N/A"),AP72,"")</f>
        <v/>
      </c>
      <c r="BY72" s="85" t="str">
        <f>IF(AND(ISNUMBER(AU72),AW72&lt;&gt;"Completed",AW72&lt;&gt;"N/A"),AU72,"")</f>
        <v/>
      </c>
      <c r="BZ72" s="85" t="str">
        <f>IF(AND(ISNUMBER(AX72),AZ72&lt;&gt;"Completed",AZ72&lt;&gt;"N/A"),AX72,"")</f>
        <v/>
      </c>
      <c r="CA72" s="85" t="str">
        <f>IF(AND(ISNUMBER(BA72),BC72&lt;&gt;"Completed",BC72&lt;&gt;"N/A"),BA72,"")</f>
        <v/>
      </c>
      <c r="CB72" s="85" t="str">
        <f>IF(AND(ISNUMBER(BD72),BF72&lt;&gt;"Completed",BF72&lt;&gt;"N/A"),BD72,"")</f>
        <v/>
      </c>
      <c r="CC72" s="85" t="str">
        <f>IF(AND(ISNUMBER(O72),P72&lt;&gt;"Completed",P72&lt;&gt;"N/A"),O72,"")</f>
        <v/>
      </c>
      <c r="CD72" s="85" t="str">
        <f>IF(AND(ISNUMBER(BM72),BN72&lt;&gt;"Completed",BN72&lt;&gt;"N/A"),BM72,"")</f>
        <v/>
      </c>
      <c r="CE72" s="85" t="str">
        <f>IF(AND(ISNUMBER(BK72),BL72&lt;&gt;"Completed",BL72&lt;&gt;"N/A"),BK72,"")</f>
        <v/>
      </c>
      <c r="CF72" s="85" t="str">
        <f>IF(AND(ISNUMBER(BI72),BJ72&lt;&gt;"Completed",BJ72&lt;&gt;"N/A"),BI72,"")</f>
        <v/>
      </c>
      <c r="CG72" s="85" t="str">
        <f ca="1">IF(OR(A72="",D72="Completed"),"",IF(N(G72)&gt;0,1/(N(G72)+ROW()/100000),IF(ISNUMBER(F72),1000+F72+ROW()/100000,TODAY()+400+ROW()/100000)))</f>
        <v/>
      </c>
    </row>
    <row r="73" spans="1:85">
      <c r="A73" s="17"/>
      <c r="B73" s="17"/>
      <c r="C73" s="17"/>
      <c r="D73" s="18" t="str">
        <f>IF(A73="","",IF(((S73="Blocked")+(V73="Blocked")+(Y73="Blocked")+(AC73="Blocked")+(AI73="Blocked")+(AL73="Blocked")+(AO73="Blocked")+(AR73="Blocked")+(AW73="Blocked")+(AZ73="Blocked")+(BC73="Blocked")+(BF73="Blocked")+(P73="Blocked")+(BJ73="Blocked")+(BL73="Blocked")+(BN73="Blocked")+(BO73="Blocked"))&gt;0,"Blocked",IF((ISNUMBER(Q73)+ISNUMBER(T73)+ISNUMBER(W73)+ISNUMBER(AA73)+ISNUMBER(AG73)+ISNUMBER(AJ73)+ISNUMBER(AM73)+ISNUMBER(AP73)+ISNUMBER(AU73)+ISNUMBER(AX73)+ISNUMBER(BA73)+ISNUMBER(BD73)+ISNUMBER(O73)+ISNUMBER(BI73)+ISNUMBER(BK73)+ISNUMBER(BM73))=0,"Yet to start",IF(AND(OR(NOT(ISNUMBER(Q73)),S73="Completed",S73="N/A"),OR(NOT(ISNUMBER(T73)),V73="Completed",V73="N/A"),OR(NOT(ISNUMBER(W73)),Y73="Completed",Y73="N/A"),OR(NOT(ISNUMBER(AA73)),AC73="Completed",AC73="N/A"),OR(NOT(ISNUMBER(AG73)),AI73="Completed",AI73="N/A"),OR(NOT(ISNUMBER(AJ73)),AL73="Completed",AL73="N/A"),OR(NOT(ISNUMBER(AM73)),AO73="Completed",AO73="N/A"),OR(NOT(ISNUMBER(AP73)),AR73="Completed",AR73="N/A"),OR(NOT(ISNUMBER(AU73)),AW73="Completed",AW73="N/A"),OR(NOT(ISNUMBER(AX73)),AZ73="Completed",AZ73="N/A"),OR(NOT(ISNUMBER(BA73)),BC73="Completed",BC73="N/A"),OR(NOT(ISNUMBER(BD73)),BF73="Completed",BF73="N/A"),OR(NOT(ISNUMBER(O73)),P73="Completed",P73="N/A"),OR(NOT(ISNUMBER(BI73)),BJ73="Completed",BJ73="N/A"),OR(NOT(ISNUMBER(BK73)),BL73="Completed",BL73="N/A"),OR(NOT(ISNUMBER(BM73)),BN73="Completed",BN73="N/A"),OR(BO73="Completed",BO73="N/A")),"Completed",IF(((S73="In Progress")+(V73="In Progress")+(Y73="In Progress")+(AC73="In Progress")+(AI73="In Progress")+(AL73="In Progress")+(AO73="In Progress")+(AR73="In Progress")+(AW73="In Progress")+(AZ73="In Progress")+(BC73="In Progress")+(BF73="In Progress")+(P73="In Progress")+(BJ73="In Progress")+(BL73="In Progress")+(BN73="In Progress")+(BO73="In Progress"))&gt;0,"In Progress","Yet to start")))))</f>
        <v/>
      </c>
      <c r="E73" s="18" t="str">
        <f>IF(A73="","",IF(F73="","All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Review","CAB"},MATCH(F73,BQ73:CF73,0))))</f>
        <v/>
      </c>
      <c r="F73" s="19" t="str">
        <f>IF(A73="","",IF(COUNT(BQ73:CF73)=0,"",MIN(BQ73:CF73)))</f>
        <v/>
      </c>
      <c r="G73" s="18" t="str">
        <f ca="1">IF(A73="","",MAX(0,IF(AND(ISNUMBER(Q73),S73&lt;&gt;"Completed",S73&lt;&gt;"N/A",Q73&lt;TODAY()),TODAY()-Q73,0),IF(AND(ISNUMBER(T73),V73&lt;&gt;"Completed",V73&lt;&gt;"N/A",T73&lt;TODAY()),TODAY()-T73,0),IF(AND(ISNUMBER(W73),Y73&lt;&gt;"Completed",Y73&lt;&gt;"N/A",W73&lt;TODAY()),TODAY()-W73,0),IF(AND(ISNUMBER(AA73),AC73&lt;&gt;"Completed",AC73&lt;&gt;"N/A",AA73&lt;TODAY()),TODAY()-AA73,0),IF(AND(ISNUMBER(AG73),AI73&lt;&gt;"Completed",AI73&lt;&gt;"N/A",AG73&lt;TODAY()),TODAY()-AG73,0),IF(AND(ISNUMBER(AJ73),AL73&lt;&gt;"Completed",AL73&lt;&gt;"N/A",AJ73&lt;TODAY()),TODAY()-AJ73,0),IF(AND(ISNUMBER(AM73),AO73&lt;&gt;"Completed",AO73&lt;&gt;"N/A",AM73&lt;TODAY()),TODAY()-AM73,0),IF(AND(ISNUMBER(AP73),AR73&lt;&gt;"Completed",AR73&lt;&gt;"N/A",AP73&lt;TODAY()),TODAY()-AP73,0),IF(AND(ISNUMBER(AU73),AW73&lt;&gt;"Completed",AW73&lt;&gt;"N/A",AU73&lt;TODAY()),TODAY()-AU73,0),IF(AND(ISNUMBER(AX73),AZ73&lt;&gt;"Completed",AZ73&lt;&gt;"N/A",AX73&lt;TODAY()),TODAY()-AX73,0),IF(AND(ISNUMBER(BA73),BC73&lt;&gt;"Completed",BC73&lt;&gt;"N/A",BA73&lt;TODAY()),TODAY()-BA73,0),IF(AND(ISNUMBER(BD73),BF73&lt;&gt;"Completed",BF73&lt;&gt;"N/A",BD73&lt;TODAY()),TODAY()-BD73,0),IF(AND(ISNUMBER(O73),P73&lt;&gt;"Completed",P73&lt;&gt;"N/A",O73&lt;TODAY()),TODAY()-O73,0),IF(AND(ISNUMBER(BM73),BN73&lt;&gt;"Completed",BN73&lt;&gt;"N/A",BM73&lt;TODAY()),TODAY()-BM73,0),IF(AND(ISNUMBER(BK73),BL73&lt;&gt;"Completed",BL73&lt;&gt;"N/A",BK73&lt;TODAY()),TODAY()-BK73,0),IF(AND(ISNUMBER(BI73),BJ73&lt;&gt;"Completed",BJ73&lt;&gt;"N/A",BI73&lt;TODAY()),TODAY()-BI73,0)))</f>
        <v/>
      </c>
      <c r="H73" s="17"/>
      <c r="I73" s="17"/>
      <c r="J73" s="17"/>
      <c r="K73" s="19" t="str">
        <f>IF(ISNUMBER(H73),H73,IF(ISNUMBER(M73),M73-WEEKDAY(M73,2)+1-7,""))</f>
        <v/>
      </c>
      <c r="L73" s="19" t="str">
        <f>IF(ISNUMBER(I73),I73,IF(ISNUMBER(H73),WORKDAY(H73,SprintWorkingDays-1),IF(ISNUMBER(K73),WORKDAY(K73,SprintWorkingDays-1),"")))</f>
        <v/>
      </c>
      <c r="M73" s="19" t="str">
        <f>IF(ISNUMBER(J73),J73,IF(ISNUMBER(I73),I73-IF(OR(WEEKDAY(I73,2)=2,WEEKDAY(I73,2)=4),0,IF(WEEKDAY(I73,2)=3,1,IF(WEEKDAY(I73,2)=1,4,WEEKDAY(I73,2)-4))),IF(ISNUMBER(H73),WORKDAY(H73,SprintWorkingDays-1)-IF(OR(WEEKDAY(WORKDAY(H73,SprintWorkingDays-1),2)=2,WEEKDAY(WORKDAY(H73,SprintWorkingDays-1),2)=4),0,IF(WEEKDAY(WORKDAY(H73,SprintWorkingDays-1),2)=3,1,IF(WEEKDAY(WORKDAY(H73,SprintWorkingDays-1),2)=1,4,WEEKDAY(WORKDAY(H73,SprintWorkingDays-1),2)-4))),"")))</f>
        <v/>
      </c>
      <c r="N73" s="19" t="str">
        <f>IF(NOT(ISNUMBER(K73)),"",WORKDAY(K73,ReadyOffsetWD))</f>
        <v/>
      </c>
      <c r="O73" s="19" t="str">
        <f>IF(NOT(ISNUMBER(K73)),"",WORKDAY(K73,SprintReadinessOffsetWD))</f>
        <v/>
      </c>
      <c r="P73" s="17"/>
      <c r="Q73" s="19" t="str">
        <f>IF(A73="","",IF(V73="N/A",IF(NOT(ISNUMBER(W73)),"",WORKDAY(W73,RTSKOffsetFromOUR_WD)),IF(NOT(ISNUMBER(T73)),"",WORKDAY(T73,RTSKOffsetFromOUR_WD))))</f>
        <v/>
      </c>
      <c r="R73" s="17"/>
      <c r="S73" s="17"/>
      <c r="T73" s="19" t="str">
        <f>IF(OR(A73="",V73="N/A"),"",IF(NOT(ISNUMBER(W73)),"",WORKDAY(W73,OUROffsetFromSR_WD)))</f>
        <v/>
      </c>
      <c r="U73" s="17"/>
      <c r="V73" s="17"/>
      <c r="W73" s="19" t="str">
        <f>IF(OR(A73="",NOT(ISNUMBER(K73))),"",WORKDAY(K73,SROffsetFromStartWD))</f>
        <v/>
      </c>
      <c r="X73" s="17"/>
      <c r="Y73" s="17"/>
      <c r="Z73" s="17"/>
      <c r="AA73" s="19" t="str">
        <f>IF(OR(Z73="",Z73="N/A"),"",IF(ISNUMBER(Q73),Q73,""))</f>
        <v/>
      </c>
      <c r="AB73" s="17"/>
      <c r="AC73" s="17"/>
      <c r="AD73" s="17"/>
      <c r="AE73" s="17"/>
      <c r="AF73" s="17" t="str">
        <f>IF(Z73="N/A","N/A","")</f>
        <v/>
      </c>
      <c r="AG73" s="19" t="str">
        <f>IF(NOT(ISNUMBER(Q73)),"",Q73)</f>
        <v/>
      </c>
      <c r="AH73" s="17"/>
      <c r="AI73" s="17"/>
      <c r="AJ73" s="19" t="str">
        <f>IF(OR(AL73="N/A",NOT(ISNUMBER(T73))),"",T73)</f>
        <v/>
      </c>
      <c r="AK73" s="17"/>
      <c r="AL73" s="17"/>
      <c r="AM73" s="19" t="str">
        <f>IF(NOT(ISNUMBER(W73)),"",W73)</f>
        <v/>
      </c>
      <c r="AN73" s="17"/>
      <c r="AO73" s="17"/>
      <c r="AP73" s="19" t="str">
        <f>IF(OR(Z73="",Z73="N/A"),"",IF(ISNUMBER(AG73),AG73,""))</f>
        <v/>
      </c>
      <c r="AQ73" s="17"/>
      <c r="AR73" s="17"/>
      <c r="AS73" s="17"/>
      <c r="AT73" s="17"/>
      <c r="AU73" s="19" t="str">
        <f>IF(NOT(ISNUMBER(Q73)),"",Q73)</f>
        <v/>
      </c>
      <c r="AV73" s="17"/>
      <c r="AW73" s="17"/>
      <c r="AX73" s="19" t="str">
        <f>IF(OR(AZ73="N/A",NOT(ISNUMBER(T73))),"",T73)</f>
        <v/>
      </c>
      <c r="AY73" s="17"/>
      <c r="AZ73" s="17"/>
      <c r="BA73" s="19" t="str">
        <f>IF(NOT(ISNUMBER(W73)),"",W73)</f>
        <v/>
      </c>
      <c r="BB73" s="17"/>
      <c r="BC73" s="17"/>
      <c r="BD73" s="19" t="str">
        <f>IF(OR(Z73="",Z73="N/A"),"",IF(ISNUMBER(AU73),AU73,""))</f>
        <v/>
      </c>
      <c r="BE73" s="17"/>
      <c r="BF73" s="17"/>
      <c r="BG73" s="17"/>
      <c r="BH73" s="17"/>
      <c r="BI73" s="89" t="e">
        <f>IF(OR(A73="",NOT(ISNUMBER(M73)),AND(WEEKDAY(M73,2)&lt;&gt;2,WEEKDAY(M73,2)&lt;&gt;4)),"",WORKDAY(M73,CABOffsetFromReleaseWD))</f>
        <v>#VALUE!</v>
      </c>
      <c r="BJ73" s="17"/>
      <c r="BK73" s="19" t="str">
        <f>IF(NOT(ISNUMBER(BI73)),"",IF(WEEKDAY(BI73-CodeReviewCalendarDays,2)&gt;5,BI73-CodeReviewCalendarDays-(WEEKDAY(BI73-CodeReviewCalendarDays,2)-5),BI73-CodeReviewCalendarDays))</f>
        <v/>
      </c>
      <c r="BL73" s="17"/>
      <c r="BM73" s="19" t="str">
        <f>IF(NOT(ISNUMBER(BK73)),"",IF(WEEKDAY(BK73-CodeReviewInviteCalendarDays,2)&gt;5,BK73-CodeReviewInviteCalendarDays-(WEEKDAY(BK73-CodeReviewInviteCalendarDays,2)-5),BK73-CodeReviewInviteCalendarDays))</f>
        <v/>
      </c>
      <c r="BN73" s="17"/>
      <c r="BO73" s="17"/>
      <c r="BP73" s="18" t="str">
        <f ca="1">IF(A73="","",IF(IF(AND(ISNUMBER(J73),WEEKDAY(J73,2)&lt;&gt;2,WEEKDAY(J73,2)&lt;&gt;4)," | Release must be Tuesday or Thursday","")&amp;IF(AND(ISNUMBER(H73),WEEKDAY(H73,2)&lt;&gt;1)," | Sprint Start is not a Monday - dates still calculated from the date entered","")&amp;IF(AND(A73&lt;&gt;"",NOT(ISNUMBER(H73)),NOT(ISNUMBER(J73)))," | Enter Sprint Start or Release Date","")&amp;IF(AND(ISNUMBER(F73),F73&lt;TODAY(),D73&lt;&gt;"Completed")," | One or more raise-by dates are in the past and not completed","")&amp;IF(AND(ISNUMBER(K73),K73-TODAY()&lt;SprintWarningDays,K73&gt;=TODAY(),OR(D73="Yet to start",D73="Blocked"))," | Sprint starts in under 10 days - raise access requests now","")&amp;IF(AND(ISNUMBER(BM73),BN73&lt;&gt;"Completed",BN73&lt;&gt;"N/A",BM73-TODAY()&lt;CodeReviewInviteCalendarDays)," | Code Review invite should be sent at least 4 days before Code Review","")="","",MID(IF(AND(ISNUMBER(J73),WEEKDAY(J73,2)&lt;&gt;2,WEEKDAY(J73,2)&lt;&gt;4)," | Release must be Tuesday or Thursday","")&amp;IF(AND(ISNUMBER(H73),WEEKDAY(H73,2)&lt;&gt;1)," | Sprint Start is not a Monday - dates still calculated from the date entered","")&amp;IF(AND(A73&lt;&gt;"",NOT(ISNUMBER(H73)),NOT(ISNUMBER(J73)))," | Enter Sprint Start or Release Date","")&amp;IF(AND(ISNUMBER(F73),F73&lt;TODAY(),D73&lt;&gt;"Completed")," | One or more raise-by dates are in the past and not completed","")&amp;IF(AND(ISNUMBER(K73),K73-TODAY()&lt;SprintWarningDays,K73&gt;=TODAY(),OR(D73="Yet to start",D73="Blocked"))," | Sprint starts in under 10 days - raise access requests now","")&amp;IF(AND(ISNUMBER(BM73),BN73&lt;&gt;"Completed",BN73&lt;&gt;"N/A",BM73-TODAY()&lt;CodeReviewInviteCalendarDays)," | Code Review invite should be sent at least 4 days before Code Review",""),4,500)))</f>
        <v/>
      </c>
      <c r="BQ73" s="85" t="str">
        <f>IF(AND(ISNUMBER(Q73),S73&lt;&gt;"Completed",S73&lt;&gt;"N/A"),Q73,"")</f>
        <v/>
      </c>
      <c r="BR73" s="85" t="str">
        <f>IF(AND(ISNUMBER(T73),V73&lt;&gt;"Completed",V73&lt;&gt;"N/A"),T73,"")</f>
        <v/>
      </c>
      <c r="BS73" s="85" t="str">
        <f>IF(AND(ISNUMBER(W73),Y73&lt;&gt;"Completed",Y73&lt;&gt;"N/A"),W73,"")</f>
        <v/>
      </c>
      <c r="BT73" s="85" t="str">
        <f>IF(AND(ISNUMBER(AA73),AC73&lt;&gt;"Completed",AC73&lt;&gt;"N/A"),AA73,"")</f>
        <v/>
      </c>
      <c r="BU73" s="85" t="str">
        <f>IF(AND(ISNUMBER(AG73),AI73&lt;&gt;"Completed",AI73&lt;&gt;"N/A"),AG73,"")</f>
        <v/>
      </c>
      <c r="BV73" s="85" t="str">
        <f>IF(AND(ISNUMBER(AJ73),AL73&lt;&gt;"Completed",AL73&lt;&gt;"N/A"),AJ73,"")</f>
        <v/>
      </c>
      <c r="BW73" s="85" t="str">
        <f>IF(AND(ISNUMBER(AM73),AO73&lt;&gt;"Completed",AO73&lt;&gt;"N/A"),AM73,"")</f>
        <v/>
      </c>
      <c r="BX73" s="85" t="str">
        <f>IF(AND(ISNUMBER(AP73),AR73&lt;&gt;"Completed",AR73&lt;&gt;"N/A"),AP73,"")</f>
        <v/>
      </c>
      <c r="BY73" s="85" t="str">
        <f>IF(AND(ISNUMBER(AU73),AW73&lt;&gt;"Completed",AW73&lt;&gt;"N/A"),AU73,"")</f>
        <v/>
      </c>
      <c r="BZ73" s="85" t="str">
        <f>IF(AND(ISNUMBER(AX73),AZ73&lt;&gt;"Completed",AZ73&lt;&gt;"N/A"),AX73,"")</f>
        <v/>
      </c>
      <c r="CA73" s="85" t="str">
        <f>IF(AND(ISNUMBER(BA73),BC73&lt;&gt;"Completed",BC73&lt;&gt;"N/A"),BA73,"")</f>
        <v/>
      </c>
      <c r="CB73" s="85" t="str">
        <f>IF(AND(ISNUMBER(BD73),BF73&lt;&gt;"Completed",BF73&lt;&gt;"N/A"),BD73,"")</f>
        <v/>
      </c>
      <c r="CC73" s="85" t="str">
        <f>IF(AND(ISNUMBER(O73),P73&lt;&gt;"Completed",P73&lt;&gt;"N/A"),O73,"")</f>
        <v/>
      </c>
      <c r="CD73" s="85" t="str">
        <f>IF(AND(ISNUMBER(BM73),BN73&lt;&gt;"Completed",BN73&lt;&gt;"N/A"),BM73,"")</f>
        <v/>
      </c>
      <c r="CE73" s="85" t="str">
        <f>IF(AND(ISNUMBER(BK73),BL73&lt;&gt;"Completed",BL73&lt;&gt;"N/A"),BK73,"")</f>
        <v/>
      </c>
      <c r="CF73" s="85" t="str">
        <f>IF(AND(ISNUMBER(BI73),BJ73&lt;&gt;"Completed",BJ73&lt;&gt;"N/A"),BI73,"")</f>
        <v/>
      </c>
      <c r="CG73" s="85" t="str">
        <f ca="1">IF(OR(A73="",D73="Completed"),"",IF(N(G73)&gt;0,1/(N(G73)+ROW()/100000),IF(ISNUMBER(F73),1000+F73+ROW()/100000,TODAY()+400+ROW()/100000)))</f>
        <v/>
      </c>
    </row>
    <row r="74" spans="1:85">
      <c r="A74" s="17"/>
      <c r="B74" s="17"/>
      <c r="C74" s="17"/>
      <c r="D74" s="18" t="str">
        <f>IF(A74="","",IF(((S74="Blocked")+(V74="Blocked")+(Y74="Blocked")+(AC74="Blocked")+(AI74="Blocked")+(AL74="Blocked")+(AO74="Blocked")+(AR74="Blocked")+(AW74="Blocked")+(AZ74="Blocked")+(BC74="Blocked")+(BF74="Blocked")+(P74="Blocked")+(BJ74="Blocked")+(BL74="Blocked")+(BN74="Blocked")+(BO74="Blocked"))&gt;0,"Blocked",IF((ISNUMBER(Q74)+ISNUMBER(T74)+ISNUMBER(W74)+ISNUMBER(AA74)+ISNUMBER(AG74)+ISNUMBER(AJ74)+ISNUMBER(AM74)+ISNUMBER(AP74)+ISNUMBER(AU74)+ISNUMBER(AX74)+ISNUMBER(BA74)+ISNUMBER(BD74)+ISNUMBER(O74)+ISNUMBER(BI74)+ISNUMBER(BK74)+ISNUMBER(BM74))=0,"Yet to start",IF(AND(OR(NOT(ISNUMBER(Q74)),S74="Completed",S74="N/A"),OR(NOT(ISNUMBER(T74)),V74="Completed",V74="N/A"),OR(NOT(ISNUMBER(W74)),Y74="Completed",Y74="N/A"),OR(NOT(ISNUMBER(AA74)),AC74="Completed",AC74="N/A"),OR(NOT(ISNUMBER(AG74)),AI74="Completed",AI74="N/A"),OR(NOT(ISNUMBER(AJ74)),AL74="Completed",AL74="N/A"),OR(NOT(ISNUMBER(AM74)),AO74="Completed",AO74="N/A"),OR(NOT(ISNUMBER(AP74)),AR74="Completed",AR74="N/A"),OR(NOT(ISNUMBER(AU74)),AW74="Completed",AW74="N/A"),OR(NOT(ISNUMBER(AX74)),AZ74="Completed",AZ74="N/A"),OR(NOT(ISNUMBER(BA74)),BC74="Completed",BC74="N/A"),OR(NOT(ISNUMBER(BD74)),BF74="Completed",BF74="N/A"),OR(NOT(ISNUMBER(O74)),P74="Completed",P74="N/A"),OR(NOT(ISNUMBER(BI74)),BJ74="Completed",BJ74="N/A"),OR(NOT(ISNUMBER(BK74)),BL74="Completed",BL74="N/A"),OR(NOT(ISNUMBER(BM74)),BN74="Completed",BN74="N/A"),OR(BO74="Completed",BO74="N/A")),"Completed",IF(((S74="In Progress")+(V74="In Progress")+(Y74="In Progress")+(AC74="In Progress")+(AI74="In Progress")+(AL74="In Progress")+(AO74="In Progress")+(AR74="In Progress")+(AW74="In Progress")+(AZ74="In Progress")+(BC74="In Progress")+(BF74="In Progress")+(P74="In Progress")+(BJ74="In Progress")+(BL74="In Progress")+(BN74="In Progress")+(BO74="In Progress"))&gt;0,"In Progress","Yet to start")))))</f>
        <v/>
      </c>
      <c r="E74" s="18" t="str">
        <f>IF(A74="","",IF(F74="","All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Review","CAB"},MATCH(F74,BQ74:CF74,0))))</f>
        <v/>
      </c>
      <c r="F74" s="19" t="str">
        <f>IF(A74="","",IF(COUNT(BQ74:CF74)=0,"",MIN(BQ74:CF74)))</f>
        <v/>
      </c>
      <c r="G74" s="18" t="str">
        <f ca="1">IF(A74="","",MAX(0,IF(AND(ISNUMBER(Q74),S74&lt;&gt;"Completed",S74&lt;&gt;"N/A",Q74&lt;TODAY()),TODAY()-Q74,0),IF(AND(ISNUMBER(T74),V74&lt;&gt;"Completed",V74&lt;&gt;"N/A",T74&lt;TODAY()),TODAY()-T74,0),IF(AND(ISNUMBER(W74),Y74&lt;&gt;"Completed",Y74&lt;&gt;"N/A",W74&lt;TODAY()),TODAY()-W74,0),IF(AND(ISNUMBER(AA74),AC74&lt;&gt;"Completed",AC74&lt;&gt;"N/A",AA74&lt;TODAY()),TODAY()-AA74,0),IF(AND(ISNUMBER(AG74),AI74&lt;&gt;"Completed",AI74&lt;&gt;"N/A",AG74&lt;TODAY()),TODAY()-AG74,0),IF(AND(ISNUMBER(AJ74),AL74&lt;&gt;"Completed",AL74&lt;&gt;"N/A",AJ74&lt;TODAY()),TODAY()-AJ74,0),IF(AND(ISNUMBER(AM74),AO74&lt;&gt;"Completed",AO74&lt;&gt;"N/A",AM74&lt;TODAY()),TODAY()-AM74,0),IF(AND(ISNUMBER(AP74),AR74&lt;&gt;"Completed",AR74&lt;&gt;"N/A",AP74&lt;TODAY()),TODAY()-AP74,0),IF(AND(ISNUMBER(AU74),AW74&lt;&gt;"Completed",AW74&lt;&gt;"N/A",AU74&lt;TODAY()),TODAY()-AU74,0),IF(AND(ISNUMBER(AX74),AZ74&lt;&gt;"Completed",AZ74&lt;&gt;"N/A",AX74&lt;TODAY()),TODAY()-AX74,0),IF(AND(ISNUMBER(BA74),BC74&lt;&gt;"Completed",BC74&lt;&gt;"N/A",BA74&lt;TODAY()),TODAY()-BA74,0),IF(AND(ISNUMBER(BD74),BF74&lt;&gt;"Completed",BF74&lt;&gt;"N/A",BD74&lt;TODAY()),TODAY()-BD74,0),IF(AND(ISNUMBER(O74),P74&lt;&gt;"Completed",P74&lt;&gt;"N/A",O74&lt;TODAY()),TODAY()-O74,0),IF(AND(ISNUMBER(BM74),BN74&lt;&gt;"Completed",BN74&lt;&gt;"N/A",BM74&lt;TODAY()),TODAY()-BM74,0),IF(AND(ISNUMBER(BK74),BL74&lt;&gt;"Completed",BL74&lt;&gt;"N/A",BK74&lt;TODAY()),TODAY()-BK74,0),IF(AND(ISNUMBER(BI74),BJ74&lt;&gt;"Completed",BJ74&lt;&gt;"N/A",BI74&lt;TODAY()),TODAY()-BI74,0)))</f>
        <v/>
      </c>
      <c r="H74" s="17"/>
      <c r="I74" s="17"/>
      <c r="J74" s="17"/>
      <c r="K74" s="19" t="str">
        <f>IF(ISNUMBER(H74),H74,IF(ISNUMBER(M74),M74-WEEKDAY(M74,2)+1-7,""))</f>
        <v/>
      </c>
      <c r="L74" s="19" t="str">
        <f>IF(ISNUMBER(I74),I74,IF(ISNUMBER(H74),WORKDAY(H74,SprintWorkingDays-1),IF(ISNUMBER(K74),WORKDAY(K74,SprintWorkingDays-1),"")))</f>
        <v/>
      </c>
      <c r="M74" s="19" t="str">
        <f>IF(ISNUMBER(J74),J74,IF(ISNUMBER(I74),I74-IF(OR(WEEKDAY(I74,2)=2,WEEKDAY(I74,2)=4),0,IF(WEEKDAY(I74,2)=3,1,IF(WEEKDAY(I74,2)=1,4,WEEKDAY(I74,2)-4))),IF(ISNUMBER(H74),WORKDAY(H74,SprintWorkingDays-1)-IF(OR(WEEKDAY(WORKDAY(H74,SprintWorkingDays-1),2)=2,WEEKDAY(WORKDAY(H74,SprintWorkingDays-1),2)=4),0,IF(WEEKDAY(WORKDAY(H74,SprintWorkingDays-1),2)=3,1,IF(WEEKDAY(WORKDAY(H74,SprintWorkingDays-1),2)=1,4,WEEKDAY(WORKDAY(H74,SprintWorkingDays-1),2)-4))),"")))</f>
        <v/>
      </c>
      <c r="N74" s="19" t="str">
        <f>IF(NOT(ISNUMBER(K74)),"",WORKDAY(K74,ReadyOffsetWD))</f>
        <v/>
      </c>
      <c r="O74" s="19" t="str">
        <f>IF(NOT(ISNUMBER(K74)),"",WORKDAY(K74,SprintReadinessOffsetWD))</f>
        <v/>
      </c>
      <c r="P74" s="17"/>
      <c r="Q74" s="19" t="str">
        <f>IF(A74="","",IF(V74="N/A",IF(NOT(ISNUMBER(W74)),"",WORKDAY(W74,RTSKOffsetFromOUR_WD)),IF(NOT(ISNUMBER(T74)),"",WORKDAY(T74,RTSKOffsetFromOUR_WD))))</f>
        <v/>
      </c>
      <c r="R74" s="17"/>
      <c r="S74" s="17"/>
      <c r="T74" s="19" t="str">
        <f>IF(OR(A74="",V74="N/A"),"",IF(NOT(ISNUMBER(W74)),"",WORKDAY(W74,OUROffsetFromSR_WD)))</f>
        <v/>
      </c>
      <c r="U74" s="17"/>
      <c r="V74" s="17"/>
      <c r="W74" s="19" t="str">
        <f>IF(OR(A74="",NOT(ISNUMBER(K74))),"",WORKDAY(K74,SROffsetFromStartWD))</f>
        <v/>
      </c>
      <c r="X74" s="17"/>
      <c r="Y74" s="17"/>
      <c r="Z74" s="17"/>
      <c r="AA74" s="19" t="str">
        <f>IF(OR(Z74="",Z74="N/A"),"",IF(ISNUMBER(Q74),Q74,""))</f>
        <v/>
      </c>
      <c r="AB74" s="17"/>
      <c r="AC74" s="17"/>
      <c r="AD74" s="17"/>
      <c r="AE74" s="17"/>
      <c r="AF74" s="17" t="str">
        <f>IF(Z74="N/A","N/A","")</f>
        <v/>
      </c>
      <c r="AG74" s="19" t="str">
        <f>IF(NOT(ISNUMBER(Q74)),"",Q74)</f>
        <v/>
      </c>
      <c r="AH74" s="17"/>
      <c r="AI74" s="17"/>
      <c r="AJ74" s="19" t="str">
        <f>IF(OR(AL74="N/A",NOT(ISNUMBER(T74))),"",T74)</f>
        <v/>
      </c>
      <c r="AK74" s="17"/>
      <c r="AL74" s="17"/>
      <c r="AM74" s="19" t="str">
        <f>IF(NOT(ISNUMBER(W74)),"",W74)</f>
        <v/>
      </c>
      <c r="AN74" s="17"/>
      <c r="AO74" s="17"/>
      <c r="AP74" s="19" t="str">
        <f>IF(OR(Z74="",Z74="N/A"),"",IF(ISNUMBER(AG74),AG74,""))</f>
        <v/>
      </c>
      <c r="AQ74" s="17"/>
      <c r="AR74" s="17"/>
      <c r="AS74" s="17"/>
      <c r="AT74" s="17"/>
      <c r="AU74" s="19" t="str">
        <f>IF(NOT(ISNUMBER(Q74)),"",Q74)</f>
        <v/>
      </c>
      <c r="AV74" s="17"/>
      <c r="AW74" s="17"/>
      <c r="AX74" s="19" t="str">
        <f>IF(OR(AZ74="N/A",NOT(ISNUMBER(T74))),"",T74)</f>
        <v/>
      </c>
      <c r="AY74" s="17"/>
      <c r="AZ74" s="17"/>
      <c r="BA74" s="19" t="str">
        <f>IF(NOT(ISNUMBER(W74)),"",W74)</f>
        <v/>
      </c>
      <c r="BB74" s="17"/>
      <c r="BC74" s="17"/>
      <c r="BD74" s="19" t="str">
        <f>IF(OR(Z74="",Z74="N/A"),"",IF(ISNUMBER(AU74),AU74,""))</f>
        <v/>
      </c>
      <c r="BE74" s="17"/>
      <c r="BF74" s="17"/>
      <c r="BG74" s="17"/>
      <c r="BH74" s="17"/>
      <c r="BI74" s="89" t="e">
        <f>IF(OR(A74="",NOT(ISNUMBER(M74)),AND(WEEKDAY(M74,2)&lt;&gt;2,WEEKDAY(M74,2)&lt;&gt;4)),"",WORKDAY(M74,CABOffsetFromReleaseWD))</f>
        <v>#VALUE!</v>
      </c>
      <c r="BJ74" s="17"/>
      <c r="BK74" s="19" t="str">
        <f>IF(NOT(ISNUMBER(BI74)),"",IF(WEEKDAY(BI74-CodeReviewCalendarDays,2)&gt;5,BI74-CodeReviewCalendarDays-(WEEKDAY(BI74-CodeReviewCalendarDays,2)-5),BI74-CodeReviewCalendarDays))</f>
        <v/>
      </c>
      <c r="BL74" s="17"/>
      <c r="BM74" s="19" t="str">
        <f>IF(NOT(ISNUMBER(BK74)),"",IF(WEEKDAY(BK74-CodeReviewInviteCalendarDays,2)&gt;5,BK74-CodeReviewInviteCalendarDays-(WEEKDAY(BK74-CodeReviewInviteCalendarDays,2)-5),BK74-CodeReviewInviteCalendarDays))</f>
        <v/>
      </c>
      <c r="BN74" s="17"/>
      <c r="BO74" s="17"/>
      <c r="BP74" s="18" t="str">
        <f ca="1">IF(A74="","",IF(IF(AND(ISNUMBER(J74),WEEKDAY(J74,2)&lt;&gt;2,WEEKDAY(J74,2)&lt;&gt;4)," | Release must be Tuesday or Thursday","")&amp;IF(AND(ISNUMBER(H74),WEEKDAY(H74,2)&lt;&gt;1)," | Sprint Start is not a Monday - dates still calculated from the date entered","")&amp;IF(AND(A74&lt;&gt;"",NOT(ISNUMBER(H74)),NOT(ISNUMBER(J74)))," | Enter Sprint Start or Release Date","")&amp;IF(AND(ISNUMBER(F74),F74&lt;TODAY(),D74&lt;&gt;"Completed")," | One or more raise-by dates are in the past and not completed","")&amp;IF(AND(ISNUMBER(K74),K74-TODAY()&lt;SprintWarningDays,K74&gt;=TODAY(),OR(D74="Yet to start",D74="Blocked"))," | Sprint starts in under 10 days - raise access requests now","")&amp;IF(AND(ISNUMBER(BM74),BN74&lt;&gt;"Completed",BN74&lt;&gt;"N/A",BM74-TODAY()&lt;CodeReviewInviteCalendarDays)," | Code Review invite should be sent at least 4 days before Code Review","")="","",MID(IF(AND(ISNUMBER(J74),WEEKDAY(J74,2)&lt;&gt;2,WEEKDAY(J74,2)&lt;&gt;4)," | Release must be Tuesday or Thursday","")&amp;IF(AND(ISNUMBER(H74),WEEKDAY(H74,2)&lt;&gt;1)," | Sprint Start is not a Monday - dates still calculated from the date entered","")&amp;IF(AND(A74&lt;&gt;"",NOT(ISNUMBER(H74)),NOT(ISNUMBER(J74)))," | Enter Sprint Start or Release Date","")&amp;IF(AND(ISNUMBER(F74),F74&lt;TODAY(),D74&lt;&gt;"Completed")," | One or more raise-by dates are in the past and not completed","")&amp;IF(AND(ISNUMBER(K74),K74-TODAY()&lt;SprintWarningDays,K74&gt;=TODAY(),OR(D74="Yet to start",D74="Blocked"))," | Sprint starts in under 10 days - raise access requests now","")&amp;IF(AND(ISNUMBER(BM74),BN74&lt;&gt;"Completed",BN74&lt;&gt;"N/A",BM74-TODAY()&lt;CodeReviewInviteCalendarDays)," | Code Review invite should be sent at least 4 days before Code Review",""),4,500)))</f>
        <v/>
      </c>
      <c r="BQ74" s="85" t="str">
        <f>IF(AND(ISNUMBER(Q74),S74&lt;&gt;"Completed",S74&lt;&gt;"N/A"),Q74,"")</f>
        <v/>
      </c>
      <c r="BR74" s="85" t="str">
        <f>IF(AND(ISNUMBER(T74),V74&lt;&gt;"Completed",V74&lt;&gt;"N/A"),T74,"")</f>
        <v/>
      </c>
      <c r="BS74" s="85" t="str">
        <f>IF(AND(ISNUMBER(W74),Y74&lt;&gt;"Completed",Y74&lt;&gt;"N/A"),W74,"")</f>
        <v/>
      </c>
      <c r="BT74" s="85" t="str">
        <f>IF(AND(ISNUMBER(AA74),AC74&lt;&gt;"Completed",AC74&lt;&gt;"N/A"),AA74,"")</f>
        <v/>
      </c>
      <c r="BU74" s="85" t="str">
        <f>IF(AND(ISNUMBER(AG74),AI74&lt;&gt;"Completed",AI74&lt;&gt;"N/A"),AG74,"")</f>
        <v/>
      </c>
      <c r="BV74" s="85" t="str">
        <f>IF(AND(ISNUMBER(AJ74),AL74&lt;&gt;"Completed",AL74&lt;&gt;"N/A"),AJ74,"")</f>
        <v/>
      </c>
      <c r="BW74" s="85" t="str">
        <f>IF(AND(ISNUMBER(AM74),AO74&lt;&gt;"Completed",AO74&lt;&gt;"N/A"),AM74,"")</f>
        <v/>
      </c>
      <c r="BX74" s="85" t="str">
        <f>IF(AND(ISNUMBER(AP74),AR74&lt;&gt;"Completed",AR74&lt;&gt;"N/A"),AP74,"")</f>
        <v/>
      </c>
      <c r="BY74" s="85" t="str">
        <f>IF(AND(ISNUMBER(AU74),AW74&lt;&gt;"Completed",AW74&lt;&gt;"N/A"),AU74,"")</f>
        <v/>
      </c>
      <c r="BZ74" s="85" t="str">
        <f>IF(AND(ISNUMBER(AX74),AZ74&lt;&gt;"Completed",AZ74&lt;&gt;"N/A"),AX74,"")</f>
        <v/>
      </c>
      <c r="CA74" s="85" t="str">
        <f>IF(AND(ISNUMBER(BA74),BC74&lt;&gt;"Completed",BC74&lt;&gt;"N/A"),BA74,"")</f>
        <v/>
      </c>
      <c r="CB74" s="85" t="str">
        <f>IF(AND(ISNUMBER(BD74),BF74&lt;&gt;"Completed",BF74&lt;&gt;"N/A"),BD74,"")</f>
        <v/>
      </c>
      <c r="CC74" s="85" t="str">
        <f>IF(AND(ISNUMBER(O74),P74&lt;&gt;"Completed",P74&lt;&gt;"N/A"),O74,"")</f>
        <v/>
      </c>
      <c r="CD74" s="85" t="str">
        <f>IF(AND(ISNUMBER(BM74),BN74&lt;&gt;"Completed",BN74&lt;&gt;"N/A"),BM74,"")</f>
        <v/>
      </c>
      <c r="CE74" s="85" t="str">
        <f>IF(AND(ISNUMBER(BK74),BL74&lt;&gt;"Completed",BL74&lt;&gt;"N/A"),BK74,"")</f>
        <v/>
      </c>
      <c r="CF74" s="85" t="str">
        <f>IF(AND(ISNUMBER(BI74),BJ74&lt;&gt;"Completed",BJ74&lt;&gt;"N/A"),BI74,"")</f>
        <v/>
      </c>
      <c r="CG74" s="85" t="str">
        <f ca="1">IF(OR(A74="",D74="Completed"),"",IF(N(G74)&gt;0,1/(N(G74)+ROW()/100000),IF(ISNUMBER(F74),1000+F74+ROW()/100000,TODAY()+400+ROW()/100000)))</f>
        <v/>
      </c>
    </row>
    <row r="75" spans="1:85">
      <c r="A75" s="17"/>
      <c r="B75" s="17"/>
      <c r="C75" s="17"/>
      <c r="D75" s="18" t="str">
        <f>IF(A75="","",IF(((S75="Blocked")+(V75="Blocked")+(Y75="Blocked")+(AC75="Blocked")+(AI75="Blocked")+(AL75="Blocked")+(AO75="Blocked")+(AR75="Blocked")+(AW75="Blocked")+(AZ75="Blocked")+(BC75="Blocked")+(BF75="Blocked")+(P75="Blocked")+(BJ75="Blocked")+(BL75="Blocked")+(BN75="Blocked")+(BO75="Blocked"))&gt;0,"Blocked",IF((ISNUMBER(Q75)+ISNUMBER(T75)+ISNUMBER(W75)+ISNUMBER(AA75)+ISNUMBER(AG75)+ISNUMBER(AJ75)+ISNUMBER(AM75)+ISNUMBER(AP75)+ISNUMBER(AU75)+ISNUMBER(AX75)+ISNUMBER(BA75)+ISNUMBER(BD75)+ISNUMBER(O75)+ISNUMBER(BI75)+ISNUMBER(BK75)+ISNUMBER(BM75))=0,"Yet to start",IF(AND(OR(NOT(ISNUMBER(Q75)),S75="Completed",S75="N/A"),OR(NOT(ISNUMBER(T75)),V75="Completed",V75="N/A"),OR(NOT(ISNUMBER(W75)),Y75="Completed",Y75="N/A"),OR(NOT(ISNUMBER(AA75)),AC75="Completed",AC75="N/A"),OR(NOT(ISNUMBER(AG75)),AI75="Completed",AI75="N/A"),OR(NOT(ISNUMBER(AJ75)),AL75="Completed",AL75="N/A"),OR(NOT(ISNUMBER(AM75)),AO75="Completed",AO75="N/A"),OR(NOT(ISNUMBER(AP75)),AR75="Completed",AR75="N/A"),OR(NOT(ISNUMBER(AU75)),AW75="Completed",AW75="N/A"),OR(NOT(ISNUMBER(AX75)),AZ75="Completed",AZ75="N/A"),OR(NOT(ISNUMBER(BA75)),BC75="Completed",BC75="N/A"),OR(NOT(ISNUMBER(BD75)),BF75="Completed",BF75="N/A"),OR(NOT(ISNUMBER(O75)),P75="Completed",P75="N/A"),OR(NOT(ISNUMBER(BI75)),BJ75="Completed",BJ75="N/A"),OR(NOT(ISNUMBER(BK75)),BL75="Completed",BL75="N/A"),OR(NOT(ISNUMBER(BM75)),BN75="Completed",BN75="N/A"),OR(BO75="Completed",BO75="N/A")),"Completed",IF(((S75="In Progress")+(V75="In Progress")+(Y75="In Progress")+(AC75="In Progress")+(AI75="In Progress")+(AL75="In Progress")+(AO75="In Progress")+(AR75="In Progress")+(AW75="In Progress")+(AZ75="In Progress")+(BC75="In Progress")+(BF75="In Progress")+(P75="In Progress")+(BJ75="In Progress")+(BL75="In Progress")+(BN75="In Progress")+(BO75="In Progress"))&gt;0,"In Progress","Yet to start")))))</f>
        <v/>
      </c>
      <c r="E75" s="18" t="str">
        <f>IF(A75="","",IF(F75="","All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Review","CAB"},MATCH(F75,BQ75:CF75,0))))</f>
        <v/>
      </c>
      <c r="F75" s="19" t="str">
        <f>IF(A75="","",IF(COUNT(BQ75:CF75)=0,"",MIN(BQ75:CF75)))</f>
        <v/>
      </c>
      <c r="G75" s="18" t="str">
        <f ca="1">IF(A75="","",MAX(0,IF(AND(ISNUMBER(Q75),S75&lt;&gt;"Completed",S75&lt;&gt;"N/A",Q75&lt;TODAY()),TODAY()-Q75,0),IF(AND(ISNUMBER(T75),V75&lt;&gt;"Completed",V75&lt;&gt;"N/A",T75&lt;TODAY()),TODAY()-T75,0),IF(AND(ISNUMBER(W75),Y75&lt;&gt;"Completed",Y75&lt;&gt;"N/A",W75&lt;TODAY()),TODAY()-W75,0),IF(AND(ISNUMBER(AA75),AC75&lt;&gt;"Completed",AC75&lt;&gt;"N/A",AA75&lt;TODAY()),TODAY()-AA75,0),IF(AND(ISNUMBER(AG75),AI75&lt;&gt;"Completed",AI75&lt;&gt;"N/A",AG75&lt;TODAY()),TODAY()-AG75,0),IF(AND(ISNUMBER(AJ75),AL75&lt;&gt;"Completed",AL75&lt;&gt;"N/A",AJ75&lt;TODAY()),TODAY()-AJ75,0),IF(AND(ISNUMBER(AM75),AO75&lt;&gt;"Completed",AO75&lt;&gt;"N/A",AM75&lt;TODAY()),TODAY()-AM75,0),IF(AND(ISNUMBER(AP75),AR75&lt;&gt;"Completed",AR75&lt;&gt;"N/A",AP75&lt;TODAY()),TODAY()-AP75,0),IF(AND(ISNUMBER(AU75),AW75&lt;&gt;"Completed",AW75&lt;&gt;"N/A",AU75&lt;TODAY()),TODAY()-AU75,0),IF(AND(ISNUMBER(AX75),AZ75&lt;&gt;"Completed",AZ75&lt;&gt;"N/A",AX75&lt;TODAY()),TODAY()-AX75,0),IF(AND(ISNUMBER(BA75),BC75&lt;&gt;"Completed",BC75&lt;&gt;"N/A",BA75&lt;TODAY()),TODAY()-BA75,0),IF(AND(ISNUMBER(BD75),BF75&lt;&gt;"Completed",BF75&lt;&gt;"N/A",BD75&lt;TODAY()),TODAY()-BD75,0),IF(AND(ISNUMBER(O75),P75&lt;&gt;"Completed",P75&lt;&gt;"N/A",O75&lt;TODAY()),TODAY()-O75,0),IF(AND(ISNUMBER(BM75),BN75&lt;&gt;"Completed",BN75&lt;&gt;"N/A",BM75&lt;TODAY()),TODAY()-BM75,0),IF(AND(ISNUMBER(BK75),BL75&lt;&gt;"Completed",BL75&lt;&gt;"N/A",BK75&lt;TODAY()),TODAY()-BK75,0),IF(AND(ISNUMBER(BI75),BJ75&lt;&gt;"Completed",BJ75&lt;&gt;"N/A",BI75&lt;TODAY()),TODAY()-BI75,0)))</f>
        <v/>
      </c>
      <c r="H75" s="17"/>
      <c r="I75" s="17"/>
      <c r="J75" s="17"/>
      <c r="K75" s="19" t="str">
        <f>IF(ISNUMBER(H75),H75,IF(ISNUMBER(M75),M75-WEEKDAY(M75,2)+1-7,""))</f>
        <v/>
      </c>
      <c r="L75" s="19" t="str">
        <f>IF(ISNUMBER(I75),I75,IF(ISNUMBER(H75),WORKDAY(H75,SprintWorkingDays-1),IF(ISNUMBER(K75),WORKDAY(K75,SprintWorkingDays-1),"")))</f>
        <v/>
      </c>
      <c r="M75" s="19" t="str">
        <f>IF(ISNUMBER(J75),J75,IF(ISNUMBER(I75),I75-IF(OR(WEEKDAY(I75,2)=2,WEEKDAY(I75,2)=4),0,IF(WEEKDAY(I75,2)=3,1,IF(WEEKDAY(I75,2)=1,4,WEEKDAY(I75,2)-4))),IF(ISNUMBER(H75),WORKDAY(H75,SprintWorkingDays-1)-IF(OR(WEEKDAY(WORKDAY(H75,SprintWorkingDays-1),2)=2,WEEKDAY(WORKDAY(H75,SprintWorkingDays-1),2)=4),0,IF(WEEKDAY(WORKDAY(H75,SprintWorkingDays-1),2)=3,1,IF(WEEKDAY(WORKDAY(H75,SprintWorkingDays-1),2)=1,4,WEEKDAY(WORKDAY(H75,SprintWorkingDays-1),2)-4))),"")))</f>
        <v/>
      </c>
      <c r="N75" s="19" t="str">
        <f>IF(NOT(ISNUMBER(K75)),"",WORKDAY(K75,ReadyOffsetWD))</f>
        <v/>
      </c>
      <c r="O75" s="19" t="str">
        <f>IF(NOT(ISNUMBER(K75)),"",WORKDAY(K75,SprintReadinessOffsetWD))</f>
        <v/>
      </c>
      <c r="P75" s="17"/>
      <c r="Q75" s="19" t="str">
        <f>IF(A75="","",IF(V75="N/A",IF(NOT(ISNUMBER(W75)),"",WORKDAY(W75,RTSKOffsetFromOUR_WD)),IF(NOT(ISNUMBER(T75)),"",WORKDAY(T75,RTSKOffsetFromOUR_WD))))</f>
        <v/>
      </c>
      <c r="R75" s="17"/>
      <c r="S75" s="17"/>
      <c r="T75" s="19" t="str">
        <f>IF(OR(A75="",V75="N/A"),"",IF(NOT(ISNUMBER(W75)),"",WORKDAY(W75,OUROffsetFromSR_WD)))</f>
        <v/>
      </c>
      <c r="U75" s="17"/>
      <c r="V75" s="17"/>
      <c r="W75" s="19" t="str">
        <f>IF(OR(A75="",NOT(ISNUMBER(K75))),"",WORKDAY(K75,SROffsetFromStartWD))</f>
        <v/>
      </c>
      <c r="X75" s="17"/>
      <c r="Y75" s="17"/>
      <c r="Z75" s="17"/>
      <c r="AA75" s="19" t="str">
        <f>IF(OR(Z75="",Z75="N/A"),"",IF(ISNUMBER(Q75),Q75,""))</f>
        <v/>
      </c>
      <c r="AB75" s="17"/>
      <c r="AC75" s="17"/>
      <c r="AD75" s="17"/>
      <c r="AE75" s="17"/>
      <c r="AF75" s="17" t="str">
        <f>IF(Z75="N/A","N/A","")</f>
        <v/>
      </c>
      <c r="AG75" s="19" t="str">
        <f>IF(NOT(ISNUMBER(Q75)),"",Q75)</f>
        <v/>
      </c>
      <c r="AH75" s="17"/>
      <c r="AI75" s="17"/>
      <c r="AJ75" s="19" t="str">
        <f>IF(OR(AL75="N/A",NOT(ISNUMBER(T75))),"",T75)</f>
        <v/>
      </c>
      <c r="AK75" s="17"/>
      <c r="AL75" s="17"/>
      <c r="AM75" s="19" t="str">
        <f>IF(NOT(ISNUMBER(W75)),"",W75)</f>
        <v/>
      </c>
      <c r="AN75" s="17"/>
      <c r="AO75" s="17"/>
      <c r="AP75" s="19" t="str">
        <f>IF(OR(Z75="",Z75="N/A"),"",IF(ISNUMBER(AG75),AG75,""))</f>
        <v/>
      </c>
      <c r="AQ75" s="17"/>
      <c r="AR75" s="17"/>
      <c r="AS75" s="17"/>
      <c r="AT75" s="17"/>
      <c r="AU75" s="19" t="str">
        <f>IF(NOT(ISNUMBER(Q75)),"",Q75)</f>
        <v/>
      </c>
      <c r="AV75" s="17"/>
      <c r="AW75" s="17"/>
      <c r="AX75" s="19" t="str">
        <f>IF(OR(AZ75="N/A",NOT(ISNUMBER(T75))),"",T75)</f>
        <v/>
      </c>
      <c r="AY75" s="17"/>
      <c r="AZ75" s="17"/>
      <c r="BA75" s="19" t="str">
        <f>IF(NOT(ISNUMBER(W75)),"",W75)</f>
        <v/>
      </c>
      <c r="BB75" s="17"/>
      <c r="BC75" s="17"/>
      <c r="BD75" s="19" t="str">
        <f>IF(OR(Z75="",Z75="N/A"),"",IF(ISNUMBER(AU75),AU75,""))</f>
        <v/>
      </c>
      <c r="BE75" s="17"/>
      <c r="BF75" s="17"/>
      <c r="BG75" s="17"/>
      <c r="BH75" s="17"/>
      <c r="BI75" s="89" t="e">
        <f>IF(OR(A75="",NOT(ISNUMBER(M75)),AND(WEEKDAY(M75,2)&lt;&gt;2,WEEKDAY(M75,2)&lt;&gt;4)),"",WORKDAY(M75,CABOffsetFromReleaseWD))</f>
        <v>#VALUE!</v>
      </c>
      <c r="BJ75" s="17"/>
      <c r="BK75" s="19" t="str">
        <f>IF(NOT(ISNUMBER(BI75)),"",IF(WEEKDAY(BI75-CodeReviewCalendarDays,2)&gt;5,BI75-CodeReviewCalendarDays-(WEEKDAY(BI75-CodeReviewCalendarDays,2)-5),BI75-CodeReviewCalendarDays))</f>
        <v/>
      </c>
      <c r="BL75" s="17"/>
      <c r="BM75" s="19" t="str">
        <f>IF(NOT(ISNUMBER(BK75)),"",IF(WEEKDAY(BK75-CodeReviewInviteCalendarDays,2)&gt;5,BK75-CodeReviewInviteCalendarDays-(WEEKDAY(BK75-CodeReviewInviteCalendarDays,2)-5),BK75-CodeReviewInviteCalendarDays))</f>
        <v/>
      </c>
      <c r="BN75" s="17"/>
      <c r="BO75" s="17"/>
      <c r="BP75" s="18" t="str">
        <f ca="1">IF(A75="","",IF(IF(AND(ISNUMBER(J75),WEEKDAY(J75,2)&lt;&gt;2,WEEKDAY(J75,2)&lt;&gt;4)," | Release must be Tuesday or Thursday","")&amp;IF(AND(ISNUMBER(H75),WEEKDAY(H75,2)&lt;&gt;1)," | Sprint Start is not a Monday - dates still calculated from the date entered","")&amp;IF(AND(A75&lt;&gt;"",NOT(ISNUMBER(H75)),NOT(ISNUMBER(J75)))," | Enter Sprint Start or Release Date","")&amp;IF(AND(ISNUMBER(F75),F75&lt;TODAY(),D75&lt;&gt;"Completed")," | One or more raise-by dates are in the past and not completed","")&amp;IF(AND(ISNUMBER(K75),K75-TODAY()&lt;SprintWarningDays,K75&gt;=TODAY(),OR(D75="Yet to start",D75="Blocked"))," | Sprint starts in under 10 days - raise access requests now","")&amp;IF(AND(ISNUMBER(BM75),BN75&lt;&gt;"Completed",BN75&lt;&gt;"N/A",BM75-TODAY()&lt;CodeReviewInviteCalendarDays)," | Code Review invite should be sent at least 4 days before Code Review","")="","",MID(IF(AND(ISNUMBER(J75),WEEKDAY(J75,2)&lt;&gt;2,WEEKDAY(J75,2)&lt;&gt;4)," | Release must be Tuesday or Thursday","")&amp;IF(AND(ISNUMBER(H75),WEEKDAY(H75,2)&lt;&gt;1)," | Sprint Start is not a Monday - dates still calculated from the date entered","")&amp;IF(AND(A75&lt;&gt;"",NOT(ISNUMBER(H75)),NOT(ISNUMBER(J75)))," | Enter Sprint Start or Release Date","")&amp;IF(AND(ISNUMBER(F75),F75&lt;TODAY(),D75&lt;&gt;"Completed")," | One or more raise-by dates are in the past and not completed","")&amp;IF(AND(ISNUMBER(K75),K75-TODAY()&lt;SprintWarningDays,K75&gt;=TODAY(),OR(D75="Yet to start",D75="Blocked"))," | Sprint starts in under 10 days - raise access requests now","")&amp;IF(AND(ISNUMBER(BM75),BN75&lt;&gt;"Completed",BN75&lt;&gt;"N/A",BM75-TODAY()&lt;CodeReviewInviteCalendarDays)," | Code Review invite should be sent at least 4 days before Code Review",""),4,500)))</f>
        <v/>
      </c>
      <c r="BQ75" s="85" t="str">
        <f>IF(AND(ISNUMBER(Q75),S75&lt;&gt;"Completed",S75&lt;&gt;"N/A"),Q75,"")</f>
        <v/>
      </c>
      <c r="BR75" s="85" t="str">
        <f>IF(AND(ISNUMBER(T75),V75&lt;&gt;"Completed",V75&lt;&gt;"N/A"),T75,"")</f>
        <v/>
      </c>
      <c r="BS75" s="85" t="str">
        <f>IF(AND(ISNUMBER(W75),Y75&lt;&gt;"Completed",Y75&lt;&gt;"N/A"),W75,"")</f>
        <v/>
      </c>
      <c r="BT75" s="85" t="str">
        <f>IF(AND(ISNUMBER(AA75),AC75&lt;&gt;"Completed",AC75&lt;&gt;"N/A"),AA75,"")</f>
        <v/>
      </c>
      <c r="BU75" s="85" t="str">
        <f>IF(AND(ISNUMBER(AG75),AI75&lt;&gt;"Completed",AI75&lt;&gt;"N/A"),AG75,"")</f>
        <v/>
      </c>
      <c r="BV75" s="85" t="str">
        <f>IF(AND(ISNUMBER(AJ75),AL75&lt;&gt;"Completed",AL75&lt;&gt;"N/A"),AJ75,"")</f>
        <v/>
      </c>
      <c r="BW75" s="85" t="str">
        <f>IF(AND(ISNUMBER(AM75),AO75&lt;&gt;"Completed",AO75&lt;&gt;"N/A"),AM75,"")</f>
        <v/>
      </c>
      <c r="BX75" s="85" t="str">
        <f>IF(AND(ISNUMBER(AP75),AR75&lt;&gt;"Completed",AR75&lt;&gt;"N/A"),AP75,"")</f>
        <v/>
      </c>
      <c r="BY75" s="85" t="str">
        <f>IF(AND(ISNUMBER(AU75),AW75&lt;&gt;"Completed",AW75&lt;&gt;"N/A"),AU75,"")</f>
        <v/>
      </c>
      <c r="BZ75" s="85" t="str">
        <f>IF(AND(ISNUMBER(AX75),AZ75&lt;&gt;"Completed",AZ75&lt;&gt;"N/A"),AX75,"")</f>
        <v/>
      </c>
      <c r="CA75" s="85" t="str">
        <f>IF(AND(ISNUMBER(BA75),BC75&lt;&gt;"Completed",BC75&lt;&gt;"N/A"),BA75,"")</f>
        <v/>
      </c>
      <c r="CB75" s="85" t="str">
        <f>IF(AND(ISNUMBER(BD75),BF75&lt;&gt;"Completed",BF75&lt;&gt;"N/A"),BD75,"")</f>
        <v/>
      </c>
      <c r="CC75" s="85" t="str">
        <f>IF(AND(ISNUMBER(O75),P75&lt;&gt;"Completed",P75&lt;&gt;"N/A"),O75,"")</f>
        <v/>
      </c>
      <c r="CD75" s="85" t="str">
        <f>IF(AND(ISNUMBER(BM75),BN75&lt;&gt;"Completed",BN75&lt;&gt;"N/A"),BM75,"")</f>
        <v/>
      </c>
      <c r="CE75" s="85" t="str">
        <f>IF(AND(ISNUMBER(BK75),BL75&lt;&gt;"Completed",BL75&lt;&gt;"N/A"),BK75,"")</f>
        <v/>
      </c>
      <c r="CF75" s="85" t="str">
        <f>IF(AND(ISNUMBER(BI75),BJ75&lt;&gt;"Completed",BJ75&lt;&gt;"N/A"),BI75,"")</f>
        <v/>
      </c>
      <c r="CG75" s="85" t="str">
        <f ca="1">IF(OR(A75="",D75="Completed"),"",IF(N(G75)&gt;0,1/(N(G75)+ROW()/100000),IF(ISNUMBER(F75),1000+F75+ROW()/100000,TODAY()+400+ROW()/100000)))</f>
        <v/>
      </c>
    </row>
    <row r="76" spans="1:85">
      <c r="A76" s="17"/>
      <c r="B76" s="17"/>
      <c r="C76" s="17"/>
      <c r="D76" s="18" t="str">
        <f>IF(A76="","",IF(((S76="Blocked")+(V76="Blocked")+(Y76="Blocked")+(AC76="Blocked")+(AI76="Blocked")+(AL76="Blocked")+(AO76="Blocked")+(AR76="Blocked")+(AW76="Blocked")+(AZ76="Blocked")+(BC76="Blocked")+(BF76="Blocked")+(P76="Blocked")+(BJ76="Blocked")+(BL76="Blocked")+(BN76="Blocked")+(BO76="Blocked"))&gt;0,"Blocked",IF((ISNUMBER(Q76)+ISNUMBER(T76)+ISNUMBER(W76)+ISNUMBER(AA76)+ISNUMBER(AG76)+ISNUMBER(AJ76)+ISNUMBER(AM76)+ISNUMBER(AP76)+ISNUMBER(AU76)+ISNUMBER(AX76)+ISNUMBER(BA76)+ISNUMBER(BD76)+ISNUMBER(O76)+ISNUMBER(BI76)+ISNUMBER(BK76)+ISNUMBER(BM76))=0,"Yet to start",IF(AND(OR(NOT(ISNUMBER(Q76)),S76="Completed",S76="N/A"),OR(NOT(ISNUMBER(T76)),V76="Completed",V76="N/A"),OR(NOT(ISNUMBER(W76)),Y76="Completed",Y76="N/A"),OR(NOT(ISNUMBER(AA76)),AC76="Completed",AC76="N/A"),OR(NOT(ISNUMBER(AG76)),AI76="Completed",AI76="N/A"),OR(NOT(ISNUMBER(AJ76)),AL76="Completed",AL76="N/A"),OR(NOT(ISNUMBER(AM76)),AO76="Completed",AO76="N/A"),OR(NOT(ISNUMBER(AP76)),AR76="Completed",AR76="N/A"),OR(NOT(ISNUMBER(AU76)),AW76="Completed",AW76="N/A"),OR(NOT(ISNUMBER(AX76)),AZ76="Completed",AZ76="N/A"),OR(NOT(ISNUMBER(BA76)),BC76="Completed",BC76="N/A"),OR(NOT(ISNUMBER(BD76)),BF76="Completed",BF76="N/A"),OR(NOT(ISNUMBER(O76)),P76="Completed",P76="N/A"),OR(NOT(ISNUMBER(BI76)),BJ76="Completed",BJ76="N/A"),OR(NOT(ISNUMBER(BK76)),BL76="Completed",BL76="N/A"),OR(NOT(ISNUMBER(BM76)),BN76="Completed",BN76="N/A"),OR(BO76="Completed",BO76="N/A")),"Completed",IF(((S76="In Progress")+(V76="In Progress")+(Y76="In Progress")+(AC76="In Progress")+(AI76="In Progress")+(AL76="In Progress")+(AO76="In Progress")+(AR76="In Progress")+(AW76="In Progress")+(AZ76="In Progress")+(BC76="In Progress")+(BF76="In Progress")+(P76="In Progress")+(BJ76="In Progress")+(BL76="In Progress")+(BN76="In Progress")+(BO76="In Progress"))&gt;0,"In Progress","Yet to start")))))</f>
        <v/>
      </c>
      <c r="E76" s="18" t="str">
        <f>IF(A76="","",IF(F76="","All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Review","CAB"},MATCH(F76,BQ76:CF76,0))))</f>
        <v/>
      </c>
      <c r="F76" s="19" t="str">
        <f>IF(A76="","",IF(COUNT(BQ76:CF76)=0,"",MIN(BQ76:CF76)))</f>
        <v/>
      </c>
      <c r="G76" s="18" t="str">
        <f ca="1">IF(A76="","",MAX(0,IF(AND(ISNUMBER(Q76),S76&lt;&gt;"Completed",S76&lt;&gt;"N/A",Q76&lt;TODAY()),TODAY()-Q76,0),IF(AND(ISNUMBER(T76),V76&lt;&gt;"Completed",V76&lt;&gt;"N/A",T76&lt;TODAY()),TODAY()-T76,0),IF(AND(ISNUMBER(W76),Y76&lt;&gt;"Completed",Y76&lt;&gt;"N/A",W76&lt;TODAY()),TODAY()-W76,0),IF(AND(ISNUMBER(AA76),AC76&lt;&gt;"Completed",AC76&lt;&gt;"N/A",AA76&lt;TODAY()),TODAY()-AA76,0),IF(AND(ISNUMBER(AG76),AI76&lt;&gt;"Completed",AI76&lt;&gt;"N/A",AG76&lt;TODAY()),TODAY()-AG76,0),IF(AND(ISNUMBER(AJ76),AL76&lt;&gt;"Completed",AL76&lt;&gt;"N/A",AJ76&lt;TODAY()),TODAY()-AJ76,0),IF(AND(ISNUMBER(AM76),AO76&lt;&gt;"Completed",AO76&lt;&gt;"N/A",AM76&lt;TODAY()),TODAY()-AM76,0),IF(AND(ISNUMBER(AP76),AR76&lt;&gt;"Completed",AR76&lt;&gt;"N/A",AP76&lt;TODAY()),TODAY()-AP76,0),IF(AND(ISNUMBER(AU76),AW76&lt;&gt;"Completed",AW76&lt;&gt;"N/A",AU76&lt;TODAY()),TODAY()-AU76,0),IF(AND(ISNUMBER(AX76),AZ76&lt;&gt;"Completed",AZ76&lt;&gt;"N/A",AX76&lt;TODAY()),TODAY()-AX76,0),IF(AND(ISNUMBER(BA76),BC76&lt;&gt;"Completed",BC76&lt;&gt;"N/A",BA76&lt;TODAY()),TODAY()-BA76,0),IF(AND(ISNUMBER(BD76),BF76&lt;&gt;"Completed",BF76&lt;&gt;"N/A",BD76&lt;TODAY()),TODAY()-BD76,0),IF(AND(ISNUMBER(O76),P76&lt;&gt;"Completed",P76&lt;&gt;"N/A",O76&lt;TODAY()),TODAY()-O76,0),IF(AND(ISNUMBER(BM76),BN76&lt;&gt;"Completed",BN76&lt;&gt;"N/A",BM76&lt;TODAY()),TODAY()-BM76,0),IF(AND(ISNUMBER(BK76),BL76&lt;&gt;"Completed",BL76&lt;&gt;"N/A",BK76&lt;TODAY()),TODAY()-BK76,0),IF(AND(ISNUMBER(BI76),BJ76&lt;&gt;"Completed",BJ76&lt;&gt;"N/A",BI76&lt;TODAY()),TODAY()-BI76,0)))</f>
        <v/>
      </c>
      <c r="H76" s="17"/>
      <c r="I76" s="17"/>
      <c r="J76" s="17"/>
      <c r="K76" s="19" t="str">
        <f>IF(ISNUMBER(H76),H76,IF(ISNUMBER(M76),M76-WEEKDAY(M76,2)+1-7,""))</f>
        <v/>
      </c>
      <c r="L76" s="19" t="str">
        <f>IF(ISNUMBER(I76),I76,IF(ISNUMBER(H76),WORKDAY(H76,SprintWorkingDays-1),IF(ISNUMBER(K76),WORKDAY(K76,SprintWorkingDays-1),"")))</f>
        <v/>
      </c>
      <c r="M76" s="19" t="str">
        <f>IF(ISNUMBER(J76),J76,IF(ISNUMBER(I76),I76-IF(OR(WEEKDAY(I76,2)=2,WEEKDAY(I76,2)=4),0,IF(WEEKDAY(I76,2)=3,1,IF(WEEKDAY(I76,2)=1,4,WEEKDAY(I76,2)-4))),IF(ISNUMBER(H76),WORKDAY(H76,SprintWorkingDays-1)-IF(OR(WEEKDAY(WORKDAY(H76,SprintWorkingDays-1),2)=2,WEEKDAY(WORKDAY(H76,SprintWorkingDays-1),2)=4),0,IF(WEEKDAY(WORKDAY(H76,SprintWorkingDays-1),2)=3,1,IF(WEEKDAY(WORKDAY(H76,SprintWorkingDays-1),2)=1,4,WEEKDAY(WORKDAY(H76,SprintWorkingDays-1),2)-4))),"")))</f>
        <v/>
      </c>
      <c r="N76" s="19" t="str">
        <f>IF(NOT(ISNUMBER(K76)),"",WORKDAY(K76,ReadyOffsetWD))</f>
        <v/>
      </c>
      <c r="O76" s="19" t="str">
        <f>IF(NOT(ISNUMBER(K76)),"",WORKDAY(K76,SprintReadinessOffsetWD))</f>
        <v/>
      </c>
      <c r="P76" s="17"/>
      <c r="Q76" s="19" t="str">
        <f>IF(A76="","",IF(V76="N/A",IF(NOT(ISNUMBER(W76)),"",WORKDAY(W76,RTSKOffsetFromOUR_WD)),IF(NOT(ISNUMBER(T76)),"",WORKDAY(T76,RTSKOffsetFromOUR_WD))))</f>
        <v/>
      </c>
      <c r="R76" s="17"/>
      <c r="S76" s="17"/>
      <c r="T76" s="19" t="str">
        <f>IF(OR(A76="",V76="N/A"),"",IF(NOT(ISNUMBER(W76)),"",WORKDAY(W76,OUROffsetFromSR_WD)))</f>
        <v/>
      </c>
      <c r="U76" s="17"/>
      <c r="V76" s="17"/>
      <c r="W76" s="19" t="str">
        <f>IF(OR(A76="",NOT(ISNUMBER(K76))),"",WORKDAY(K76,SROffsetFromStartWD))</f>
        <v/>
      </c>
      <c r="X76" s="17"/>
      <c r="Y76" s="17"/>
      <c r="Z76" s="17"/>
      <c r="AA76" s="19" t="str">
        <f>IF(OR(Z76="",Z76="N/A"),"",IF(ISNUMBER(Q76),Q76,""))</f>
        <v/>
      </c>
      <c r="AB76" s="17"/>
      <c r="AC76" s="17"/>
      <c r="AD76" s="17"/>
      <c r="AE76" s="17"/>
      <c r="AF76" s="17" t="str">
        <f>IF(Z76="N/A","N/A","")</f>
        <v/>
      </c>
      <c r="AG76" s="19" t="str">
        <f>IF(NOT(ISNUMBER(Q76)),"",Q76)</f>
        <v/>
      </c>
      <c r="AH76" s="17"/>
      <c r="AI76" s="17"/>
      <c r="AJ76" s="19" t="str">
        <f>IF(OR(AL76="N/A",NOT(ISNUMBER(T76))),"",T76)</f>
        <v/>
      </c>
      <c r="AK76" s="17"/>
      <c r="AL76" s="17"/>
      <c r="AM76" s="19" t="str">
        <f>IF(NOT(ISNUMBER(W76)),"",W76)</f>
        <v/>
      </c>
      <c r="AN76" s="17"/>
      <c r="AO76" s="17"/>
      <c r="AP76" s="19" t="str">
        <f>IF(OR(Z76="",Z76="N/A"),"",IF(ISNUMBER(AG76),AG76,""))</f>
        <v/>
      </c>
      <c r="AQ76" s="17"/>
      <c r="AR76" s="17"/>
      <c r="AS76" s="17"/>
      <c r="AT76" s="17"/>
      <c r="AU76" s="19" t="str">
        <f>IF(NOT(ISNUMBER(Q76)),"",Q76)</f>
        <v/>
      </c>
      <c r="AV76" s="17"/>
      <c r="AW76" s="17"/>
      <c r="AX76" s="19" t="str">
        <f>IF(OR(AZ76="N/A",NOT(ISNUMBER(T76))),"",T76)</f>
        <v/>
      </c>
      <c r="AY76" s="17"/>
      <c r="AZ76" s="17"/>
      <c r="BA76" s="19" t="str">
        <f>IF(NOT(ISNUMBER(W76)),"",W76)</f>
        <v/>
      </c>
      <c r="BB76" s="17"/>
      <c r="BC76" s="17"/>
      <c r="BD76" s="19" t="str">
        <f>IF(OR(Z76="",Z76="N/A"),"",IF(ISNUMBER(AU76),AU76,""))</f>
        <v/>
      </c>
      <c r="BE76" s="17"/>
      <c r="BF76" s="17"/>
      <c r="BG76" s="17"/>
      <c r="BH76" s="17"/>
      <c r="BI76" s="89" t="e">
        <f>IF(OR(A76="",NOT(ISNUMBER(M76)),AND(WEEKDAY(M76,2)&lt;&gt;2,WEEKDAY(M76,2)&lt;&gt;4)),"",WORKDAY(M76,CABOffsetFromReleaseWD))</f>
        <v>#VALUE!</v>
      </c>
      <c r="BJ76" s="17"/>
      <c r="BK76" s="19" t="str">
        <f>IF(NOT(ISNUMBER(BI76)),"",IF(WEEKDAY(BI76-CodeReviewCalendarDays,2)&gt;5,BI76-CodeReviewCalendarDays-(WEEKDAY(BI76-CodeReviewCalendarDays,2)-5),BI76-CodeReviewCalendarDays))</f>
        <v/>
      </c>
      <c r="BL76" s="17"/>
      <c r="BM76" s="19" t="str">
        <f>IF(NOT(ISNUMBER(BK76)),"",IF(WEEKDAY(BK76-CodeReviewInviteCalendarDays,2)&gt;5,BK76-CodeReviewInviteCalendarDays-(WEEKDAY(BK76-CodeReviewInviteCalendarDays,2)-5),BK76-CodeReviewInviteCalendarDays))</f>
        <v/>
      </c>
      <c r="BN76" s="17"/>
      <c r="BO76" s="17"/>
      <c r="BP76" s="18" t="str">
        <f ca="1">IF(A76="","",IF(IF(AND(ISNUMBER(J76),WEEKDAY(J76,2)&lt;&gt;2,WEEKDAY(J76,2)&lt;&gt;4)," | Release must be Tuesday or Thursday","")&amp;IF(AND(ISNUMBER(H76),WEEKDAY(H76,2)&lt;&gt;1)," | Sprint Start is not a Monday - dates still calculated from the date entered","")&amp;IF(AND(A76&lt;&gt;"",NOT(ISNUMBER(H76)),NOT(ISNUMBER(J76)))," | Enter Sprint Start or Release Date","")&amp;IF(AND(ISNUMBER(F76),F76&lt;TODAY(),D76&lt;&gt;"Completed")," | One or more raise-by dates are in the past and not completed","")&amp;IF(AND(ISNUMBER(K76),K76-TODAY()&lt;SprintWarningDays,K76&gt;=TODAY(),OR(D76="Yet to start",D76="Blocked"))," | Sprint starts in under 10 days - raise access requests now","")&amp;IF(AND(ISNUMBER(BM76),BN76&lt;&gt;"Completed",BN76&lt;&gt;"N/A",BM76-TODAY()&lt;CodeReviewInviteCalendarDays)," | Code Review invite should be sent at least 4 days before Code Review","")="","",MID(IF(AND(ISNUMBER(J76),WEEKDAY(J76,2)&lt;&gt;2,WEEKDAY(J76,2)&lt;&gt;4)," | Release must be Tuesday or Thursday","")&amp;IF(AND(ISNUMBER(H76),WEEKDAY(H76,2)&lt;&gt;1)," | Sprint Start is not a Monday - dates still calculated from the date entered","")&amp;IF(AND(A76&lt;&gt;"",NOT(ISNUMBER(H76)),NOT(ISNUMBER(J76)))," | Enter Sprint Start or Release Date","")&amp;IF(AND(ISNUMBER(F76),F76&lt;TODAY(),D76&lt;&gt;"Completed")," | One or more raise-by dates are in the past and not completed","")&amp;IF(AND(ISNUMBER(K76),K76-TODAY()&lt;SprintWarningDays,K76&gt;=TODAY(),OR(D76="Yet to start",D76="Blocked"))," | Sprint starts in under 10 days - raise access requests now","")&amp;IF(AND(ISNUMBER(BM76),BN76&lt;&gt;"Completed",BN76&lt;&gt;"N/A",BM76-TODAY()&lt;CodeReviewInviteCalendarDays)," | Code Review invite should be sent at least 4 days before Code Review",""),4,500)))</f>
        <v/>
      </c>
      <c r="BQ76" s="85" t="str">
        <f>IF(AND(ISNUMBER(Q76),S76&lt;&gt;"Completed",S76&lt;&gt;"N/A"),Q76,"")</f>
        <v/>
      </c>
      <c r="BR76" s="85" t="str">
        <f>IF(AND(ISNUMBER(T76),V76&lt;&gt;"Completed",V76&lt;&gt;"N/A"),T76,"")</f>
        <v/>
      </c>
      <c r="BS76" s="85" t="str">
        <f>IF(AND(ISNUMBER(W76),Y76&lt;&gt;"Completed",Y76&lt;&gt;"N/A"),W76,"")</f>
        <v/>
      </c>
      <c r="BT76" s="85" t="str">
        <f>IF(AND(ISNUMBER(AA76),AC76&lt;&gt;"Completed",AC76&lt;&gt;"N/A"),AA76,"")</f>
        <v/>
      </c>
      <c r="BU76" s="85" t="str">
        <f>IF(AND(ISNUMBER(AG76),AI76&lt;&gt;"Completed",AI76&lt;&gt;"N/A"),AG76,"")</f>
        <v/>
      </c>
      <c r="BV76" s="85" t="str">
        <f>IF(AND(ISNUMBER(AJ76),AL76&lt;&gt;"Completed",AL76&lt;&gt;"N/A"),AJ76,"")</f>
        <v/>
      </c>
      <c r="BW76" s="85" t="str">
        <f>IF(AND(ISNUMBER(AM76),AO76&lt;&gt;"Completed",AO76&lt;&gt;"N/A"),AM76,"")</f>
        <v/>
      </c>
      <c r="BX76" s="85" t="str">
        <f>IF(AND(ISNUMBER(AP76),AR76&lt;&gt;"Completed",AR76&lt;&gt;"N/A"),AP76,"")</f>
        <v/>
      </c>
      <c r="BY76" s="85" t="str">
        <f>IF(AND(ISNUMBER(AU76),AW76&lt;&gt;"Completed",AW76&lt;&gt;"N/A"),AU76,"")</f>
        <v/>
      </c>
      <c r="BZ76" s="85" t="str">
        <f>IF(AND(ISNUMBER(AX76),AZ76&lt;&gt;"Completed",AZ76&lt;&gt;"N/A"),AX76,"")</f>
        <v/>
      </c>
      <c r="CA76" s="85" t="str">
        <f>IF(AND(ISNUMBER(BA76),BC76&lt;&gt;"Completed",BC76&lt;&gt;"N/A"),BA76,"")</f>
        <v/>
      </c>
      <c r="CB76" s="85" t="str">
        <f>IF(AND(ISNUMBER(BD76),BF76&lt;&gt;"Completed",BF76&lt;&gt;"N/A"),BD76,"")</f>
        <v/>
      </c>
      <c r="CC76" s="85" t="str">
        <f>IF(AND(ISNUMBER(O76),P76&lt;&gt;"Completed",P76&lt;&gt;"N/A"),O76,"")</f>
        <v/>
      </c>
      <c r="CD76" s="85" t="str">
        <f>IF(AND(ISNUMBER(BM76),BN76&lt;&gt;"Completed",BN76&lt;&gt;"N/A"),BM76,"")</f>
        <v/>
      </c>
      <c r="CE76" s="85" t="str">
        <f>IF(AND(ISNUMBER(BK76),BL76&lt;&gt;"Completed",BL76&lt;&gt;"N/A"),BK76,"")</f>
        <v/>
      </c>
      <c r="CF76" s="85" t="str">
        <f>IF(AND(ISNUMBER(BI76),BJ76&lt;&gt;"Completed",BJ76&lt;&gt;"N/A"),BI76,"")</f>
        <v/>
      </c>
      <c r="CG76" s="85" t="str">
        <f ca="1">IF(OR(A76="",D76="Completed"),"",IF(N(G76)&gt;0,1/(N(G76)+ROW()/100000),IF(ISNUMBER(F76),1000+F76+ROW()/100000,TODAY()+400+ROW()/100000)))</f>
        <v/>
      </c>
    </row>
    <row r="77" spans="1:85">
      <c r="A77" s="17"/>
      <c r="B77" s="17"/>
      <c r="C77" s="17"/>
      <c r="D77" s="18" t="str">
        <f>IF(A77="","",IF(((S77="Blocked")+(V77="Blocked")+(Y77="Blocked")+(AC77="Blocked")+(AI77="Blocked")+(AL77="Blocked")+(AO77="Blocked")+(AR77="Blocked")+(AW77="Blocked")+(AZ77="Blocked")+(BC77="Blocked")+(BF77="Blocked")+(P77="Blocked")+(BJ77="Blocked")+(BL77="Blocked")+(BN77="Blocked")+(BO77="Blocked"))&gt;0,"Blocked",IF((ISNUMBER(Q77)+ISNUMBER(T77)+ISNUMBER(W77)+ISNUMBER(AA77)+ISNUMBER(AG77)+ISNUMBER(AJ77)+ISNUMBER(AM77)+ISNUMBER(AP77)+ISNUMBER(AU77)+ISNUMBER(AX77)+ISNUMBER(BA77)+ISNUMBER(BD77)+ISNUMBER(O77)+ISNUMBER(BI77)+ISNUMBER(BK77)+ISNUMBER(BM77))=0,"Yet to start",IF(AND(OR(NOT(ISNUMBER(Q77)),S77="Completed",S77="N/A"),OR(NOT(ISNUMBER(T77)),V77="Completed",V77="N/A"),OR(NOT(ISNUMBER(W77)),Y77="Completed",Y77="N/A"),OR(NOT(ISNUMBER(AA77)),AC77="Completed",AC77="N/A"),OR(NOT(ISNUMBER(AG77)),AI77="Completed",AI77="N/A"),OR(NOT(ISNUMBER(AJ77)),AL77="Completed",AL77="N/A"),OR(NOT(ISNUMBER(AM77)),AO77="Completed",AO77="N/A"),OR(NOT(ISNUMBER(AP77)),AR77="Completed",AR77="N/A"),OR(NOT(ISNUMBER(AU77)),AW77="Completed",AW77="N/A"),OR(NOT(ISNUMBER(AX77)),AZ77="Completed",AZ77="N/A"),OR(NOT(ISNUMBER(BA77)),BC77="Completed",BC77="N/A"),OR(NOT(ISNUMBER(BD77)),BF77="Completed",BF77="N/A"),OR(NOT(ISNUMBER(O77)),P77="Completed",P77="N/A"),OR(NOT(ISNUMBER(BI77)),BJ77="Completed",BJ77="N/A"),OR(NOT(ISNUMBER(BK77)),BL77="Completed",BL77="N/A"),OR(NOT(ISNUMBER(BM77)),BN77="Completed",BN77="N/A"),OR(BO77="Completed",BO77="N/A")),"Completed",IF(((S77="In Progress")+(V77="In Progress")+(Y77="In Progress")+(AC77="In Progress")+(AI77="In Progress")+(AL77="In Progress")+(AO77="In Progress")+(AR77="In Progress")+(AW77="In Progress")+(AZ77="In Progress")+(BC77="In Progress")+(BF77="In Progress")+(P77="In Progress")+(BJ77="In Progress")+(BL77="In Progress")+(BN77="In Progress")+(BO77="In Progress"))&gt;0,"In Progress","Yet to start")))))</f>
        <v/>
      </c>
      <c r="E77" s="18" t="str">
        <f>IF(A77="","",IF(F77="","All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Review","CAB"},MATCH(F77,BQ77:CF77,0))))</f>
        <v/>
      </c>
      <c r="F77" s="19" t="str">
        <f>IF(A77="","",IF(COUNT(BQ77:CF77)=0,"",MIN(BQ77:CF77)))</f>
        <v/>
      </c>
      <c r="G77" s="18" t="str">
        <f ca="1">IF(A77="","",MAX(0,IF(AND(ISNUMBER(Q77),S77&lt;&gt;"Completed",S77&lt;&gt;"N/A",Q77&lt;TODAY()),TODAY()-Q77,0),IF(AND(ISNUMBER(T77),V77&lt;&gt;"Completed",V77&lt;&gt;"N/A",T77&lt;TODAY()),TODAY()-T77,0),IF(AND(ISNUMBER(W77),Y77&lt;&gt;"Completed",Y77&lt;&gt;"N/A",W77&lt;TODAY()),TODAY()-W77,0),IF(AND(ISNUMBER(AA77),AC77&lt;&gt;"Completed",AC77&lt;&gt;"N/A",AA77&lt;TODAY()),TODAY()-AA77,0),IF(AND(ISNUMBER(AG77),AI77&lt;&gt;"Completed",AI77&lt;&gt;"N/A",AG77&lt;TODAY()),TODAY()-AG77,0),IF(AND(ISNUMBER(AJ77),AL77&lt;&gt;"Completed",AL77&lt;&gt;"N/A",AJ77&lt;TODAY()),TODAY()-AJ77,0),IF(AND(ISNUMBER(AM77),AO77&lt;&gt;"Completed",AO77&lt;&gt;"N/A",AM77&lt;TODAY()),TODAY()-AM77,0),IF(AND(ISNUMBER(AP77),AR77&lt;&gt;"Completed",AR77&lt;&gt;"N/A",AP77&lt;TODAY()),TODAY()-AP77,0),IF(AND(ISNUMBER(AU77),AW77&lt;&gt;"Completed",AW77&lt;&gt;"N/A",AU77&lt;TODAY()),TODAY()-AU77,0),IF(AND(ISNUMBER(AX77),AZ77&lt;&gt;"Completed",AZ77&lt;&gt;"N/A",AX77&lt;TODAY()),TODAY()-AX77,0),IF(AND(ISNUMBER(BA77),BC77&lt;&gt;"Completed",BC77&lt;&gt;"N/A",BA77&lt;TODAY()),TODAY()-BA77,0),IF(AND(ISNUMBER(BD77),BF77&lt;&gt;"Completed",BF77&lt;&gt;"N/A",BD77&lt;TODAY()),TODAY()-BD77,0),IF(AND(ISNUMBER(O77),P77&lt;&gt;"Completed",P77&lt;&gt;"N/A",O77&lt;TODAY()),TODAY()-O77,0),IF(AND(ISNUMBER(BM77),BN77&lt;&gt;"Completed",BN77&lt;&gt;"N/A",BM77&lt;TODAY()),TODAY()-BM77,0),IF(AND(ISNUMBER(BK77),BL77&lt;&gt;"Completed",BL77&lt;&gt;"N/A",BK77&lt;TODAY()),TODAY()-BK77,0),IF(AND(ISNUMBER(BI77),BJ77&lt;&gt;"Completed",BJ77&lt;&gt;"N/A",BI77&lt;TODAY()),TODAY()-BI77,0)))</f>
        <v/>
      </c>
      <c r="H77" s="17"/>
      <c r="I77" s="17"/>
      <c r="J77" s="17"/>
      <c r="K77" s="19" t="str">
        <f>IF(ISNUMBER(H77),H77,IF(ISNUMBER(M77),M77-WEEKDAY(M77,2)+1-7,""))</f>
        <v/>
      </c>
      <c r="L77" s="19" t="str">
        <f>IF(ISNUMBER(I77),I77,IF(ISNUMBER(H77),WORKDAY(H77,SprintWorkingDays-1),IF(ISNUMBER(K77),WORKDAY(K77,SprintWorkingDays-1),"")))</f>
        <v/>
      </c>
      <c r="M77" s="19" t="str">
        <f>IF(ISNUMBER(J77),J77,IF(ISNUMBER(I77),I77-IF(OR(WEEKDAY(I77,2)=2,WEEKDAY(I77,2)=4),0,IF(WEEKDAY(I77,2)=3,1,IF(WEEKDAY(I77,2)=1,4,WEEKDAY(I77,2)-4))),IF(ISNUMBER(H77),WORKDAY(H77,SprintWorkingDays-1)-IF(OR(WEEKDAY(WORKDAY(H77,SprintWorkingDays-1),2)=2,WEEKDAY(WORKDAY(H77,SprintWorkingDays-1),2)=4),0,IF(WEEKDAY(WORKDAY(H77,SprintWorkingDays-1),2)=3,1,IF(WEEKDAY(WORKDAY(H77,SprintWorkingDays-1),2)=1,4,WEEKDAY(WORKDAY(H77,SprintWorkingDays-1),2)-4))),"")))</f>
        <v/>
      </c>
      <c r="N77" s="19" t="str">
        <f>IF(NOT(ISNUMBER(K77)),"",WORKDAY(K77,ReadyOffsetWD))</f>
        <v/>
      </c>
      <c r="O77" s="19" t="str">
        <f>IF(NOT(ISNUMBER(K77)),"",WORKDAY(K77,SprintReadinessOffsetWD))</f>
        <v/>
      </c>
      <c r="P77" s="17"/>
      <c r="Q77" s="19" t="str">
        <f>IF(A77="","",IF(V77="N/A",IF(NOT(ISNUMBER(W77)),"",WORKDAY(W77,RTSKOffsetFromOUR_WD)),IF(NOT(ISNUMBER(T77)),"",WORKDAY(T77,RTSKOffsetFromOUR_WD))))</f>
        <v/>
      </c>
      <c r="R77" s="17"/>
      <c r="S77" s="17"/>
      <c r="T77" s="19" t="str">
        <f>IF(OR(A77="",V77="N/A"),"",IF(NOT(ISNUMBER(W77)),"",WORKDAY(W77,OUROffsetFromSR_WD)))</f>
        <v/>
      </c>
      <c r="U77" s="17"/>
      <c r="V77" s="17"/>
      <c r="W77" s="19" t="str">
        <f>IF(OR(A77="",NOT(ISNUMBER(K77))),"",WORKDAY(K77,SROffsetFromStartWD))</f>
        <v/>
      </c>
      <c r="X77" s="17"/>
      <c r="Y77" s="17"/>
      <c r="Z77" s="17"/>
      <c r="AA77" s="19" t="str">
        <f>IF(OR(Z77="",Z77="N/A"),"",IF(ISNUMBER(Q77),Q77,""))</f>
        <v/>
      </c>
      <c r="AB77" s="17"/>
      <c r="AC77" s="17"/>
      <c r="AD77" s="17"/>
      <c r="AE77" s="17"/>
      <c r="AF77" s="17" t="str">
        <f>IF(Z77="N/A","N/A","")</f>
        <v/>
      </c>
      <c r="AG77" s="19" t="str">
        <f>IF(NOT(ISNUMBER(Q77)),"",Q77)</f>
        <v/>
      </c>
      <c r="AH77" s="17"/>
      <c r="AI77" s="17"/>
      <c r="AJ77" s="19" t="str">
        <f>IF(OR(AL77="N/A",NOT(ISNUMBER(T77))),"",T77)</f>
        <v/>
      </c>
      <c r="AK77" s="17"/>
      <c r="AL77" s="17"/>
      <c r="AM77" s="19" t="str">
        <f>IF(NOT(ISNUMBER(W77)),"",W77)</f>
        <v/>
      </c>
      <c r="AN77" s="17"/>
      <c r="AO77" s="17"/>
      <c r="AP77" s="19" t="str">
        <f>IF(OR(Z77="",Z77="N/A"),"",IF(ISNUMBER(AG77),AG77,""))</f>
        <v/>
      </c>
      <c r="AQ77" s="17"/>
      <c r="AR77" s="17"/>
      <c r="AS77" s="17"/>
      <c r="AT77" s="17"/>
      <c r="AU77" s="19" t="str">
        <f>IF(NOT(ISNUMBER(Q77)),"",Q77)</f>
        <v/>
      </c>
      <c r="AV77" s="17"/>
      <c r="AW77" s="17"/>
      <c r="AX77" s="19" t="str">
        <f>IF(OR(AZ77="N/A",NOT(ISNUMBER(T77))),"",T77)</f>
        <v/>
      </c>
      <c r="AY77" s="17"/>
      <c r="AZ77" s="17"/>
      <c r="BA77" s="19" t="str">
        <f>IF(NOT(ISNUMBER(W77)),"",W77)</f>
        <v/>
      </c>
      <c r="BB77" s="17"/>
      <c r="BC77" s="17"/>
      <c r="BD77" s="19" t="str">
        <f>IF(OR(Z77="",Z77="N/A"),"",IF(ISNUMBER(AU77),AU77,""))</f>
        <v/>
      </c>
      <c r="BE77" s="17"/>
      <c r="BF77" s="17"/>
      <c r="BG77" s="17"/>
      <c r="BH77" s="17"/>
      <c r="BI77" s="89" t="e">
        <f>IF(OR(A77="",NOT(ISNUMBER(M77)),AND(WEEKDAY(M77,2)&lt;&gt;2,WEEKDAY(M77,2)&lt;&gt;4)),"",WORKDAY(M77,CABOffsetFromReleaseWD))</f>
        <v>#VALUE!</v>
      </c>
      <c r="BJ77" s="17"/>
      <c r="BK77" s="19" t="str">
        <f>IF(NOT(ISNUMBER(BI77)),"",IF(WEEKDAY(BI77-CodeReviewCalendarDays,2)&gt;5,BI77-CodeReviewCalendarDays-(WEEKDAY(BI77-CodeReviewCalendarDays,2)-5),BI77-CodeReviewCalendarDays))</f>
        <v/>
      </c>
      <c r="BL77" s="17"/>
      <c r="BM77" s="19" t="str">
        <f>IF(NOT(ISNUMBER(BK77)),"",IF(WEEKDAY(BK77-CodeReviewInviteCalendarDays,2)&gt;5,BK77-CodeReviewInviteCalendarDays-(WEEKDAY(BK77-CodeReviewInviteCalendarDays,2)-5),BK77-CodeReviewInviteCalendarDays))</f>
        <v/>
      </c>
      <c r="BN77" s="17"/>
      <c r="BO77" s="17"/>
      <c r="BP77" s="18" t="str">
        <f ca="1">IF(A77="","",IF(IF(AND(ISNUMBER(J77),WEEKDAY(J77,2)&lt;&gt;2,WEEKDAY(J77,2)&lt;&gt;4)," | Release must be Tuesday or Thursday","")&amp;IF(AND(ISNUMBER(H77),WEEKDAY(H77,2)&lt;&gt;1)," | Sprint Start is not a Monday - dates still calculated from the date entered","")&amp;IF(AND(A77&lt;&gt;"",NOT(ISNUMBER(H77)),NOT(ISNUMBER(J77)))," | Enter Sprint Start or Release Date","")&amp;IF(AND(ISNUMBER(F77),F77&lt;TODAY(),D77&lt;&gt;"Completed")," | One or more raise-by dates are in the past and not completed","")&amp;IF(AND(ISNUMBER(K77),K77-TODAY()&lt;SprintWarningDays,K77&gt;=TODAY(),OR(D77="Yet to start",D77="Blocked"))," | Sprint starts in under 10 days - raise access requests now","")&amp;IF(AND(ISNUMBER(BM77),BN77&lt;&gt;"Completed",BN77&lt;&gt;"N/A",BM77-TODAY()&lt;CodeReviewInviteCalendarDays)," | Code Review invite should be sent at least 4 days before Code Review","")="","",MID(IF(AND(ISNUMBER(J77),WEEKDAY(J77,2)&lt;&gt;2,WEEKDAY(J77,2)&lt;&gt;4)," | Release must be Tuesday or Thursday","")&amp;IF(AND(ISNUMBER(H77),WEEKDAY(H77,2)&lt;&gt;1)," | Sprint Start is not a Monday - dates still calculated from the date entered","")&amp;IF(AND(A77&lt;&gt;"",NOT(ISNUMBER(H77)),NOT(ISNUMBER(J77)))," | Enter Sprint Start or Release Date","")&amp;IF(AND(ISNUMBER(F77),F77&lt;TODAY(),D77&lt;&gt;"Completed")," | One or more raise-by dates are in the past and not completed","")&amp;IF(AND(ISNUMBER(K77),K77-TODAY()&lt;SprintWarningDays,K77&gt;=TODAY(),OR(D77="Yet to start",D77="Blocked"))," | Sprint starts in under 10 days - raise access requests now","")&amp;IF(AND(ISNUMBER(BM77),BN77&lt;&gt;"Completed",BN77&lt;&gt;"N/A",BM77-TODAY()&lt;CodeReviewInviteCalendarDays)," | Code Review invite should be sent at least 4 days before Code Review",""),4,500)))</f>
        <v/>
      </c>
      <c r="BQ77" s="85" t="str">
        <f>IF(AND(ISNUMBER(Q77),S77&lt;&gt;"Completed",S77&lt;&gt;"N/A"),Q77,"")</f>
        <v/>
      </c>
      <c r="BR77" s="85" t="str">
        <f>IF(AND(ISNUMBER(T77),V77&lt;&gt;"Completed",V77&lt;&gt;"N/A"),T77,"")</f>
        <v/>
      </c>
      <c r="BS77" s="85" t="str">
        <f>IF(AND(ISNUMBER(W77),Y77&lt;&gt;"Completed",Y77&lt;&gt;"N/A"),W77,"")</f>
        <v/>
      </c>
      <c r="BT77" s="85" t="str">
        <f>IF(AND(ISNUMBER(AA77),AC77&lt;&gt;"Completed",AC77&lt;&gt;"N/A"),AA77,"")</f>
        <v/>
      </c>
      <c r="BU77" s="85" t="str">
        <f>IF(AND(ISNUMBER(AG77),AI77&lt;&gt;"Completed",AI77&lt;&gt;"N/A"),AG77,"")</f>
        <v/>
      </c>
      <c r="BV77" s="85" t="str">
        <f>IF(AND(ISNUMBER(AJ77),AL77&lt;&gt;"Completed",AL77&lt;&gt;"N/A"),AJ77,"")</f>
        <v/>
      </c>
      <c r="BW77" s="85" t="str">
        <f>IF(AND(ISNUMBER(AM77),AO77&lt;&gt;"Completed",AO77&lt;&gt;"N/A"),AM77,"")</f>
        <v/>
      </c>
      <c r="BX77" s="85" t="str">
        <f>IF(AND(ISNUMBER(AP77),AR77&lt;&gt;"Completed",AR77&lt;&gt;"N/A"),AP77,"")</f>
        <v/>
      </c>
      <c r="BY77" s="85" t="str">
        <f>IF(AND(ISNUMBER(AU77),AW77&lt;&gt;"Completed",AW77&lt;&gt;"N/A"),AU77,"")</f>
        <v/>
      </c>
      <c r="BZ77" s="85" t="str">
        <f>IF(AND(ISNUMBER(AX77),AZ77&lt;&gt;"Completed",AZ77&lt;&gt;"N/A"),AX77,"")</f>
        <v/>
      </c>
      <c r="CA77" s="85" t="str">
        <f>IF(AND(ISNUMBER(BA77),BC77&lt;&gt;"Completed",BC77&lt;&gt;"N/A"),BA77,"")</f>
        <v/>
      </c>
      <c r="CB77" s="85" t="str">
        <f>IF(AND(ISNUMBER(BD77),BF77&lt;&gt;"Completed",BF77&lt;&gt;"N/A"),BD77,"")</f>
        <v/>
      </c>
      <c r="CC77" s="85" t="str">
        <f>IF(AND(ISNUMBER(O77),P77&lt;&gt;"Completed",P77&lt;&gt;"N/A"),O77,"")</f>
        <v/>
      </c>
      <c r="CD77" s="85" t="str">
        <f>IF(AND(ISNUMBER(BM77),BN77&lt;&gt;"Completed",BN77&lt;&gt;"N/A"),BM77,"")</f>
        <v/>
      </c>
      <c r="CE77" s="85" t="str">
        <f>IF(AND(ISNUMBER(BK77),BL77&lt;&gt;"Completed",BL77&lt;&gt;"N/A"),BK77,"")</f>
        <v/>
      </c>
      <c r="CF77" s="85" t="str">
        <f>IF(AND(ISNUMBER(BI77),BJ77&lt;&gt;"Completed",BJ77&lt;&gt;"N/A"),BI77,"")</f>
        <v/>
      </c>
      <c r="CG77" s="85" t="str">
        <f ca="1">IF(OR(A77="",D77="Completed"),"",IF(N(G77)&gt;0,1/(N(G77)+ROW()/100000),IF(ISNUMBER(F77),1000+F77+ROW()/100000,TODAY()+400+ROW()/100000)))</f>
        <v/>
      </c>
    </row>
    <row r="78" spans="1:85">
      <c r="A78" s="17"/>
      <c r="B78" s="17"/>
      <c r="C78" s="17"/>
      <c r="D78" s="18" t="str">
        <f>IF(A78="","",IF(((S78="Blocked")+(V78="Blocked")+(Y78="Blocked")+(AC78="Blocked")+(AI78="Blocked")+(AL78="Blocked")+(AO78="Blocked")+(AR78="Blocked")+(AW78="Blocked")+(AZ78="Blocked")+(BC78="Blocked")+(BF78="Blocked")+(P78="Blocked")+(BJ78="Blocked")+(BL78="Blocked")+(BN78="Blocked")+(BO78="Blocked"))&gt;0,"Blocked",IF((ISNUMBER(Q78)+ISNUMBER(T78)+ISNUMBER(W78)+ISNUMBER(AA78)+ISNUMBER(AG78)+ISNUMBER(AJ78)+ISNUMBER(AM78)+ISNUMBER(AP78)+ISNUMBER(AU78)+ISNUMBER(AX78)+ISNUMBER(BA78)+ISNUMBER(BD78)+ISNUMBER(O78)+ISNUMBER(BI78)+ISNUMBER(BK78)+ISNUMBER(BM78))=0,"Yet to start",IF(AND(OR(NOT(ISNUMBER(Q78)),S78="Completed",S78="N/A"),OR(NOT(ISNUMBER(T78)),V78="Completed",V78="N/A"),OR(NOT(ISNUMBER(W78)),Y78="Completed",Y78="N/A"),OR(NOT(ISNUMBER(AA78)),AC78="Completed",AC78="N/A"),OR(NOT(ISNUMBER(AG78)),AI78="Completed",AI78="N/A"),OR(NOT(ISNUMBER(AJ78)),AL78="Completed",AL78="N/A"),OR(NOT(ISNUMBER(AM78)),AO78="Completed",AO78="N/A"),OR(NOT(ISNUMBER(AP78)),AR78="Completed",AR78="N/A"),OR(NOT(ISNUMBER(AU78)),AW78="Completed",AW78="N/A"),OR(NOT(ISNUMBER(AX78)),AZ78="Completed",AZ78="N/A"),OR(NOT(ISNUMBER(BA78)),BC78="Completed",BC78="N/A"),OR(NOT(ISNUMBER(BD78)),BF78="Completed",BF78="N/A"),OR(NOT(ISNUMBER(O78)),P78="Completed",P78="N/A"),OR(NOT(ISNUMBER(BI78)),BJ78="Completed",BJ78="N/A"),OR(NOT(ISNUMBER(BK78)),BL78="Completed",BL78="N/A"),OR(NOT(ISNUMBER(BM78)),BN78="Completed",BN78="N/A"),OR(BO78="Completed",BO78="N/A")),"Completed",IF(((S78="In Progress")+(V78="In Progress")+(Y78="In Progress")+(AC78="In Progress")+(AI78="In Progress")+(AL78="In Progress")+(AO78="In Progress")+(AR78="In Progress")+(AW78="In Progress")+(AZ78="In Progress")+(BC78="In Progress")+(BF78="In Progress")+(P78="In Progress")+(BJ78="In Progress")+(BL78="In Progress")+(BN78="In Progress")+(BO78="In Progress"))&gt;0,"In Progress","Yet to start")))))</f>
        <v/>
      </c>
      <c r="E78" s="18" t="str">
        <f>IF(A78="","",IF(F78="","All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Review","CAB"},MATCH(F78,BQ78:CF78,0))))</f>
        <v/>
      </c>
      <c r="F78" s="19" t="str">
        <f>IF(A78="","",IF(COUNT(BQ78:CF78)=0,"",MIN(BQ78:CF78)))</f>
        <v/>
      </c>
      <c r="G78" s="18" t="str">
        <f ca="1">IF(A78="","",MAX(0,IF(AND(ISNUMBER(Q78),S78&lt;&gt;"Completed",S78&lt;&gt;"N/A",Q78&lt;TODAY()),TODAY()-Q78,0),IF(AND(ISNUMBER(T78),V78&lt;&gt;"Completed",V78&lt;&gt;"N/A",T78&lt;TODAY()),TODAY()-T78,0),IF(AND(ISNUMBER(W78),Y78&lt;&gt;"Completed",Y78&lt;&gt;"N/A",W78&lt;TODAY()),TODAY()-W78,0),IF(AND(ISNUMBER(AA78),AC78&lt;&gt;"Completed",AC78&lt;&gt;"N/A",AA78&lt;TODAY()),TODAY()-AA78,0),IF(AND(ISNUMBER(AG78),AI78&lt;&gt;"Completed",AI78&lt;&gt;"N/A",AG78&lt;TODAY()),TODAY()-AG78,0),IF(AND(ISNUMBER(AJ78),AL78&lt;&gt;"Completed",AL78&lt;&gt;"N/A",AJ78&lt;TODAY()),TODAY()-AJ78,0),IF(AND(ISNUMBER(AM78),AO78&lt;&gt;"Completed",AO78&lt;&gt;"N/A",AM78&lt;TODAY()),TODAY()-AM78,0),IF(AND(ISNUMBER(AP78),AR78&lt;&gt;"Completed",AR78&lt;&gt;"N/A",AP78&lt;TODAY()),TODAY()-AP78,0),IF(AND(ISNUMBER(AU78),AW78&lt;&gt;"Completed",AW78&lt;&gt;"N/A",AU78&lt;TODAY()),TODAY()-AU78,0),IF(AND(ISNUMBER(AX78),AZ78&lt;&gt;"Completed",AZ78&lt;&gt;"N/A",AX78&lt;TODAY()),TODAY()-AX78,0),IF(AND(ISNUMBER(BA78),BC78&lt;&gt;"Completed",BC78&lt;&gt;"N/A",BA78&lt;TODAY()),TODAY()-BA78,0),IF(AND(ISNUMBER(BD78),BF78&lt;&gt;"Completed",BF78&lt;&gt;"N/A",BD78&lt;TODAY()),TODAY()-BD78,0),IF(AND(ISNUMBER(O78),P78&lt;&gt;"Completed",P78&lt;&gt;"N/A",O78&lt;TODAY()),TODAY()-O78,0),IF(AND(ISNUMBER(BM78),BN78&lt;&gt;"Completed",BN78&lt;&gt;"N/A",BM78&lt;TODAY()),TODAY()-BM78,0),IF(AND(ISNUMBER(BK78),BL78&lt;&gt;"Completed",BL78&lt;&gt;"N/A",BK78&lt;TODAY()),TODAY()-BK78,0),IF(AND(ISNUMBER(BI78),BJ78&lt;&gt;"Completed",BJ78&lt;&gt;"N/A",BI78&lt;TODAY()),TODAY()-BI78,0)))</f>
        <v/>
      </c>
      <c r="H78" s="17"/>
      <c r="I78" s="17"/>
      <c r="J78" s="17"/>
      <c r="K78" s="19" t="str">
        <f>IF(ISNUMBER(H78),H78,IF(ISNUMBER(M78),M78-WEEKDAY(M78,2)+1-7,""))</f>
        <v/>
      </c>
      <c r="L78" s="19" t="str">
        <f>IF(ISNUMBER(I78),I78,IF(ISNUMBER(H78),WORKDAY(H78,SprintWorkingDays-1),IF(ISNUMBER(K78),WORKDAY(K78,SprintWorkingDays-1),"")))</f>
        <v/>
      </c>
      <c r="M78" s="19" t="str">
        <f>IF(ISNUMBER(J78),J78,IF(ISNUMBER(I78),I78-IF(OR(WEEKDAY(I78,2)=2,WEEKDAY(I78,2)=4),0,IF(WEEKDAY(I78,2)=3,1,IF(WEEKDAY(I78,2)=1,4,WEEKDAY(I78,2)-4))),IF(ISNUMBER(H78),WORKDAY(H78,SprintWorkingDays-1)-IF(OR(WEEKDAY(WORKDAY(H78,SprintWorkingDays-1),2)=2,WEEKDAY(WORKDAY(H78,SprintWorkingDays-1),2)=4),0,IF(WEEKDAY(WORKDAY(H78,SprintWorkingDays-1),2)=3,1,IF(WEEKDAY(WORKDAY(H78,SprintWorkingDays-1),2)=1,4,WEEKDAY(WORKDAY(H78,SprintWorkingDays-1),2)-4))),"")))</f>
        <v/>
      </c>
      <c r="N78" s="19" t="str">
        <f>IF(NOT(ISNUMBER(K78)),"",WORKDAY(K78,ReadyOffsetWD))</f>
        <v/>
      </c>
      <c r="O78" s="19" t="str">
        <f>IF(NOT(ISNUMBER(K78)),"",WORKDAY(K78,SprintReadinessOffsetWD))</f>
        <v/>
      </c>
      <c r="P78" s="17"/>
      <c r="Q78" s="19" t="str">
        <f>IF(A78="","",IF(V78="N/A",IF(NOT(ISNUMBER(W78)),"",WORKDAY(W78,RTSKOffsetFromOUR_WD)),IF(NOT(ISNUMBER(T78)),"",WORKDAY(T78,RTSKOffsetFromOUR_WD))))</f>
        <v/>
      </c>
      <c r="R78" s="17"/>
      <c r="S78" s="17"/>
      <c r="T78" s="19" t="str">
        <f>IF(OR(A78="",V78="N/A"),"",IF(NOT(ISNUMBER(W78)),"",WORKDAY(W78,OUROffsetFromSR_WD)))</f>
        <v/>
      </c>
      <c r="U78" s="17"/>
      <c r="V78" s="17"/>
      <c r="W78" s="19" t="str">
        <f>IF(OR(A78="",NOT(ISNUMBER(K78))),"",WORKDAY(K78,SROffsetFromStartWD))</f>
        <v/>
      </c>
      <c r="X78" s="17"/>
      <c r="Y78" s="17"/>
      <c r="Z78" s="17"/>
      <c r="AA78" s="19" t="str">
        <f>IF(OR(Z78="",Z78="N/A"),"",IF(ISNUMBER(Q78),Q78,""))</f>
        <v/>
      </c>
      <c r="AB78" s="17"/>
      <c r="AC78" s="17"/>
      <c r="AD78" s="17"/>
      <c r="AE78" s="17"/>
      <c r="AF78" s="17" t="str">
        <f>IF(Z78="N/A","N/A","")</f>
        <v/>
      </c>
      <c r="AG78" s="19" t="str">
        <f>IF(NOT(ISNUMBER(Q78)),"",Q78)</f>
        <v/>
      </c>
      <c r="AH78" s="17"/>
      <c r="AI78" s="17"/>
      <c r="AJ78" s="19" t="str">
        <f>IF(OR(AL78="N/A",NOT(ISNUMBER(T78))),"",T78)</f>
        <v/>
      </c>
      <c r="AK78" s="17"/>
      <c r="AL78" s="17"/>
      <c r="AM78" s="19" t="str">
        <f>IF(NOT(ISNUMBER(W78)),"",W78)</f>
        <v/>
      </c>
      <c r="AN78" s="17"/>
      <c r="AO78" s="17"/>
      <c r="AP78" s="19" t="str">
        <f>IF(OR(Z78="",Z78="N/A"),"",IF(ISNUMBER(AG78),AG78,""))</f>
        <v/>
      </c>
      <c r="AQ78" s="17"/>
      <c r="AR78" s="17"/>
      <c r="AS78" s="17"/>
      <c r="AT78" s="17"/>
      <c r="AU78" s="19" t="str">
        <f>IF(NOT(ISNUMBER(Q78)),"",Q78)</f>
        <v/>
      </c>
      <c r="AV78" s="17"/>
      <c r="AW78" s="17"/>
      <c r="AX78" s="19" t="str">
        <f>IF(OR(AZ78="N/A",NOT(ISNUMBER(T78))),"",T78)</f>
        <v/>
      </c>
      <c r="AY78" s="17"/>
      <c r="AZ78" s="17"/>
      <c r="BA78" s="19" t="str">
        <f>IF(NOT(ISNUMBER(W78)),"",W78)</f>
        <v/>
      </c>
      <c r="BB78" s="17"/>
      <c r="BC78" s="17"/>
      <c r="BD78" s="19" t="str">
        <f>IF(OR(Z78="",Z78="N/A"),"",IF(ISNUMBER(AU78),AU78,""))</f>
        <v/>
      </c>
      <c r="BE78" s="17"/>
      <c r="BF78" s="17"/>
      <c r="BG78" s="17"/>
      <c r="BH78" s="17"/>
      <c r="BI78" s="89" t="e">
        <f>IF(OR(A78="",NOT(ISNUMBER(M78)),AND(WEEKDAY(M78,2)&lt;&gt;2,WEEKDAY(M78,2)&lt;&gt;4)),"",WORKDAY(M78,CABOffsetFromReleaseWD))</f>
        <v>#VALUE!</v>
      </c>
      <c r="BJ78" s="17"/>
      <c r="BK78" s="19" t="str">
        <f>IF(NOT(ISNUMBER(BI78)),"",IF(WEEKDAY(BI78-CodeReviewCalendarDays,2)&gt;5,BI78-CodeReviewCalendarDays-(WEEKDAY(BI78-CodeReviewCalendarDays,2)-5),BI78-CodeReviewCalendarDays))</f>
        <v/>
      </c>
      <c r="BL78" s="17"/>
      <c r="BM78" s="19" t="str">
        <f>IF(NOT(ISNUMBER(BK78)),"",IF(WEEKDAY(BK78-CodeReviewInviteCalendarDays,2)&gt;5,BK78-CodeReviewInviteCalendarDays-(WEEKDAY(BK78-CodeReviewInviteCalendarDays,2)-5),BK78-CodeReviewInviteCalendarDays))</f>
        <v/>
      </c>
      <c r="BN78" s="17"/>
      <c r="BO78" s="17"/>
      <c r="BP78" s="18" t="str">
        <f ca="1">IF(A78="","",IF(IF(AND(ISNUMBER(J78),WEEKDAY(J78,2)&lt;&gt;2,WEEKDAY(J78,2)&lt;&gt;4)," | Release must be Tuesday or Thursday","")&amp;IF(AND(ISNUMBER(H78),WEEKDAY(H78,2)&lt;&gt;1)," | Sprint Start is not a Monday - dates still calculated from the date entered","")&amp;IF(AND(A78&lt;&gt;"",NOT(ISNUMBER(H78)),NOT(ISNUMBER(J78)))," | Enter Sprint Start or Release Date","")&amp;IF(AND(ISNUMBER(F78),F78&lt;TODAY(),D78&lt;&gt;"Completed")," | One or more raise-by dates are in the past and not completed","")&amp;IF(AND(ISNUMBER(K78),K78-TODAY()&lt;SprintWarningDays,K78&gt;=TODAY(),OR(D78="Yet to start",D78="Blocked"))," | Sprint starts in under 10 days - raise access requests now","")&amp;IF(AND(ISNUMBER(BM78),BN78&lt;&gt;"Completed",BN78&lt;&gt;"N/A",BM78-TODAY()&lt;CodeReviewInviteCalendarDays)," | Code Review invite should be sent at least 4 days before Code Review","")="","",MID(IF(AND(ISNUMBER(J78),WEEKDAY(J78,2)&lt;&gt;2,WEEKDAY(J78,2)&lt;&gt;4)," | Release must be Tuesday or Thursday","")&amp;IF(AND(ISNUMBER(H78),WEEKDAY(H78,2)&lt;&gt;1)," | Sprint Start is not a Monday - dates still calculated from the date entered","")&amp;IF(AND(A78&lt;&gt;"",NOT(ISNUMBER(H78)),NOT(ISNUMBER(J78)))," | Enter Sprint Start or Release Date","")&amp;IF(AND(ISNUMBER(F78),F78&lt;TODAY(),D78&lt;&gt;"Completed")," | One or more raise-by dates are in the past and not completed","")&amp;IF(AND(ISNUMBER(K78),K78-TODAY()&lt;SprintWarningDays,K78&gt;=TODAY(),OR(D78="Yet to start",D78="Blocked"))," | Sprint starts in under 10 days - raise access requests now","")&amp;IF(AND(ISNUMBER(BM78),BN78&lt;&gt;"Completed",BN78&lt;&gt;"N/A",BM78-TODAY()&lt;CodeReviewInviteCalendarDays)," | Code Review invite should be sent at least 4 days before Code Review",""),4,500)))</f>
        <v/>
      </c>
      <c r="BQ78" s="85" t="str">
        <f>IF(AND(ISNUMBER(Q78),S78&lt;&gt;"Completed",S78&lt;&gt;"N/A"),Q78,"")</f>
        <v/>
      </c>
      <c r="BR78" s="85" t="str">
        <f>IF(AND(ISNUMBER(T78),V78&lt;&gt;"Completed",V78&lt;&gt;"N/A"),T78,"")</f>
        <v/>
      </c>
      <c r="BS78" s="85" t="str">
        <f>IF(AND(ISNUMBER(W78),Y78&lt;&gt;"Completed",Y78&lt;&gt;"N/A"),W78,"")</f>
        <v/>
      </c>
      <c r="BT78" s="85" t="str">
        <f>IF(AND(ISNUMBER(AA78),AC78&lt;&gt;"Completed",AC78&lt;&gt;"N/A"),AA78,"")</f>
        <v/>
      </c>
      <c r="BU78" s="85" t="str">
        <f>IF(AND(ISNUMBER(AG78),AI78&lt;&gt;"Completed",AI78&lt;&gt;"N/A"),AG78,"")</f>
        <v/>
      </c>
      <c r="BV78" s="85" t="str">
        <f>IF(AND(ISNUMBER(AJ78),AL78&lt;&gt;"Completed",AL78&lt;&gt;"N/A"),AJ78,"")</f>
        <v/>
      </c>
      <c r="BW78" s="85" t="str">
        <f>IF(AND(ISNUMBER(AM78),AO78&lt;&gt;"Completed",AO78&lt;&gt;"N/A"),AM78,"")</f>
        <v/>
      </c>
      <c r="BX78" s="85" t="str">
        <f>IF(AND(ISNUMBER(AP78),AR78&lt;&gt;"Completed",AR78&lt;&gt;"N/A"),AP78,"")</f>
        <v/>
      </c>
      <c r="BY78" s="85" t="str">
        <f>IF(AND(ISNUMBER(AU78),AW78&lt;&gt;"Completed",AW78&lt;&gt;"N/A"),AU78,"")</f>
        <v/>
      </c>
      <c r="BZ78" s="85" t="str">
        <f>IF(AND(ISNUMBER(AX78),AZ78&lt;&gt;"Completed",AZ78&lt;&gt;"N/A"),AX78,"")</f>
        <v/>
      </c>
      <c r="CA78" s="85" t="str">
        <f>IF(AND(ISNUMBER(BA78),BC78&lt;&gt;"Completed",BC78&lt;&gt;"N/A"),BA78,"")</f>
        <v/>
      </c>
      <c r="CB78" s="85" t="str">
        <f>IF(AND(ISNUMBER(BD78),BF78&lt;&gt;"Completed",BF78&lt;&gt;"N/A"),BD78,"")</f>
        <v/>
      </c>
      <c r="CC78" s="85" t="str">
        <f>IF(AND(ISNUMBER(O78),P78&lt;&gt;"Completed",P78&lt;&gt;"N/A"),O78,"")</f>
        <v/>
      </c>
      <c r="CD78" s="85" t="str">
        <f>IF(AND(ISNUMBER(BM78),BN78&lt;&gt;"Completed",BN78&lt;&gt;"N/A"),BM78,"")</f>
        <v/>
      </c>
      <c r="CE78" s="85" t="str">
        <f>IF(AND(ISNUMBER(BK78),BL78&lt;&gt;"Completed",BL78&lt;&gt;"N/A"),BK78,"")</f>
        <v/>
      </c>
      <c r="CF78" s="85" t="str">
        <f>IF(AND(ISNUMBER(BI78),BJ78&lt;&gt;"Completed",BJ78&lt;&gt;"N/A"),BI78,"")</f>
        <v/>
      </c>
      <c r="CG78" s="85" t="str">
        <f ca="1">IF(OR(A78="",D78="Completed"),"",IF(N(G78)&gt;0,1/(N(G78)+ROW()/100000),IF(ISNUMBER(F78),1000+F78+ROW()/100000,TODAY()+400+ROW()/100000)))</f>
        <v/>
      </c>
    </row>
    <row r="79" spans="1:85">
      <c r="A79" s="17"/>
      <c r="B79" s="17"/>
      <c r="C79" s="17"/>
      <c r="D79" s="18" t="str">
        <f>IF(A79="","",IF(((S79="Blocked")+(V79="Blocked")+(Y79="Blocked")+(AC79="Blocked")+(AI79="Blocked")+(AL79="Blocked")+(AO79="Blocked")+(AR79="Blocked")+(AW79="Blocked")+(AZ79="Blocked")+(BC79="Blocked")+(BF79="Blocked")+(P79="Blocked")+(BJ79="Blocked")+(BL79="Blocked")+(BN79="Blocked")+(BO79="Blocked"))&gt;0,"Blocked",IF((ISNUMBER(Q79)+ISNUMBER(T79)+ISNUMBER(W79)+ISNUMBER(AA79)+ISNUMBER(AG79)+ISNUMBER(AJ79)+ISNUMBER(AM79)+ISNUMBER(AP79)+ISNUMBER(AU79)+ISNUMBER(AX79)+ISNUMBER(BA79)+ISNUMBER(BD79)+ISNUMBER(O79)+ISNUMBER(BI79)+ISNUMBER(BK79)+ISNUMBER(BM79))=0,"Yet to start",IF(AND(OR(NOT(ISNUMBER(Q79)),S79="Completed",S79="N/A"),OR(NOT(ISNUMBER(T79)),V79="Completed",V79="N/A"),OR(NOT(ISNUMBER(W79)),Y79="Completed",Y79="N/A"),OR(NOT(ISNUMBER(AA79)),AC79="Completed",AC79="N/A"),OR(NOT(ISNUMBER(AG79)),AI79="Completed",AI79="N/A"),OR(NOT(ISNUMBER(AJ79)),AL79="Completed",AL79="N/A"),OR(NOT(ISNUMBER(AM79)),AO79="Completed",AO79="N/A"),OR(NOT(ISNUMBER(AP79)),AR79="Completed",AR79="N/A"),OR(NOT(ISNUMBER(AU79)),AW79="Completed",AW79="N/A"),OR(NOT(ISNUMBER(AX79)),AZ79="Completed",AZ79="N/A"),OR(NOT(ISNUMBER(BA79)),BC79="Completed",BC79="N/A"),OR(NOT(ISNUMBER(BD79)),BF79="Completed",BF79="N/A"),OR(NOT(ISNUMBER(O79)),P79="Completed",P79="N/A"),OR(NOT(ISNUMBER(BI79)),BJ79="Completed",BJ79="N/A"),OR(NOT(ISNUMBER(BK79)),BL79="Completed",BL79="N/A"),OR(NOT(ISNUMBER(BM79)),BN79="Completed",BN79="N/A"),OR(BO79="Completed",BO79="N/A")),"Completed",IF(((S79="In Progress")+(V79="In Progress")+(Y79="In Progress")+(AC79="In Progress")+(AI79="In Progress")+(AL79="In Progress")+(AO79="In Progress")+(AR79="In Progress")+(AW79="In Progress")+(AZ79="In Progress")+(BC79="In Progress")+(BF79="In Progress")+(P79="In Progress")+(BJ79="In Progress")+(BL79="In Progress")+(BN79="In Progress")+(BO79="In Progress"))&gt;0,"In Progress","Yet to start")))))</f>
        <v/>
      </c>
      <c r="E79" s="18" t="str">
        <f>IF(A79="","",IF(F79="","All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Review","CAB"},MATCH(F79,BQ79:CF79,0))))</f>
        <v/>
      </c>
      <c r="F79" s="19" t="str">
        <f>IF(A79="","",IF(COUNT(BQ79:CF79)=0,"",MIN(BQ79:CF79)))</f>
        <v/>
      </c>
      <c r="G79" s="18" t="str">
        <f ca="1">IF(A79="","",MAX(0,IF(AND(ISNUMBER(Q79),S79&lt;&gt;"Completed",S79&lt;&gt;"N/A",Q79&lt;TODAY()),TODAY()-Q79,0),IF(AND(ISNUMBER(T79),V79&lt;&gt;"Completed",V79&lt;&gt;"N/A",T79&lt;TODAY()),TODAY()-T79,0),IF(AND(ISNUMBER(W79),Y79&lt;&gt;"Completed",Y79&lt;&gt;"N/A",W79&lt;TODAY()),TODAY()-W79,0),IF(AND(ISNUMBER(AA79),AC79&lt;&gt;"Completed",AC79&lt;&gt;"N/A",AA79&lt;TODAY()),TODAY()-AA79,0),IF(AND(ISNUMBER(AG79),AI79&lt;&gt;"Completed",AI79&lt;&gt;"N/A",AG79&lt;TODAY()),TODAY()-AG79,0),IF(AND(ISNUMBER(AJ79),AL79&lt;&gt;"Completed",AL79&lt;&gt;"N/A",AJ79&lt;TODAY()),TODAY()-AJ79,0),IF(AND(ISNUMBER(AM79),AO79&lt;&gt;"Completed",AO79&lt;&gt;"N/A",AM79&lt;TODAY()),TODAY()-AM79,0),IF(AND(ISNUMBER(AP79),AR79&lt;&gt;"Completed",AR79&lt;&gt;"N/A",AP79&lt;TODAY()),TODAY()-AP79,0),IF(AND(ISNUMBER(AU79),AW79&lt;&gt;"Completed",AW79&lt;&gt;"N/A",AU79&lt;TODAY()),TODAY()-AU79,0),IF(AND(ISNUMBER(AX79),AZ79&lt;&gt;"Completed",AZ79&lt;&gt;"N/A",AX79&lt;TODAY()),TODAY()-AX79,0),IF(AND(ISNUMBER(BA79),BC79&lt;&gt;"Completed",BC79&lt;&gt;"N/A",BA79&lt;TODAY()),TODAY()-BA79,0),IF(AND(ISNUMBER(BD79),BF79&lt;&gt;"Completed",BF79&lt;&gt;"N/A",BD79&lt;TODAY()),TODAY()-BD79,0),IF(AND(ISNUMBER(O79),P79&lt;&gt;"Completed",P79&lt;&gt;"N/A",O79&lt;TODAY()),TODAY()-O79,0),IF(AND(ISNUMBER(BM79),BN79&lt;&gt;"Completed",BN79&lt;&gt;"N/A",BM79&lt;TODAY()),TODAY()-BM79,0),IF(AND(ISNUMBER(BK79),BL79&lt;&gt;"Completed",BL79&lt;&gt;"N/A",BK79&lt;TODAY()),TODAY()-BK79,0),IF(AND(ISNUMBER(BI79),BJ79&lt;&gt;"Completed",BJ79&lt;&gt;"N/A",BI79&lt;TODAY()),TODAY()-BI79,0)))</f>
        <v/>
      </c>
      <c r="H79" s="17"/>
      <c r="I79" s="17"/>
      <c r="J79" s="17"/>
      <c r="K79" s="19" t="str">
        <f>IF(ISNUMBER(H79),H79,IF(ISNUMBER(M79),M79-WEEKDAY(M79,2)+1-7,""))</f>
        <v/>
      </c>
      <c r="L79" s="19" t="str">
        <f>IF(ISNUMBER(I79),I79,IF(ISNUMBER(H79),WORKDAY(H79,SprintWorkingDays-1),IF(ISNUMBER(K79),WORKDAY(K79,SprintWorkingDays-1),"")))</f>
        <v/>
      </c>
      <c r="M79" s="19" t="str">
        <f>IF(ISNUMBER(J79),J79,IF(ISNUMBER(I79),I79-IF(OR(WEEKDAY(I79,2)=2,WEEKDAY(I79,2)=4),0,IF(WEEKDAY(I79,2)=3,1,IF(WEEKDAY(I79,2)=1,4,WEEKDAY(I79,2)-4))),IF(ISNUMBER(H79),WORKDAY(H79,SprintWorkingDays-1)-IF(OR(WEEKDAY(WORKDAY(H79,SprintWorkingDays-1),2)=2,WEEKDAY(WORKDAY(H79,SprintWorkingDays-1),2)=4),0,IF(WEEKDAY(WORKDAY(H79,SprintWorkingDays-1),2)=3,1,IF(WEEKDAY(WORKDAY(H79,SprintWorkingDays-1),2)=1,4,WEEKDAY(WORKDAY(H79,SprintWorkingDays-1),2)-4))),"")))</f>
        <v/>
      </c>
      <c r="N79" s="19" t="str">
        <f>IF(NOT(ISNUMBER(K79)),"",WORKDAY(K79,ReadyOffsetWD))</f>
        <v/>
      </c>
      <c r="O79" s="19" t="str">
        <f>IF(NOT(ISNUMBER(K79)),"",WORKDAY(K79,SprintReadinessOffsetWD))</f>
        <v/>
      </c>
      <c r="P79" s="17"/>
      <c r="Q79" s="19" t="str">
        <f>IF(A79="","",IF(V79="N/A",IF(NOT(ISNUMBER(W79)),"",WORKDAY(W79,RTSKOffsetFromOUR_WD)),IF(NOT(ISNUMBER(T79)),"",WORKDAY(T79,RTSKOffsetFromOUR_WD))))</f>
        <v/>
      </c>
      <c r="R79" s="17"/>
      <c r="S79" s="17"/>
      <c r="T79" s="19" t="str">
        <f>IF(OR(A79="",V79="N/A"),"",IF(NOT(ISNUMBER(W79)),"",WORKDAY(W79,OUROffsetFromSR_WD)))</f>
        <v/>
      </c>
      <c r="U79" s="17"/>
      <c r="V79" s="17"/>
      <c r="W79" s="19" t="str">
        <f>IF(OR(A79="",NOT(ISNUMBER(K79))),"",WORKDAY(K79,SROffsetFromStartWD))</f>
        <v/>
      </c>
      <c r="X79" s="17"/>
      <c r="Y79" s="17"/>
      <c r="Z79" s="17"/>
      <c r="AA79" s="19" t="str">
        <f>IF(OR(Z79="",Z79="N/A"),"",IF(ISNUMBER(Q79),Q79,""))</f>
        <v/>
      </c>
      <c r="AB79" s="17"/>
      <c r="AC79" s="17"/>
      <c r="AD79" s="17"/>
      <c r="AE79" s="17"/>
      <c r="AF79" s="17" t="str">
        <f>IF(Z79="N/A","N/A","")</f>
        <v/>
      </c>
      <c r="AG79" s="19" t="str">
        <f>IF(NOT(ISNUMBER(Q79)),"",Q79)</f>
        <v/>
      </c>
      <c r="AH79" s="17"/>
      <c r="AI79" s="17"/>
      <c r="AJ79" s="19" t="str">
        <f>IF(OR(AL79="N/A",NOT(ISNUMBER(T79))),"",T79)</f>
        <v/>
      </c>
      <c r="AK79" s="17"/>
      <c r="AL79" s="17"/>
      <c r="AM79" s="19" t="str">
        <f>IF(NOT(ISNUMBER(W79)),"",W79)</f>
        <v/>
      </c>
      <c r="AN79" s="17"/>
      <c r="AO79" s="17"/>
      <c r="AP79" s="19" t="str">
        <f>IF(OR(Z79="",Z79="N/A"),"",IF(ISNUMBER(AG79),AG79,""))</f>
        <v/>
      </c>
      <c r="AQ79" s="17"/>
      <c r="AR79" s="17"/>
      <c r="AS79" s="17"/>
      <c r="AT79" s="17"/>
      <c r="AU79" s="19" t="str">
        <f>IF(NOT(ISNUMBER(Q79)),"",Q79)</f>
        <v/>
      </c>
      <c r="AV79" s="17"/>
      <c r="AW79" s="17"/>
      <c r="AX79" s="19" t="str">
        <f>IF(OR(AZ79="N/A",NOT(ISNUMBER(T79))),"",T79)</f>
        <v/>
      </c>
      <c r="AY79" s="17"/>
      <c r="AZ79" s="17"/>
      <c r="BA79" s="19" t="str">
        <f>IF(NOT(ISNUMBER(W79)),"",W79)</f>
        <v/>
      </c>
      <c r="BB79" s="17"/>
      <c r="BC79" s="17"/>
      <c r="BD79" s="19" t="str">
        <f>IF(OR(Z79="",Z79="N/A"),"",IF(ISNUMBER(AU79),AU79,""))</f>
        <v/>
      </c>
      <c r="BE79" s="17"/>
      <c r="BF79" s="17"/>
      <c r="BG79" s="17"/>
      <c r="BH79" s="17"/>
      <c r="BI79" s="89" t="e">
        <f>IF(OR(A79="",NOT(ISNUMBER(M79)),AND(WEEKDAY(M79,2)&lt;&gt;2,WEEKDAY(M79,2)&lt;&gt;4)),"",WORKDAY(M79,CABOffsetFromReleaseWD))</f>
        <v>#VALUE!</v>
      </c>
      <c r="BJ79" s="17"/>
      <c r="BK79" s="19" t="str">
        <f>IF(NOT(ISNUMBER(BI79)),"",IF(WEEKDAY(BI79-CodeReviewCalendarDays,2)&gt;5,BI79-CodeReviewCalendarDays-(WEEKDAY(BI79-CodeReviewCalendarDays,2)-5),BI79-CodeReviewCalendarDays))</f>
        <v/>
      </c>
      <c r="BL79" s="17"/>
      <c r="BM79" s="19" t="str">
        <f>IF(NOT(ISNUMBER(BK79)),"",IF(WEEKDAY(BK79-CodeReviewInviteCalendarDays,2)&gt;5,BK79-CodeReviewInviteCalendarDays-(WEEKDAY(BK79-CodeReviewInviteCalendarDays,2)-5),BK79-CodeReviewInviteCalendarDays))</f>
        <v/>
      </c>
      <c r="BN79" s="17"/>
      <c r="BO79" s="17"/>
      <c r="BP79" s="18" t="str">
        <f ca="1">IF(A79="","",IF(IF(AND(ISNUMBER(J79),WEEKDAY(J79,2)&lt;&gt;2,WEEKDAY(J79,2)&lt;&gt;4)," | Release must be Tuesday or Thursday","")&amp;IF(AND(ISNUMBER(H79),WEEKDAY(H79,2)&lt;&gt;1)," | Sprint Start is not a Monday - dates still calculated from the date entered","")&amp;IF(AND(A79&lt;&gt;"",NOT(ISNUMBER(H79)),NOT(ISNUMBER(J79)))," | Enter Sprint Start or Release Date","")&amp;IF(AND(ISNUMBER(F79),F79&lt;TODAY(),D79&lt;&gt;"Completed")," | One or more raise-by dates are in the past and not completed","")&amp;IF(AND(ISNUMBER(K79),K79-TODAY()&lt;SprintWarningDays,K79&gt;=TODAY(),OR(D79="Yet to start",D79="Blocked"))," | Sprint starts in under 10 days - raise access requests now","")&amp;IF(AND(ISNUMBER(BM79),BN79&lt;&gt;"Completed",BN79&lt;&gt;"N/A",BM79-TODAY()&lt;CodeReviewInviteCalendarDays)," | Code Review invite should be sent at least 4 days before Code Review","")="","",MID(IF(AND(ISNUMBER(J79),WEEKDAY(J79,2)&lt;&gt;2,WEEKDAY(J79,2)&lt;&gt;4)," | Release must be Tuesday or Thursday","")&amp;IF(AND(ISNUMBER(H79),WEEKDAY(H79,2)&lt;&gt;1)," | Sprint Start is not a Monday - dates still calculated from the date entered","")&amp;IF(AND(A79&lt;&gt;"",NOT(ISNUMBER(H79)),NOT(ISNUMBER(J79)))," | Enter Sprint Start or Release Date","")&amp;IF(AND(ISNUMBER(F79),F79&lt;TODAY(),D79&lt;&gt;"Completed")," | One or more raise-by dates are in the past and not completed","")&amp;IF(AND(ISNUMBER(K79),K79-TODAY()&lt;SprintWarningDays,K79&gt;=TODAY(),OR(D79="Yet to start",D79="Blocked"))," | Sprint starts in under 10 days - raise access requests now","")&amp;IF(AND(ISNUMBER(BM79),BN79&lt;&gt;"Completed",BN79&lt;&gt;"N/A",BM79-TODAY()&lt;CodeReviewInviteCalendarDays)," | Code Review invite should be sent at least 4 days before Code Review",""),4,500)))</f>
        <v/>
      </c>
      <c r="BQ79" s="85" t="str">
        <f>IF(AND(ISNUMBER(Q79),S79&lt;&gt;"Completed",S79&lt;&gt;"N/A"),Q79,"")</f>
        <v/>
      </c>
      <c r="BR79" s="85" t="str">
        <f>IF(AND(ISNUMBER(T79),V79&lt;&gt;"Completed",V79&lt;&gt;"N/A"),T79,"")</f>
        <v/>
      </c>
      <c r="BS79" s="85" t="str">
        <f>IF(AND(ISNUMBER(W79),Y79&lt;&gt;"Completed",Y79&lt;&gt;"N/A"),W79,"")</f>
        <v/>
      </c>
      <c r="BT79" s="85" t="str">
        <f>IF(AND(ISNUMBER(AA79),AC79&lt;&gt;"Completed",AC79&lt;&gt;"N/A"),AA79,"")</f>
        <v/>
      </c>
      <c r="BU79" s="85" t="str">
        <f>IF(AND(ISNUMBER(AG79),AI79&lt;&gt;"Completed",AI79&lt;&gt;"N/A"),AG79,"")</f>
        <v/>
      </c>
      <c r="BV79" s="85" t="str">
        <f>IF(AND(ISNUMBER(AJ79),AL79&lt;&gt;"Completed",AL79&lt;&gt;"N/A"),AJ79,"")</f>
        <v/>
      </c>
      <c r="BW79" s="85" t="str">
        <f>IF(AND(ISNUMBER(AM79),AO79&lt;&gt;"Completed",AO79&lt;&gt;"N/A"),AM79,"")</f>
        <v/>
      </c>
      <c r="BX79" s="85" t="str">
        <f>IF(AND(ISNUMBER(AP79),AR79&lt;&gt;"Completed",AR79&lt;&gt;"N/A"),AP79,"")</f>
        <v/>
      </c>
      <c r="BY79" s="85" t="str">
        <f>IF(AND(ISNUMBER(AU79),AW79&lt;&gt;"Completed",AW79&lt;&gt;"N/A"),AU79,"")</f>
        <v/>
      </c>
      <c r="BZ79" s="85" t="str">
        <f>IF(AND(ISNUMBER(AX79),AZ79&lt;&gt;"Completed",AZ79&lt;&gt;"N/A"),AX79,"")</f>
        <v/>
      </c>
      <c r="CA79" s="85" t="str">
        <f>IF(AND(ISNUMBER(BA79),BC79&lt;&gt;"Completed",BC79&lt;&gt;"N/A"),BA79,"")</f>
        <v/>
      </c>
      <c r="CB79" s="85" t="str">
        <f>IF(AND(ISNUMBER(BD79),BF79&lt;&gt;"Completed",BF79&lt;&gt;"N/A"),BD79,"")</f>
        <v/>
      </c>
      <c r="CC79" s="85" t="str">
        <f>IF(AND(ISNUMBER(O79),P79&lt;&gt;"Completed",P79&lt;&gt;"N/A"),O79,"")</f>
        <v/>
      </c>
      <c r="CD79" s="85" t="str">
        <f>IF(AND(ISNUMBER(BM79),BN79&lt;&gt;"Completed",BN79&lt;&gt;"N/A"),BM79,"")</f>
        <v/>
      </c>
      <c r="CE79" s="85" t="str">
        <f>IF(AND(ISNUMBER(BK79),BL79&lt;&gt;"Completed",BL79&lt;&gt;"N/A"),BK79,"")</f>
        <v/>
      </c>
      <c r="CF79" s="85" t="str">
        <f>IF(AND(ISNUMBER(BI79),BJ79&lt;&gt;"Completed",BJ79&lt;&gt;"N/A"),BI79,"")</f>
        <v/>
      </c>
      <c r="CG79" s="85" t="str">
        <f ca="1">IF(OR(A79="",D79="Completed"),"",IF(N(G79)&gt;0,1/(N(G79)+ROW()/100000),IF(ISNUMBER(F79),1000+F79+ROW()/100000,TODAY()+400+ROW()/100000)))</f>
        <v/>
      </c>
    </row>
    <row r="80" spans="1:85">
      <c r="A80" s="17"/>
      <c r="B80" s="17"/>
      <c r="C80" s="17"/>
      <c r="D80" s="18" t="str">
        <f>IF(A80="","",IF(((S80="Blocked")+(V80="Blocked")+(Y80="Blocked")+(AC80="Blocked")+(AI80="Blocked")+(AL80="Blocked")+(AO80="Blocked")+(AR80="Blocked")+(AW80="Blocked")+(AZ80="Blocked")+(BC80="Blocked")+(BF80="Blocked")+(P80="Blocked")+(BJ80="Blocked")+(BL80="Blocked")+(BN80="Blocked")+(BO80="Blocked"))&gt;0,"Blocked",IF((ISNUMBER(Q80)+ISNUMBER(T80)+ISNUMBER(W80)+ISNUMBER(AA80)+ISNUMBER(AG80)+ISNUMBER(AJ80)+ISNUMBER(AM80)+ISNUMBER(AP80)+ISNUMBER(AU80)+ISNUMBER(AX80)+ISNUMBER(BA80)+ISNUMBER(BD80)+ISNUMBER(O80)+ISNUMBER(BI80)+ISNUMBER(BK80)+ISNUMBER(BM80))=0,"Yet to start",IF(AND(OR(NOT(ISNUMBER(Q80)),S80="Completed",S80="N/A"),OR(NOT(ISNUMBER(T80)),V80="Completed",V80="N/A"),OR(NOT(ISNUMBER(W80)),Y80="Completed",Y80="N/A"),OR(NOT(ISNUMBER(AA80)),AC80="Completed",AC80="N/A"),OR(NOT(ISNUMBER(AG80)),AI80="Completed",AI80="N/A"),OR(NOT(ISNUMBER(AJ80)),AL80="Completed",AL80="N/A"),OR(NOT(ISNUMBER(AM80)),AO80="Completed",AO80="N/A"),OR(NOT(ISNUMBER(AP80)),AR80="Completed",AR80="N/A"),OR(NOT(ISNUMBER(AU80)),AW80="Completed",AW80="N/A"),OR(NOT(ISNUMBER(AX80)),AZ80="Completed",AZ80="N/A"),OR(NOT(ISNUMBER(BA80)),BC80="Completed",BC80="N/A"),OR(NOT(ISNUMBER(BD80)),BF80="Completed",BF80="N/A"),OR(NOT(ISNUMBER(O80)),P80="Completed",P80="N/A"),OR(NOT(ISNUMBER(BI80)),BJ80="Completed",BJ80="N/A"),OR(NOT(ISNUMBER(BK80)),BL80="Completed",BL80="N/A"),OR(NOT(ISNUMBER(BM80)),BN80="Completed",BN80="N/A"),OR(BO80="Completed",BO80="N/A")),"Completed",IF(((S80="In Progress")+(V80="In Progress")+(Y80="In Progress")+(AC80="In Progress")+(AI80="In Progress")+(AL80="In Progress")+(AO80="In Progress")+(AR80="In Progress")+(AW80="In Progress")+(AZ80="In Progress")+(BC80="In Progress")+(BF80="In Progress")+(P80="In Progress")+(BJ80="In Progress")+(BL80="In Progress")+(BN80="In Progress")+(BO80="In Progress"))&gt;0,"In Progress","Yet to start")))))</f>
        <v/>
      </c>
      <c r="E80" s="18" t="str">
        <f>IF(A80="","",IF(F80="","All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Review","CAB"},MATCH(F80,BQ80:CF80,0))))</f>
        <v/>
      </c>
      <c r="F80" s="19" t="str">
        <f>IF(A80="","",IF(COUNT(BQ80:CF80)=0,"",MIN(BQ80:CF80)))</f>
        <v/>
      </c>
      <c r="G80" s="18" t="str">
        <f ca="1">IF(A80="","",MAX(0,IF(AND(ISNUMBER(Q80),S80&lt;&gt;"Completed",S80&lt;&gt;"N/A",Q80&lt;TODAY()),TODAY()-Q80,0),IF(AND(ISNUMBER(T80),V80&lt;&gt;"Completed",V80&lt;&gt;"N/A",T80&lt;TODAY()),TODAY()-T80,0),IF(AND(ISNUMBER(W80),Y80&lt;&gt;"Completed",Y80&lt;&gt;"N/A",W80&lt;TODAY()),TODAY()-W80,0),IF(AND(ISNUMBER(AA80),AC80&lt;&gt;"Completed",AC80&lt;&gt;"N/A",AA80&lt;TODAY()),TODAY()-AA80,0),IF(AND(ISNUMBER(AG80),AI80&lt;&gt;"Completed",AI80&lt;&gt;"N/A",AG80&lt;TODAY()),TODAY()-AG80,0),IF(AND(ISNUMBER(AJ80),AL80&lt;&gt;"Completed",AL80&lt;&gt;"N/A",AJ80&lt;TODAY()),TODAY()-AJ80,0),IF(AND(ISNUMBER(AM80),AO80&lt;&gt;"Completed",AO80&lt;&gt;"N/A",AM80&lt;TODAY()),TODAY()-AM80,0),IF(AND(ISNUMBER(AP80),AR80&lt;&gt;"Completed",AR80&lt;&gt;"N/A",AP80&lt;TODAY()),TODAY()-AP80,0),IF(AND(ISNUMBER(AU80),AW80&lt;&gt;"Completed",AW80&lt;&gt;"N/A",AU80&lt;TODAY()),TODAY()-AU80,0),IF(AND(ISNUMBER(AX80),AZ80&lt;&gt;"Completed",AZ80&lt;&gt;"N/A",AX80&lt;TODAY()),TODAY()-AX80,0),IF(AND(ISNUMBER(BA80),BC80&lt;&gt;"Completed",BC80&lt;&gt;"N/A",BA80&lt;TODAY()),TODAY()-BA80,0),IF(AND(ISNUMBER(BD80),BF80&lt;&gt;"Completed",BF80&lt;&gt;"N/A",BD80&lt;TODAY()),TODAY()-BD80,0),IF(AND(ISNUMBER(O80),P80&lt;&gt;"Completed",P80&lt;&gt;"N/A",O80&lt;TODAY()),TODAY()-O80,0),IF(AND(ISNUMBER(BM80),BN80&lt;&gt;"Completed",BN80&lt;&gt;"N/A",BM80&lt;TODAY()),TODAY()-BM80,0),IF(AND(ISNUMBER(BK80),BL80&lt;&gt;"Completed",BL80&lt;&gt;"N/A",BK80&lt;TODAY()),TODAY()-BK80,0),IF(AND(ISNUMBER(BI80),BJ80&lt;&gt;"Completed",BJ80&lt;&gt;"N/A",BI80&lt;TODAY()),TODAY()-BI80,0)))</f>
        <v/>
      </c>
      <c r="H80" s="17"/>
      <c r="I80" s="17"/>
      <c r="J80" s="17"/>
      <c r="K80" s="19" t="str">
        <f>IF(ISNUMBER(H80),H80,IF(ISNUMBER(M80),M80-WEEKDAY(M80,2)+1-7,""))</f>
        <v/>
      </c>
      <c r="L80" s="19" t="str">
        <f>IF(ISNUMBER(I80),I80,IF(ISNUMBER(H80),WORKDAY(H80,SprintWorkingDays-1),IF(ISNUMBER(K80),WORKDAY(K80,SprintWorkingDays-1),"")))</f>
        <v/>
      </c>
      <c r="M80" s="19" t="str">
        <f>IF(ISNUMBER(J80),J80,IF(ISNUMBER(I80),I80-IF(OR(WEEKDAY(I80,2)=2,WEEKDAY(I80,2)=4),0,IF(WEEKDAY(I80,2)=3,1,IF(WEEKDAY(I80,2)=1,4,WEEKDAY(I80,2)-4))),IF(ISNUMBER(H80),WORKDAY(H80,SprintWorkingDays-1)-IF(OR(WEEKDAY(WORKDAY(H80,SprintWorkingDays-1),2)=2,WEEKDAY(WORKDAY(H80,SprintWorkingDays-1),2)=4),0,IF(WEEKDAY(WORKDAY(H80,SprintWorkingDays-1),2)=3,1,IF(WEEKDAY(WORKDAY(H80,SprintWorkingDays-1),2)=1,4,WEEKDAY(WORKDAY(H80,SprintWorkingDays-1),2)-4))),"")))</f>
        <v/>
      </c>
      <c r="N80" s="19" t="str">
        <f>IF(NOT(ISNUMBER(K80)),"",WORKDAY(K80,ReadyOffsetWD))</f>
        <v/>
      </c>
      <c r="O80" s="19" t="str">
        <f>IF(NOT(ISNUMBER(K80)),"",WORKDAY(K80,SprintReadinessOffsetWD))</f>
        <v/>
      </c>
      <c r="P80" s="17"/>
      <c r="Q80" s="19" t="str">
        <f>IF(A80="","",IF(V80="N/A",IF(NOT(ISNUMBER(W80)),"",WORKDAY(W80,RTSKOffsetFromOUR_WD)),IF(NOT(ISNUMBER(T80)),"",WORKDAY(T80,RTSKOffsetFromOUR_WD))))</f>
        <v/>
      </c>
      <c r="R80" s="17"/>
      <c r="S80" s="17"/>
      <c r="T80" s="19" t="str">
        <f>IF(OR(A80="",V80="N/A"),"",IF(NOT(ISNUMBER(W80)),"",WORKDAY(W80,OUROffsetFromSR_WD)))</f>
        <v/>
      </c>
      <c r="U80" s="17"/>
      <c r="V80" s="17"/>
      <c r="W80" s="19" t="str">
        <f>IF(OR(A80="",NOT(ISNUMBER(K80))),"",WORKDAY(K80,SROffsetFromStartWD))</f>
        <v/>
      </c>
      <c r="X80" s="17"/>
      <c r="Y80" s="17"/>
      <c r="Z80" s="17"/>
      <c r="AA80" s="19" t="str">
        <f>IF(OR(Z80="",Z80="N/A"),"",IF(ISNUMBER(Q80),Q80,""))</f>
        <v/>
      </c>
      <c r="AB80" s="17"/>
      <c r="AC80" s="17"/>
      <c r="AD80" s="17"/>
      <c r="AE80" s="17"/>
      <c r="AF80" s="17" t="str">
        <f>IF(Z80="N/A","N/A","")</f>
        <v/>
      </c>
      <c r="AG80" s="19" t="str">
        <f>IF(NOT(ISNUMBER(Q80)),"",Q80)</f>
        <v/>
      </c>
      <c r="AH80" s="17"/>
      <c r="AI80" s="17"/>
      <c r="AJ80" s="19" t="str">
        <f>IF(OR(AL80="N/A",NOT(ISNUMBER(T80))),"",T80)</f>
        <v/>
      </c>
      <c r="AK80" s="17"/>
      <c r="AL80" s="17"/>
      <c r="AM80" s="19" t="str">
        <f>IF(NOT(ISNUMBER(W80)),"",W80)</f>
        <v/>
      </c>
      <c r="AN80" s="17"/>
      <c r="AO80" s="17"/>
      <c r="AP80" s="19" t="str">
        <f>IF(OR(Z80="",Z80="N/A"),"",IF(ISNUMBER(AG80),AG80,""))</f>
        <v/>
      </c>
      <c r="AQ80" s="17"/>
      <c r="AR80" s="17"/>
      <c r="AS80" s="17"/>
      <c r="AT80" s="17"/>
      <c r="AU80" s="19" t="str">
        <f>IF(NOT(ISNUMBER(Q80)),"",Q80)</f>
        <v/>
      </c>
      <c r="AV80" s="17"/>
      <c r="AW80" s="17"/>
      <c r="AX80" s="19" t="str">
        <f>IF(OR(AZ80="N/A",NOT(ISNUMBER(T80))),"",T80)</f>
        <v/>
      </c>
      <c r="AY80" s="17"/>
      <c r="AZ80" s="17"/>
      <c r="BA80" s="19" t="str">
        <f>IF(NOT(ISNUMBER(W80)),"",W80)</f>
        <v/>
      </c>
      <c r="BB80" s="17"/>
      <c r="BC80" s="17"/>
      <c r="BD80" s="19" t="str">
        <f>IF(OR(Z80="",Z80="N/A"),"",IF(ISNUMBER(AU80),AU80,""))</f>
        <v/>
      </c>
      <c r="BE80" s="17"/>
      <c r="BF80" s="17"/>
      <c r="BG80" s="17"/>
      <c r="BH80" s="17"/>
      <c r="BI80" s="89" t="e">
        <f>IF(OR(A80="",NOT(ISNUMBER(M80)),AND(WEEKDAY(M80,2)&lt;&gt;2,WEEKDAY(M80,2)&lt;&gt;4)),"",WORKDAY(M80,CABOffsetFromReleaseWD))</f>
        <v>#VALUE!</v>
      </c>
      <c r="BJ80" s="17"/>
      <c r="BK80" s="19" t="str">
        <f>IF(NOT(ISNUMBER(BI80)),"",IF(WEEKDAY(BI80-CodeReviewCalendarDays,2)&gt;5,BI80-CodeReviewCalendarDays-(WEEKDAY(BI80-CodeReviewCalendarDays,2)-5),BI80-CodeReviewCalendarDays))</f>
        <v/>
      </c>
      <c r="BL80" s="17"/>
      <c r="BM80" s="19" t="str">
        <f>IF(NOT(ISNUMBER(BK80)),"",IF(WEEKDAY(BK80-CodeReviewInviteCalendarDays,2)&gt;5,BK80-CodeReviewInviteCalendarDays-(WEEKDAY(BK80-CodeReviewInviteCalendarDays,2)-5),BK80-CodeReviewInviteCalendarDays))</f>
        <v/>
      </c>
      <c r="BN80" s="17"/>
      <c r="BO80" s="17"/>
      <c r="BP80" s="18" t="str">
        <f ca="1">IF(A80="","",IF(IF(AND(ISNUMBER(J80),WEEKDAY(J80,2)&lt;&gt;2,WEEKDAY(J80,2)&lt;&gt;4)," | Release must be Tuesday or Thursday","")&amp;IF(AND(ISNUMBER(H80),WEEKDAY(H80,2)&lt;&gt;1)," | Sprint Start is not a Monday - dates still calculated from the date entered","")&amp;IF(AND(A80&lt;&gt;"",NOT(ISNUMBER(H80)),NOT(ISNUMBER(J80)))," | Enter Sprint Start or Release Date","")&amp;IF(AND(ISNUMBER(F80),F80&lt;TODAY(),D80&lt;&gt;"Completed")," | One or more raise-by dates are in the past and not completed","")&amp;IF(AND(ISNUMBER(K80),K80-TODAY()&lt;SprintWarningDays,K80&gt;=TODAY(),OR(D80="Yet to start",D80="Blocked"))," | Sprint starts in under 10 days - raise access requests now","")&amp;IF(AND(ISNUMBER(BM80),BN80&lt;&gt;"Completed",BN80&lt;&gt;"N/A",BM80-TODAY()&lt;CodeReviewInviteCalendarDays)," | Code Review invite should be sent at least 4 days before Code Review","")="","",MID(IF(AND(ISNUMBER(J80),WEEKDAY(J80,2)&lt;&gt;2,WEEKDAY(J80,2)&lt;&gt;4)," | Release must be Tuesday or Thursday","")&amp;IF(AND(ISNUMBER(H80),WEEKDAY(H80,2)&lt;&gt;1)," | Sprint Start is not a Monday - dates still calculated from the date entered","")&amp;IF(AND(A80&lt;&gt;"",NOT(ISNUMBER(H80)),NOT(ISNUMBER(J80)))," | Enter Sprint Start or Release Date","")&amp;IF(AND(ISNUMBER(F80),F80&lt;TODAY(),D80&lt;&gt;"Completed")," | One or more raise-by dates are in the past and not completed","")&amp;IF(AND(ISNUMBER(K80),K80-TODAY()&lt;SprintWarningDays,K80&gt;=TODAY(),OR(D80="Yet to start",D80="Blocked"))," | Sprint starts in under 10 days - raise access requests now","")&amp;IF(AND(ISNUMBER(BM80),BN80&lt;&gt;"Completed",BN80&lt;&gt;"N/A",BM80-TODAY()&lt;CodeReviewInviteCalendarDays)," | Code Review invite should be sent at least 4 days before Code Review",""),4,500)))</f>
        <v/>
      </c>
      <c r="BQ80" s="85" t="str">
        <f>IF(AND(ISNUMBER(Q80),S80&lt;&gt;"Completed",S80&lt;&gt;"N/A"),Q80,"")</f>
        <v/>
      </c>
      <c r="BR80" s="85" t="str">
        <f>IF(AND(ISNUMBER(T80),V80&lt;&gt;"Completed",V80&lt;&gt;"N/A"),T80,"")</f>
        <v/>
      </c>
      <c r="BS80" s="85" t="str">
        <f>IF(AND(ISNUMBER(W80),Y80&lt;&gt;"Completed",Y80&lt;&gt;"N/A"),W80,"")</f>
        <v/>
      </c>
      <c r="BT80" s="85" t="str">
        <f>IF(AND(ISNUMBER(AA80),AC80&lt;&gt;"Completed",AC80&lt;&gt;"N/A"),AA80,"")</f>
        <v/>
      </c>
      <c r="BU80" s="85" t="str">
        <f>IF(AND(ISNUMBER(AG80),AI80&lt;&gt;"Completed",AI80&lt;&gt;"N/A"),AG80,"")</f>
        <v/>
      </c>
      <c r="BV80" s="85" t="str">
        <f>IF(AND(ISNUMBER(AJ80),AL80&lt;&gt;"Completed",AL80&lt;&gt;"N/A"),AJ80,"")</f>
        <v/>
      </c>
      <c r="BW80" s="85" t="str">
        <f>IF(AND(ISNUMBER(AM80),AO80&lt;&gt;"Completed",AO80&lt;&gt;"N/A"),AM80,"")</f>
        <v/>
      </c>
      <c r="BX80" s="85" t="str">
        <f>IF(AND(ISNUMBER(AP80),AR80&lt;&gt;"Completed",AR80&lt;&gt;"N/A"),AP80,"")</f>
        <v/>
      </c>
      <c r="BY80" s="85" t="str">
        <f>IF(AND(ISNUMBER(AU80),AW80&lt;&gt;"Completed",AW80&lt;&gt;"N/A"),AU80,"")</f>
        <v/>
      </c>
      <c r="BZ80" s="85" t="str">
        <f>IF(AND(ISNUMBER(AX80),AZ80&lt;&gt;"Completed",AZ80&lt;&gt;"N/A"),AX80,"")</f>
        <v/>
      </c>
      <c r="CA80" s="85" t="str">
        <f>IF(AND(ISNUMBER(BA80),BC80&lt;&gt;"Completed",BC80&lt;&gt;"N/A"),BA80,"")</f>
        <v/>
      </c>
      <c r="CB80" s="85" t="str">
        <f>IF(AND(ISNUMBER(BD80),BF80&lt;&gt;"Completed",BF80&lt;&gt;"N/A"),BD80,"")</f>
        <v/>
      </c>
      <c r="CC80" s="85" t="str">
        <f>IF(AND(ISNUMBER(O80),P80&lt;&gt;"Completed",P80&lt;&gt;"N/A"),O80,"")</f>
        <v/>
      </c>
      <c r="CD80" s="85" t="str">
        <f>IF(AND(ISNUMBER(BM80),BN80&lt;&gt;"Completed",BN80&lt;&gt;"N/A"),BM80,"")</f>
        <v/>
      </c>
      <c r="CE80" s="85" t="str">
        <f>IF(AND(ISNUMBER(BK80),BL80&lt;&gt;"Completed",BL80&lt;&gt;"N/A"),BK80,"")</f>
        <v/>
      </c>
      <c r="CF80" s="85" t="str">
        <f>IF(AND(ISNUMBER(BI80),BJ80&lt;&gt;"Completed",BJ80&lt;&gt;"N/A"),BI80,"")</f>
        <v/>
      </c>
      <c r="CG80" s="85" t="str">
        <f ca="1">IF(OR(A80="",D80="Completed"),"",IF(N(G80)&gt;0,1/(N(G80)+ROW()/100000),IF(ISNUMBER(F80),1000+F80+ROW()/100000,TODAY()+400+ROW()/100000)))</f>
        <v/>
      </c>
    </row>
    <row r="81" spans="1:85">
      <c r="A81" s="17"/>
      <c r="B81" s="17"/>
      <c r="C81" s="17"/>
      <c r="D81" s="18" t="str">
        <f>IF(A81="","",IF(((S81="Blocked")+(V81="Blocked")+(Y81="Blocked")+(AC81="Blocked")+(AI81="Blocked")+(AL81="Blocked")+(AO81="Blocked")+(AR81="Blocked")+(AW81="Blocked")+(AZ81="Blocked")+(BC81="Blocked")+(BF81="Blocked")+(P81="Blocked")+(BJ81="Blocked")+(BL81="Blocked")+(BN81="Blocked")+(BO81="Blocked"))&gt;0,"Blocked",IF((ISNUMBER(Q81)+ISNUMBER(T81)+ISNUMBER(W81)+ISNUMBER(AA81)+ISNUMBER(AG81)+ISNUMBER(AJ81)+ISNUMBER(AM81)+ISNUMBER(AP81)+ISNUMBER(AU81)+ISNUMBER(AX81)+ISNUMBER(BA81)+ISNUMBER(BD81)+ISNUMBER(O81)+ISNUMBER(BI81)+ISNUMBER(BK81)+ISNUMBER(BM81))=0,"Yet to start",IF(AND(OR(NOT(ISNUMBER(Q81)),S81="Completed",S81="N/A"),OR(NOT(ISNUMBER(T81)),V81="Completed",V81="N/A"),OR(NOT(ISNUMBER(W81)),Y81="Completed",Y81="N/A"),OR(NOT(ISNUMBER(AA81)),AC81="Completed",AC81="N/A"),OR(NOT(ISNUMBER(AG81)),AI81="Completed",AI81="N/A"),OR(NOT(ISNUMBER(AJ81)),AL81="Completed",AL81="N/A"),OR(NOT(ISNUMBER(AM81)),AO81="Completed",AO81="N/A"),OR(NOT(ISNUMBER(AP81)),AR81="Completed",AR81="N/A"),OR(NOT(ISNUMBER(AU81)),AW81="Completed",AW81="N/A"),OR(NOT(ISNUMBER(AX81)),AZ81="Completed",AZ81="N/A"),OR(NOT(ISNUMBER(BA81)),BC81="Completed",BC81="N/A"),OR(NOT(ISNUMBER(BD81)),BF81="Completed",BF81="N/A"),OR(NOT(ISNUMBER(O81)),P81="Completed",P81="N/A"),OR(NOT(ISNUMBER(BI81)),BJ81="Completed",BJ81="N/A"),OR(NOT(ISNUMBER(BK81)),BL81="Completed",BL81="N/A"),OR(NOT(ISNUMBER(BM81)),BN81="Completed",BN81="N/A"),OR(BO81="Completed",BO81="N/A")),"Completed",IF(((S81="In Progress")+(V81="In Progress")+(Y81="In Progress")+(AC81="In Progress")+(AI81="In Progress")+(AL81="In Progress")+(AO81="In Progress")+(AR81="In Progress")+(AW81="In Progress")+(AZ81="In Progress")+(BC81="In Progress")+(BF81="In Progress")+(P81="In Progress")+(BJ81="In Progress")+(BL81="In Progress")+(BN81="In Progress")+(BO81="In Progress"))&gt;0,"In Progress","Yet to start")))))</f>
        <v/>
      </c>
      <c r="E81" s="18" t="str">
        <f>IF(A81="","",IF(F81="","All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Review","CAB"},MATCH(F81,BQ81:CF81,0))))</f>
        <v/>
      </c>
      <c r="F81" s="19" t="str">
        <f>IF(A81="","",IF(COUNT(BQ81:CF81)=0,"",MIN(BQ81:CF81)))</f>
        <v/>
      </c>
      <c r="G81" s="18" t="str">
        <f ca="1">IF(A81="","",MAX(0,IF(AND(ISNUMBER(Q81),S81&lt;&gt;"Completed",S81&lt;&gt;"N/A",Q81&lt;TODAY()),TODAY()-Q81,0),IF(AND(ISNUMBER(T81),V81&lt;&gt;"Completed",V81&lt;&gt;"N/A",T81&lt;TODAY()),TODAY()-T81,0),IF(AND(ISNUMBER(W81),Y81&lt;&gt;"Completed",Y81&lt;&gt;"N/A",W81&lt;TODAY()),TODAY()-W81,0),IF(AND(ISNUMBER(AA81),AC81&lt;&gt;"Completed",AC81&lt;&gt;"N/A",AA81&lt;TODAY()),TODAY()-AA81,0),IF(AND(ISNUMBER(AG81),AI81&lt;&gt;"Completed",AI81&lt;&gt;"N/A",AG81&lt;TODAY()),TODAY()-AG81,0),IF(AND(ISNUMBER(AJ81),AL81&lt;&gt;"Completed",AL81&lt;&gt;"N/A",AJ81&lt;TODAY()),TODAY()-AJ81,0),IF(AND(ISNUMBER(AM81),AO81&lt;&gt;"Completed",AO81&lt;&gt;"N/A",AM81&lt;TODAY()),TODAY()-AM81,0),IF(AND(ISNUMBER(AP81),AR81&lt;&gt;"Completed",AR81&lt;&gt;"N/A",AP81&lt;TODAY()),TODAY()-AP81,0),IF(AND(ISNUMBER(AU81),AW81&lt;&gt;"Completed",AW81&lt;&gt;"N/A",AU81&lt;TODAY()),TODAY()-AU81,0),IF(AND(ISNUMBER(AX81),AZ81&lt;&gt;"Completed",AZ81&lt;&gt;"N/A",AX81&lt;TODAY()),TODAY()-AX81,0),IF(AND(ISNUMBER(BA81),BC81&lt;&gt;"Completed",BC81&lt;&gt;"N/A",BA81&lt;TODAY()),TODAY()-BA81,0),IF(AND(ISNUMBER(BD81),BF81&lt;&gt;"Completed",BF81&lt;&gt;"N/A",BD81&lt;TODAY()),TODAY()-BD81,0),IF(AND(ISNUMBER(O81),P81&lt;&gt;"Completed",P81&lt;&gt;"N/A",O81&lt;TODAY()),TODAY()-O81,0),IF(AND(ISNUMBER(BM81),BN81&lt;&gt;"Completed",BN81&lt;&gt;"N/A",BM81&lt;TODAY()),TODAY()-BM81,0),IF(AND(ISNUMBER(BK81),BL81&lt;&gt;"Completed",BL81&lt;&gt;"N/A",BK81&lt;TODAY()),TODAY()-BK81,0),IF(AND(ISNUMBER(BI81),BJ81&lt;&gt;"Completed",BJ81&lt;&gt;"N/A",BI81&lt;TODAY()),TODAY()-BI81,0)))</f>
        <v/>
      </c>
      <c r="H81" s="17"/>
      <c r="I81" s="17"/>
      <c r="J81" s="17"/>
      <c r="K81" s="19" t="str">
        <f>IF(ISNUMBER(H81),H81,IF(ISNUMBER(M81),M81-WEEKDAY(M81,2)+1-7,""))</f>
        <v/>
      </c>
      <c r="L81" s="19" t="str">
        <f>IF(ISNUMBER(I81),I81,IF(ISNUMBER(H81),WORKDAY(H81,SprintWorkingDays-1),IF(ISNUMBER(K81),WORKDAY(K81,SprintWorkingDays-1),"")))</f>
        <v/>
      </c>
      <c r="M81" s="19" t="str">
        <f>IF(ISNUMBER(J81),J81,IF(ISNUMBER(I81),I81-IF(OR(WEEKDAY(I81,2)=2,WEEKDAY(I81,2)=4),0,IF(WEEKDAY(I81,2)=3,1,IF(WEEKDAY(I81,2)=1,4,WEEKDAY(I81,2)-4))),IF(ISNUMBER(H81),WORKDAY(H81,SprintWorkingDays-1)-IF(OR(WEEKDAY(WORKDAY(H81,SprintWorkingDays-1),2)=2,WEEKDAY(WORKDAY(H81,SprintWorkingDays-1),2)=4),0,IF(WEEKDAY(WORKDAY(H81,SprintWorkingDays-1),2)=3,1,IF(WEEKDAY(WORKDAY(H81,SprintWorkingDays-1),2)=1,4,WEEKDAY(WORKDAY(H81,SprintWorkingDays-1),2)-4))),"")))</f>
        <v/>
      </c>
      <c r="N81" s="19" t="str">
        <f>IF(NOT(ISNUMBER(K81)),"",WORKDAY(K81,ReadyOffsetWD))</f>
        <v/>
      </c>
      <c r="O81" s="19" t="str">
        <f>IF(NOT(ISNUMBER(K81)),"",WORKDAY(K81,SprintReadinessOffsetWD))</f>
        <v/>
      </c>
      <c r="P81" s="17"/>
      <c r="Q81" s="19" t="str">
        <f>IF(A81="","",IF(V81="N/A",IF(NOT(ISNUMBER(W81)),"",WORKDAY(W81,RTSKOffsetFromOUR_WD)),IF(NOT(ISNUMBER(T81)),"",WORKDAY(T81,RTSKOffsetFromOUR_WD))))</f>
        <v/>
      </c>
      <c r="R81" s="17"/>
      <c r="S81" s="17"/>
      <c r="T81" s="19" t="str">
        <f>IF(OR(A81="",V81="N/A"),"",IF(NOT(ISNUMBER(W81)),"",WORKDAY(W81,OUROffsetFromSR_WD)))</f>
        <v/>
      </c>
      <c r="U81" s="17"/>
      <c r="V81" s="17"/>
      <c r="W81" s="19" t="str">
        <f>IF(OR(A81="",NOT(ISNUMBER(K81))),"",WORKDAY(K81,SROffsetFromStartWD))</f>
        <v/>
      </c>
      <c r="X81" s="17"/>
      <c r="Y81" s="17"/>
      <c r="Z81" s="17"/>
      <c r="AA81" s="19" t="str">
        <f>IF(OR(Z81="",Z81="N/A"),"",IF(ISNUMBER(Q81),Q81,""))</f>
        <v/>
      </c>
      <c r="AB81" s="17"/>
      <c r="AC81" s="17"/>
      <c r="AD81" s="17"/>
      <c r="AE81" s="17"/>
      <c r="AF81" s="17" t="str">
        <f>IF(Z81="N/A","N/A","")</f>
        <v/>
      </c>
      <c r="AG81" s="19" t="str">
        <f>IF(NOT(ISNUMBER(Q81)),"",Q81)</f>
        <v/>
      </c>
      <c r="AH81" s="17"/>
      <c r="AI81" s="17"/>
      <c r="AJ81" s="19" t="str">
        <f>IF(OR(AL81="N/A",NOT(ISNUMBER(T81))),"",T81)</f>
        <v/>
      </c>
      <c r="AK81" s="17"/>
      <c r="AL81" s="17"/>
      <c r="AM81" s="19" t="str">
        <f>IF(NOT(ISNUMBER(W81)),"",W81)</f>
        <v/>
      </c>
      <c r="AN81" s="17"/>
      <c r="AO81" s="17"/>
      <c r="AP81" s="19" t="str">
        <f>IF(OR(Z81="",Z81="N/A"),"",IF(ISNUMBER(AG81),AG81,""))</f>
        <v/>
      </c>
      <c r="AQ81" s="17"/>
      <c r="AR81" s="17"/>
      <c r="AS81" s="17"/>
      <c r="AT81" s="17"/>
      <c r="AU81" s="19" t="str">
        <f>IF(NOT(ISNUMBER(Q81)),"",Q81)</f>
        <v/>
      </c>
      <c r="AV81" s="17"/>
      <c r="AW81" s="17"/>
      <c r="AX81" s="19" t="str">
        <f>IF(OR(AZ81="N/A",NOT(ISNUMBER(T81))),"",T81)</f>
        <v/>
      </c>
      <c r="AY81" s="17"/>
      <c r="AZ81" s="17"/>
      <c r="BA81" s="19" t="str">
        <f>IF(NOT(ISNUMBER(W81)),"",W81)</f>
        <v/>
      </c>
      <c r="BB81" s="17"/>
      <c r="BC81" s="17"/>
      <c r="BD81" s="19" t="str">
        <f>IF(OR(Z81="",Z81="N/A"),"",IF(ISNUMBER(AU81),AU81,""))</f>
        <v/>
      </c>
      <c r="BE81" s="17"/>
      <c r="BF81" s="17"/>
      <c r="BG81" s="17"/>
      <c r="BH81" s="17"/>
      <c r="BI81" s="89" t="e">
        <f>IF(OR(A81="",NOT(ISNUMBER(M81)),AND(WEEKDAY(M81,2)&lt;&gt;2,WEEKDAY(M81,2)&lt;&gt;4)),"",WORKDAY(M81,CABOffsetFromReleaseWD))</f>
        <v>#VALUE!</v>
      </c>
      <c r="BJ81" s="17"/>
      <c r="BK81" s="19" t="str">
        <f>IF(NOT(ISNUMBER(BI81)),"",IF(WEEKDAY(BI81-CodeReviewCalendarDays,2)&gt;5,BI81-CodeReviewCalendarDays-(WEEKDAY(BI81-CodeReviewCalendarDays,2)-5),BI81-CodeReviewCalendarDays))</f>
        <v/>
      </c>
      <c r="BL81" s="17"/>
      <c r="BM81" s="19" t="str">
        <f>IF(NOT(ISNUMBER(BK81)),"",IF(WEEKDAY(BK81-CodeReviewInviteCalendarDays,2)&gt;5,BK81-CodeReviewInviteCalendarDays-(WEEKDAY(BK81-CodeReviewInviteCalendarDays,2)-5),BK81-CodeReviewInviteCalendarDays))</f>
        <v/>
      </c>
      <c r="BN81" s="17"/>
      <c r="BO81" s="17"/>
      <c r="BP81" s="18" t="str">
        <f ca="1">IF(A81="","",IF(IF(AND(ISNUMBER(J81),WEEKDAY(J81,2)&lt;&gt;2,WEEKDAY(J81,2)&lt;&gt;4)," | Release must be Tuesday or Thursday","")&amp;IF(AND(ISNUMBER(H81),WEEKDAY(H81,2)&lt;&gt;1)," | Sprint Start is not a Monday - dates still calculated from the date entered","")&amp;IF(AND(A81&lt;&gt;"",NOT(ISNUMBER(H81)),NOT(ISNUMBER(J81)))," | Enter Sprint Start or Release Date","")&amp;IF(AND(ISNUMBER(F81),F81&lt;TODAY(),D81&lt;&gt;"Completed")," | One or more raise-by dates are in the past and not completed","")&amp;IF(AND(ISNUMBER(K81),K81-TODAY()&lt;SprintWarningDays,K81&gt;=TODAY(),OR(D81="Yet to start",D81="Blocked"))," | Sprint starts in under 10 days - raise access requests now","")&amp;IF(AND(ISNUMBER(BM81),BN81&lt;&gt;"Completed",BN81&lt;&gt;"N/A",BM81-TODAY()&lt;CodeReviewInviteCalendarDays)," | Code Review invite should be sent at least 4 days before Code Review","")="","",MID(IF(AND(ISNUMBER(J81),WEEKDAY(J81,2)&lt;&gt;2,WEEKDAY(J81,2)&lt;&gt;4)," | Release must be Tuesday or Thursday","")&amp;IF(AND(ISNUMBER(H81),WEEKDAY(H81,2)&lt;&gt;1)," | Sprint Start is not a Monday - dates still calculated from the date entered","")&amp;IF(AND(A81&lt;&gt;"",NOT(ISNUMBER(H81)),NOT(ISNUMBER(J81)))," | Enter Sprint Start or Release Date","")&amp;IF(AND(ISNUMBER(F81),F81&lt;TODAY(),D81&lt;&gt;"Completed")," | One or more raise-by dates are in the past and not completed","")&amp;IF(AND(ISNUMBER(K81),K81-TODAY()&lt;SprintWarningDays,K81&gt;=TODAY(),OR(D81="Yet to start",D81="Blocked"))," | Sprint starts in under 10 days - raise access requests now","")&amp;IF(AND(ISNUMBER(BM81),BN81&lt;&gt;"Completed",BN81&lt;&gt;"N/A",BM81-TODAY()&lt;CodeReviewInviteCalendarDays)," | Code Review invite should be sent at least 4 days before Code Review",""),4,500)))</f>
        <v/>
      </c>
      <c r="BQ81" s="85" t="str">
        <f>IF(AND(ISNUMBER(Q81),S81&lt;&gt;"Completed",S81&lt;&gt;"N/A"),Q81,"")</f>
        <v/>
      </c>
      <c r="BR81" s="85" t="str">
        <f>IF(AND(ISNUMBER(T81),V81&lt;&gt;"Completed",V81&lt;&gt;"N/A"),T81,"")</f>
        <v/>
      </c>
      <c r="BS81" s="85" t="str">
        <f>IF(AND(ISNUMBER(W81),Y81&lt;&gt;"Completed",Y81&lt;&gt;"N/A"),W81,"")</f>
        <v/>
      </c>
      <c r="BT81" s="85" t="str">
        <f>IF(AND(ISNUMBER(AA81),AC81&lt;&gt;"Completed",AC81&lt;&gt;"N/A"),AA81,"")</f>
        <v/>
      </c>
      <c r="BU81" s="85" t="str">
        <f>IF(AND(ISNUMBER(AG81),AI81&lt;&gt;"Completed",AI81&lt;&gt;"N/A"),AG81,"")</f>
        <v/>
      </c>
      <c r="BV81" s="85" t="str">
        <f>IF(AND(ISNUMBER(AJ81),AL81&lt;&gt;"Completed",AL81&lt;&gt;"N/A"),AJ81,"")</f>
        <v/>
      </c>
      <c r="BW81" s="85" t="str">
        <f>IF(AND(ISNUMBER(AM81),AO81&lt;&gt;"Completed",AO81&lt;&gt;"N/A"),AM81,"")</f>
        <v/>
      </c>
      <c r="BX81" s="85" t="str">
        <f>IF(AND(ISNUMBER(AP81),AR81&lt;&gt;"Completed",AR81&lt;&gt;"N/A"),AP81,"")</f>
        <v/>
      </c>
      <c r="BY81" s="85" t="str">
        <f>IF(AND(ISNUMBER(AU81),AW81&lt;&gt;"Completed",AW81&lt;&gt;"N/A"),AU81,"")</f>
        <v/>
      </c>
      <c r="BZ81" s="85" t="str">
        <f>IF(AND(ISNUMBER(AX81),AZ81&lt;&gt;"Completed",AZ81&lt;&gt;"N/A"),AX81,"")</f>
        <v/>
      </c>
      <c r="CA81" s="85" t="str">
        <f>IF(AND(ISNUMBER(BA81),BC81&lt;&gt;"Completed",BC81&lt;&gt;"N/A"),BA81,"")</f>
        <v/>
      </c>
      <c r="CB81" s="85" t="str">
        <f>IF(AND(ISNUMBER(BD81),BF81&lt;&gt;"Completed",BF81&lt;&gt;"N/A"),BD81,"")</f>
        <v/>
      </c>
      <c r="CC81" s="85" t="str">
        <f>IF(AND(ISNUMBER(O81),P81&lt;&gt;"Completed",P81&lt;&gt;"N/A"),O81,"")</f>
        <v/>
      </c>
      <c r="CD81" s="85" t="str">
        <f>IF(AND(ISNUMBER(BM81),BN81&lt;&gt;"Completed",BN81&lt;&gt;"N/A"),BM81,"")</f>
        <v/>
      </c>
      <c r="CE81" s="85" t="str">
        <f>IF(AND(ISNUMBER(BK81),BL81&lt;&gt;"Completed",BL81&lt;&gt;"N/A"),BK81,"")</f>
        <v/>
      </c>
      <c r="CF81" s="85" t="str">
        <f>IF(AND(ISNUMBER(BI81),BJ81&lt;&gt;"Completed",BJ81&lt;&gt;"N/A"),BI81,"")</f>
        <v/>
      </c>
      <c r="CG81" s="85" t="str">
        <f ca="1">IF(OR(A81="",D81="Completed"),"",IF(N(G81)&gt;0,1/(N(G81)+ROW()/100000),IF(ISNUMBER(F81),1000+F81+ROW()/100000,TODAY()+400+ROW()/100000)))</f>
        <v/>
      </c>
    </row>
    <row r="82" spans="1:85">
      <c r="A82" s="17"/>
      <c r="B82" s="17"/>
      <c r="C82" s="17"/>
      <c r="D82" s="18" t="str">
        <f>IF(A82="","",IF(((S82="Blocked")+(V82="Blocked")+(Y82="Blocked")+(AC82="Blocked")+(AI82="Blocked")+(AL82="Blocked")+(AO82="Blocked")+(AR82="Blocked")+(AW82="Blocked")+(AZ82="Blocked")+(BC82="Blocked")+(BF82="Blocked")+(P82="Blocked")+(BJ82="Blocked")+(BL82="Blocked")+(BN82="Blocked")+(BO82="Blocked"))&gt;0,"Blocked",IF((ISNUMBER(Q82)+ISNUMBER(T82)+ISNUMBER(W82)+ISNUMBER(AA82)+ISNUMBER(AG82)+ISNUMBER(AJ82)+ISNUMBER(AM82)+ISNUMBER(AP82)+ISNUMBER(AU82)+ISNUMBER(AX82)+ISNUMBER(BA82)+ISNUMBER(BD82)+ISNUMBER(O82)+ISNUMBER(BI82)+ISNUMBER(BK82)+ISNUMBER(BM82))=0,"Yet to start",IF(AND(OR(NOT(ISNUMBER(Q82)),S82="Completed",S82="N/A"),OR(NOT(ISNUMBER(T82)),V82="Completed",V82="N/A"),OR(NOT(ISNUMBER(W82)),Y82="Completed",Y82="N/A"),OR(NOT(ISNUMBER(AA82)),AC82="Completed",AC82="N/A"),OR(NOT(ISNUMBER(AG82)),AI82="Completed",AI82="N/A"),OR(NOT(ISNUMBER(AJ82)),AL82="Completed",AL82="N/A"),OR(NOT(ISNUMBER(AM82)),AO82="Completed",AO82="N/A"),OR(NOT(ISNUMBER(AP82)),AR82="Completed",AR82="N/A"),OR(NOT(ISNUMBER(AU82)),AW82="Completed",AW82="N/A"),OR(NOT(ISNUMBER(AX82)),AZ82="Completed",AZ82="N/A"),OR(NOT(ISNUMBER(BA82)),BC82="Completed",BC82="N/A"),OR(NOT(ISNUMBER(BD82)),BF82="Completed",BF82="N/A"),OR(NOT(ISNUMBER(O82)),P82="Completed",P82="N/A"),OR(NOT(ISNUMBER(BI82)),BJ82="Completed",BJ82="N/A"),OR(NOT(ISNUMBER(BK82)),BL82="Completed",BL82="N/A"),OR(NOT(ISNUMBER(BM82)),BN82="Completed",BN82="N/A"),OR(BO82="Completed",BO82="N/A")),"Completed",IF(((S82="In Progress")+(V82="In Progress")+(Y82="In Progress")+(AC82="In Progress")+(AI82="In Progress")+(AL82="In Progress")+(AO82="In Progress")+(AR82="In Progress")+(AW82="In Progress")+(AZ82="In Progress")+(BC82="In Progress")+(BF82="In Progress")+(P82="In Progress")+(BJ82="In Progress")+(BL82="In Progress")+(BN82="In Progress")+(BO82="In Progress"))&gt;0,"In Progress","Yet to start")))))</f>
        <v/>
      </c>
      <c r="E82" s="18" t="str">
        <f>IF(A82="","",IF(F82="","All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Review","CAB"},MATCH(F82,BQ82:CF82,0))))</f>
        <v/>
      </c>
      <c r="F82" s="19" t="str">
        <f>IF(A82="","",IF(COUNT(BQ82:CF82)=0,"",MIN(BQ82:CF82)))</f>
        <v/>
      </c>
      <c r="G82" s="18" t="str">
        <f ca="1">IF(A82="","",MAX(0,IF(AND(ISNUMBER(Q82),S82&lt;&gt;"Completed",S82&lt;&gt;"N/A",Q82&lt;TODAY()),TODAY()-Q82,0),IF(AND(ISNUMBER(T82),V82&lt;&gt;"Completed",V82&lt;&gt;"N/A",T82&lt;TODAY()),TODAY()-T82,0),IF(AND(ISNUMBER(W82),Y82&lt;&gt;"Completed",Y82&lt;&gt;"N/A",W82&lt;TODAY()),TODAY()-W82,0),IF(AND(ISNUMBER(AA82),AC82&lt;&gt;"Completed",AC82&lt;&gt;"N/A",AA82&lt;TODAY()),TODAY()-AA82,0),IF(AND(ISNUMBER(AG82),AI82&lt;&gt;"Completed",AI82&lt;&gt;"N/A",AG82&lt;TODAY()),TODAY()-AG82,0),IF(AND(ISNUMBER(AJ82),AL82&lt;&gt;"Completed",AL82&lt;&gt;"N/A",AJ82&lt;TODAY()),TODAY()-AJ82,0),IF(AND(ISNUMBER(AM82),AO82&lt;&gt;"Completed",AO82&lt;&gt;"N/A",AM82&lt;TODAY()),TODAY()-AM82,0),IF(AND(ISNUMBER(AP82),AR82&lt;&gt;"Completed",AR82&lt;&gt;"N/A",AP82&lt;TODAY()),TODAY()-AP82,0),IF(AND(ISNUMBER(AU82),AW82&lt;&gt;"Completed",AW82&lt;&gt;"N/A",AU82&lt;TODAY()),TODAY()-AU82,0),IF(AND(ISNUMBER(AX82),AZ82&lt;&gt;"Completed",AZ82&lt;&gt;"N/A",AX82&lt;TODAY()),TODAY()-AX82,0),IF(AND(ISNUMBER(BA82),BC82&lt;&gt;"Completed",BC82&lt;&gt;"N/A",BA82&lt;TODAY()),TODAY()-BA82,0),IF(AND(ISNUMBER(BD82),BF82&lt;&gt;"Completed",BF82&lt;&gt;"N/A",BD82&lt;TODAY()),TODAY()-BD82,0),IF(AND(ISNUMBER(O82),P82&lt;&gt;"Completed",P82&lt;&gt;"N/A",O82&lt;TODAY()),TODAY()-O82,0),IF(AND(ISNUMBER(BM82),BN82&lt;&gt;"Completed",BN82&lt;&gt;"N/A",BM82&lt;TODAY()),TODAY()-BM82,0),IF(AND(ISNUMBER(BK82),BL82&lt;&gt;"Completed",BL82&lt;&gt;"N/A",BK82&lt;TODAY()),TODAY()-BK82,0),IF(AND(ISNUMBER(BI82),BJ82&lt;&gt;"Completed",BJ82&lt;&gt;"N/A",BI82&lt;TODAY()),TODAY()-BI82,0)))</f>
        <v/>
      </c>
      <c r="H82" s="17"/>
      <c r="I82" s="17"/>
      <c r="J82" s="17"/>
      <c r="K82" s="19" t="str">
        <f>IF(ISNUMBER(H82),H82,IF(ISNUMBER(M82),M82-WEEKDAY(M82,2)+1-7,""))</f>
        <v/>
      </c>
      <c r="L82" s="19" t="str">
        <f>IF(ISNUMBER(I82),I82,IF(ISNUMBER(H82),WORKDAY(H82,SprintWorkingDays-1),IF(ISNUMBER(K82),WORKDAY(K82,SprintWorkingDays-1),"")))</f>
        <v/>
      </c>
      <c r="M82" s="19" t="str">
        <f>IF(ISNUMBER(J82),J82,IF(ISNUMBER(I82),I82-IF(OR(WEEKDAY(I82,2)=2,WEEKDAY(I82,2)=4),0,IF(WEEKDAY(I82,2)=3,1,IF(WEEKDAY(I82,2)=1,4,WEEKDAY(I82,2)-4))),IF(ISNUMBER(H82),WORKDAY(H82,SprintWorkingDays-1)-IF(OR(WEEKDAY(WORKDAY(H82,SprintWorkingDays-1),2)=2,WEEKDAY(WORKDAY(H82,SprintWorkingDays-1),2)=4),0,IF(WEEKDAY(WORKDAY(H82,SprintWorkingDays-1),2)=3,1,IF(WEEKDAY(WORKDAY(H82,SprintWorkingDays-1),2)=1,4,WEEKDAY(WORKDAY(H82,SprintWorkingDays-1),2)-4))),"")))</f>
        <v/>
      </c>
      <c r="N82" s="19" t="str">
        <f>IF(NOT(ISNUMBER(K82)),"",WORKDAY(K82,ReadyOffsetWD))</f>
        <v/>
      </c>
      <c r="O82" s="19" t="str">
        <f>IF(NOT(ISNUMBER(K82)),"",WORKDAY(K82,SprintReadinessOffsetWD))</f>
        <v/>
      </c>
      <c r="P82" s="17"/>
      <c r="Q82" s="19" t="str">
        <f>IF(A82="","",IF(V82="N/A",IF(NOT(ISNUMBER(W82)),"",WORKDAY(W82,RTSKOffsetFromOUR_WD)),IF(NOT(ISNUMBER(T82)),"",WORKDAY(T82,RTSKOffsetFromOUR_WD))))</f>
        <v/>
      </c>
      <c r="R82" s="17"/>
      <c r="S82" s="17"/>
      <c r="T82" s="19" t="str">
        <f>IF(OR(A82="",V82="N/A"),"",IF(NOT(ISNUMBER(W82)),"",WORKDAY(W82,OUROffsetFromSR_WD)))</f>
        <v/>
      </c>
      <c r="U82" s="17"/>
      <c r="V82" s="17"/>
      <c r="W82" s="19" t="str">
        <f>IF(OR(A82="",NOT(ISNUMBER(K82))),"",WORKDAY(K82,SROffsetFromStartWD))</f>
        <v/>
      </c>
      <c r="X82" s="17"/>
      <c r="Y82" s="17"/>
      <c r="Z82" s="17"/>
      <c r="AA82" s="19" t="str">
        <f>IF(OR(Z82="",Z82="N/A"),"",IF(ISNUMBER(Q82),Q82,""))</f>
        <v/>
      </c>
      <c r="AB82" s="17"/>
      <c r="AC82" s="17"/>
      <c r="AD82" s="17"/>
      <c r="AE82" s="17"/>
      <c r="AF82" s="17" t="str">
        <f>IF(Z82="N/A","N/A","")</f>
        <v/>
      </c>
      <c r="AG82" s="19" t="str">
        <f>IF(NOT(ISNUMBER(Q82)),"",Q82)</f>
        <v/>
      </c>
      <c r="AH82" s="17"/>
      <c r="AI82" s="17"/>
      <c r="AJ82" s="19" t="str">
        <f>IF(OR(AL82="N/A",NOT(ISNUMBER(T82))),"",T82)</f>
        <v/>
      </c>
      <c r="AK82" s="17"/>
      <c r="AL82" s="17"/>
      <c r="AM82" s="19" t="str">
        <f>IF(NOT(ISNUMBER(W82)),"",W82)</f>
        <v/>
      </c>
      <c r="AN82" s="17"/>
      <c r="AO82" s="17"/>
      <c r="AP82" s="19" t="str">
        <f>IF(OR(Z82="",Z82="N/A"),"",IF(ISNUMBER(AG82),AG82,""))</f>
        <v/>
      </c>
      <c r="AQ82" s="17"/>
      <c r="AR82" s="17"/>
      <c r="AS82" s="17"/>
      <c r="AT82" s="17"/>
      <c r="AU82" s="19" t="str">
        <f>IF(NOT(ISNUMBER(Q82)),"",Q82)</f>
        <v/>
      </c>
      <c r="AV82" s="17"/>
      <c r="AW82" s="17"/>
      <c r="AX82" s="19" t="str">
        <f>IF(OR(AZ82="N/A",NOT(ISNUMBER(T82))),"",T82)</f>
        <v/>
      </c>
      <c r="AY82" s="17"/>
      <c r="AZ82" s="17"/>
      <c r="BA82" s="19" t="str">
        <f>IF(NOT(ISNUMBER(W82)),"",W82)</f>
        <v/>
      </c>
      <c r="BB82" s="17"/>
      <c r="BC82" s="17"/>
      <c r="BD82" s="19" t="str">
        <f>IF(OR(Z82="",Z82="N/A"),"",IF(ISNUMBER(AU82),AU82,""))</f>
        <v/>
      </c>
      <c r="BE82" s="17"/>
      <c r="BF82" s="17"/>
      <c r="BG82" s="17"/>
      <c r="BH82" s="17"/>
      <c r="BI82" s="89" t="e">
        <f>IF(OR(A82="",NOT(ISNUMBER(M82)),AND(WEEKDAY(M82,2)&lt;&gt;2,WEEKDAY(M82,2)&lt;&gt;4)),"",WORKDAY(M82,CABOffsetFromReleaseWD))</f>
        <v>#VALUE!</v>
      </c>
      <c r="BJ82" s="17"/>
      <c r="BK82" s="19" t="str">
        <f>IF(NOT(ISNUMBER(BI82)),"",IF(WEEKDAY(BI82-CodeReviewCalendarDays,2)&gt;5,BI82-CodeReviewCalendarDays-(WEEKDAY(BI82-CodeReviewCalendarDays,2)-5),BI82-CodeReviewCalendarDays))</f>
        <v/>
      </c>
      <c r="BL82" s="17"/>
      <c r="BM82" s="19" t="str">
        <f>IF(NOT(ISNUMBER(BK82)),"",IF(WEEKDAY(BK82-CodeReviewInviteCalendarDays,2)&gt;5,BK82-CodeReviewInviteCalendarDays-(WEEKDAY(BK82-CodeReviewInviteCalendarDays,2)-5),BK82-CodeReviewInviteCalendarDays))</f>
        <v/>
      </c>
      <c r="BN82" s="17"/>
      <c r="BO82" s="17"/>
      <c r="BP82" s="18" t="str">
        <f ca="1">IF(A82="","",IF(IF(AND(ISNUMBER(J82),WEEKDAY(J82,2)&lt;&gt;2,WEEKDAY(J82,2)&lt;&gt;4)," | Release must be Tuesday or Thursday","")&amp;IF(AND(ISNUMBER(H82),WEEKDAY(H82,2)&lt;&gt;1)," | Sprint Start is not a Monday - dates still calculated from the date entered","")&amp;IF(AND(A82&lt;&gt;"",NOT(ISNUMBER(H82)),NOT(ISNUMBER(J82)))," | Enter Sprint Start or Release Date","")&amp;IF(AND(ISNUMBER(F82),F82&lt;TODAY(),D82&lt;&gt;"Completed")," | One or more raise-by dates are in the past and not completed","")&amp;IF(AND(ISNUMBER(K82),K82-TODAY()&lt;SprintWarningDays,K82&gt;=TODAY(),OR(D82="Yet to start",D82="Blocked"))," | Sprint starts in under 10 days - raise access requests now","")&amp;IF(AND(ISNUMBER(BM82),BN82&lt;&gt;"Completed",BN82&lt;&gt;"N/A",BM82-TODAY()&lt;CodeReviewInviteCalendarDays)," | Code Review invite should be sent at least 4 days before Code Review","")="","",MID(IF(AND(ISNUMBER(J82),WEEKDAY(J82,2)&lt;&gt;2,WEEKDAY(J82,2)&lt;&gt;4)," | Release must be Tuesday or Thursday","")&amp;IF(AND(ISNUMBER(H82),WEEKDAY(H82,2)&lt;&gt;1)," | Sprint Start is not a Monday - dates still calculated from the date entered","")&amp;IF(AND(A82&lt;&gt;"",NOT(ISNUMBER(H82)),NOT(ISNUMBER(J82)))," | Enter Sprint Start or Release Date","")&amp;IF(AND(ISNUMBER(F82),F82&lt;TODAY(),D82&lt;&gt;"Completed")," | One or more raise-by dates are in the past and not completed","")&amp;IF(AND(ISNUMBER(K82),K82-TODAY()&lt;SprintWarningDays,K82&gt;=TODAY(),OR(D82="Yet to start",D82="Blocked"))," | Sprint starts in under 10 days - raise access requests now","")&amp;IF(AND(ISNUMBER(BM82),BN82&lt;&gt;"Completed",BN82&lt;&gt;"N/A",BM82-TODAY()&lt;CodeReviewInviteCalendarDays)," | Code Review invite should be sent at least 4 days before Code Review",""),4,500)))</f>
        <v/>
      </c>
      <c r="BQ82" s="85" t="str">
        <f>IF(AND(ISNUMBER(Q82),S82&lt;&gt;"Completed",S82&lt;&gt;"N/A"),Q82,"")</f>
        <v/>
      </c>
      <c r="BR82" s="85" t="str">
        <f>IF(AND(ISNUMBER(T82),V82&lt;&gt;"Completed",V82&lt;&gt;"N/A"),T82,"")</f>
        <v/>
      </c>
      <c r="BS82" s="85" t="str">
        <f>IF(AND(ISNUMBER(W82),Y82&lt;&gt;"Completed",Y82&lt;&gt;"N/A"),W82,"")</f>
        <v/>
      </c>
      <c r="BT82" s="85" t="str">
        <f>IF(AND(ISNUMBER(AA82),AC82&lt;&gt;"Completed",AC82&lt;&gt;"N/A"),AA82,"")</f>
        <v/>
      </c>
      <c r="BU82" s="85" t="str">
        <f>IF(AND(ISNUMBER(AG82),AI82&lt;&gt;"Completed",AI82&lt;&gt;"N/A"),AG82,"")</f>
        <v/>
      </c>
      <c r="BV82" s="85" t="str">
        <f>IF(AND(ISNUMBER(AJ82),AL82&lt;&gt;"Completed",AL82&lt;&gt;"N/A"),AJ82,"")</f>
        <v/>
      </c>
      <c r="BW82" s="85" t="str">
        <f>IF(AND(ISNUMBER(AM82),AO82&lt;&gt;"Completed",AO82&lt;&gt;"N/A"),AM82,"")</f>
        <v/>
      </c>
      <c r="BX82" s="85" t="str">
        <f>IF(AND(ISNUMBER(AP82),AR82&lt;&gt;"Completed",AR82&lt;&gt;"N/A"),AP82,"")</f>
        <v/>
      </c>
      <c r="BY82" s="85" t="str">
        <f>IF(AND(ISNUMBER(AU82),AW82&lt;&gt;"Completed",AW82&lt;&gt;"N/A"),AU82,"")</f>
        <v/>
      </c>
      <c r="BZ82" s="85" t="str">
        <f>IF(AND(ISNUMBER(AX82),AZ82&lt;&gt;"Completed",AZ82&lt;&gt;"N/A"),AX82,"")</f>
        <v/>
      </c>
      <c r="CA82" s="85" t="str">
        <f>IF(AND(ISNUMBER(BA82),BC82&lt;&gt;"Completed",BC82&lt;&gt;"N/A"),BA82,"")</f>
        <v/>
      </c>
      <c r="CB82" s="85" t="str">
        <f>IF(AND(ISNUMBER(BD82),BF82&lt;&gt;"Completed",BF82&lt;&gt;"N/A"),BD82,"")</f>
        <v/>
      </c>
      <c r="CC82" s="85" t="str">
        <f>IF(AND(ISNUMBER(O82),P82&lt;&gt;"Completed",P82&lt;&gt;"N/A"),O82,"")</f>
        <v/>
      </c>
      <c r="CD82" s="85" t="str">
        <f>IF(AND(ISNUMBER(BM82),BN82&lt;&gt;"Completed",BN82&lt;&gt;"N/A"),BM82,"")</f>
        <v/>
      </c>
      <c r="CE82" s="85" t="str">
        <f>IF(AND(ISNUMBER(BK82),BL82&lt;&gt;"Completed",BL82&lt;&gt;"N/A"),BK82,"")</f>
        <v/>
      </c>
      <c r="CF82" s="85" t="str">
        <f>IF(AND(ISNUMBER(BI82),BJ82&lt;&gt;"Completed",BJ82&lt;&gt;"N/A"),BI82,"")</f>
        <v/>
      </c>
      <c r="CG82" s="85" t="str">
        <f ca="1">IF(OR(A82="",D82="Completed"),"",IF(N(G82)&gt;0,1/(N(G82)+ROW()/100000),IF(ISNUMBER(F82),1000+F82+ROW()/100000,TODAY()+400+ROW()/100000)))</f>
        <v/>
      </c>
    </row>
    <row r="83" spans="1:85">
      <c r="A83" s="17"/>
      <c r="B83" s="17"/>
      <c r="C83" s="17"/>
      <c r="D83" s="18" t="str">
        <f>IF(A83="","",IF(((S83="Blocked")+(V83="Blocked")+(Y83="Blocked")+(AC83="Blocked")+(AI83="Blocked")+(AL83="Blocked")+(AO83="Blocked")+(AR83="Blocked")+(AW83="Blocked")+(AZ83="Blocked")+(BC83="Blocked")+(BF83="Blocked")+(P83="Blocked")+(BJ83="Blocked")+(BL83="Blocked")+(BN83="Blocked")+(BO83="Blocked"))&gt;0,"Blocked",IF((ISNUMBER(Q83)+ISNUMBER(T83)+ISNUMBER(W83)+ISNUMBER(AA83)+ISNUMBER(AG83)+ISNUMBER(AJ83)+ISNUMBER(AM83)+ISNUMBER(AP83)+ISNUMBER(AU83)+ISNUMBER(AX83)+ISNUMBER(BA83)+ISNUMBER(BD83)+ISNUMBER(O83)+ISNUMBER(BI83)+ISNUMBER(BK83)+ISNUMBER(BM83))=0,"Yet to start",IF(AND(OR(NOT(ISNUMBER(Q83)),S83="Completed",S83="N/A"),OR(NOT(ISNUMBER(T83)),V83="Completed",V83="N/A"),OR(NOT(ISNUMBER(W83)),Y83="Completed",Y83="N/A"),OR(NOT(ISNUMBER(AA83)),AC83="Completed",AC83="N/A"),OR(NOT(ISNUMBER(AG83)),AI83="Completed",AI83="N/A"),OR(NOT(ISNUMBER(AJ83)),AL83="Completed",AL83="N/A"),OR(NOT(ISNUMBER(AM83)),AO83="Completed",AO83="N/A"),OR(NOT(ISNUMBER(AP83)),AR83="Completed",AR83="N/A"),OR(NOT(ISNUMBER(AU83)),AW83="Completed",AW83="N/A"),OR(NOT(ISNUMBER(AX83)),AZ83="Completed",AZ83="N/A"),OR(NOT(ISNUMBER(BA83)),BC83="Completed",BC83="N/A"),OR(NOT(ISNUMBER(BD83)),BF83="Completed",BF83="N/A"),OR(NOT(ISNUMBER(O83)),P83="Completed",P83="N/A"),OR(NOT(ISNUMBER(BI83)),BJ83="Completed",BJ83="N/A"),OR(NOT(ISNUMBER(BK83)),BL83="Completed",BL83="N/A"),OR(NOT(ISNUMBER(BM83)),BN83="Completed",BN83="N/A"),OR(BO83="Completed",BO83="N/A")),"Completed",IF(((S83="In Progress")+(V83="In Progress")+(Y83="In Progress")+(AC83="In Progress")+(AI83="In Progress")+(AL83="In Progress")+(AO83="In Progress")+(AR83="In Progress")+(AW83="In Progress")+(AZ83="In Progress")+(BC83="In Progress")+(BF83="In Progress")+(P83="In Progress")+(BJ83="In Progress")+(BL83="In Progress")+(BN83="In Progress")+(BO83="In Progress"))&gt;0,"In Progress","Yet to start")))))</f>
        <v/>
      </c>
      <c r="E83" s="18" t="str">
        <f>IF(A83="","",IF(F83="","All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Review","CAB"},MATCH(F83,BQ83:CF83,0))))</f>
        <v/>
      </c>
      <c r="F83" s="19" t="str">
        <f>IF(A83="","",IF(COUNT(BQ83:CF83)=0,"",MIN(BQ83:CF83)))</f>
        <v/>
      </c>
      <c r="G83" s="18" t="str">
        <f ca="1">IF(A83="","",MAX(0,IF(AND(ISNUMBER(Q83),S83&lt;&gt;"Completed",S83&lt;&gt;"N/A",Q83&lt;TODAY()),TODAY()-Q83,0),IF(AND(ISNUMBER(T83),V83&lt;&gt;"Completed",V83&lt;&gt;"N/A",T83&lt;TODAY()),TODAY()-T83,0),IF(AND(ISNUMBER(W83),Y83&lt;&gt;"Completed",Y83&lt;&gt;"N/A",W83&lt;TODAY()),TODAY()-W83,0),IF(AND(ISNUMBER(AA83),AC83&lt;&gt;"Completed",AC83&lt;&gt;"N/A",AA83&lt;TODAY()),TODAY()-AA83,0),IF(AND(ISNUMBER(AG83),AI83&lt;&gt;"Completed",AI83&lt;&gt;"N/A",AG83&lt;TODAY()),TODAY()-AG83,0),IF(AND(ISNUMBER(AJ83),AL83&lt;&gt;"Completed",AL83&lt;&gt;"N/A",AJ83&lt;TODAY()),TODAY()-AJ83,0),IF(AND(ISNUMBER(AM83),AO83&lt;&gt;"Completed",AO83&lt;&gt;"N/A",AM83&lt;TODAY()),TODAY()-AM83,0),IF(AND(ISNUMBER(AP83),AR83&lt;&gt;"Completed",AR83&lt;&gt;"N/A",AP83&lt;TODAY()),TODAY()-AP83,0),IF(AND(ISNUMBER(AU83),AW83&lt;&gt;"Completed",AW83&lt;&gt;"N/A",AU83&lt;TODAY()),TODAY()-AU83,0),IF(AND(ISNUMBER(AX83),AZ83&lt;&gt;"Completed",AZ83&lt;&gt;"N/A",AX83&lt;TODAY()),TODAY()-AX83,0),IF(AND(ISNUMBER(BA83),BC83&lt;&gt;"Completed",BC83&lt;&gt;"N/A",BA83&lt;TODAY()),TODAY()-BA83,0),IF(AND(ISNUMBER(BD83),BF83&lt;&gt;"Completed",BF83&lt;&gt;"N/A",BD83&lt;TODAY()),TODAY()-BD83,0),IF(AND(ISNUMBER(O83),P83&lt;&gt;"Completed",P83&lt;&gt;"N/A",O83&lt;TODAY()),TODAY()-O83,0),IF(AND(ISNUMBER(BM83),BN83&lt;&gt;"Completed",BN83&lt;&gt;"N/A",BM83&lt;TODAY()),TODAY()-BM83,0),IF(AND(ISNUMBER(BK83),BL83&lt;&gt;"Completed",BL83&lt;&gt;"N/A",BK83&lt;TODAY()),TODAY()-BK83,0),IF(AND(ISNUMBER(BI83),BJ83&lt;&gt;"Completed",BJ83&lt;&gt;"N/A",BI83&lt;TODAY()),TODAY()-BI83,0)))</f>
        <v/>
      </c>
      <c r="H83" s="17"/>
      <c r="I83" s="17"/>
      <c r="J83" s="17"/>
      <c r="K83" s="19" t="str">
        <f>IF(ISNUMBER(H83),H83,IF(ISNUMBER(M83),M83-WEEKDAY(M83,2)+1-7,""))</f>
        <v/>
      </c>
      <c r="L83" s="19" t="str">
        <f>IF(ISNUMBER(I83),I83,IF(ISNUMBER(H83),WORKDAY(H83,SprintWorkingDays-1),IF(ISNUMBER(K83),WORKDAY(K83,SprintWorkingDays-1),"")))</f>
        <v/>
      </c>
      <c r="M83" s="19" t="str">
        <f>IF(ISNUMBER(J83),J83,IF(ISNUMBER(I83),I83-IF(OR(WEEKDAY(I83,2)=2,WEEKDAY(I83,2)=4),0,IF(WEEKDAY(I83,2)=3,1,IF(WEEKDAY(I83,2)=1,4,WEEKDAY(I83,2)-4))),IF(ISNUMBER(H83),WORKDAY(H83,SprintWorkingDays-1)-IF(OR(WEEKDAY(WORKDAY(H83,SprintWorkingDays-1),2)=2,WEEKDAY(WORKDAY(H83,SprintWorkingDays-1),2)=4),0,IF(WEEKDAY(WORKDAY(H83,SprintWorkingDays-1),2)=3,1,IF(WEEKDAY(WORKDAY(H83,SprintWorkingDays-1),2)=1,4,WEEKDAY(WORKDAY(H83,SprintWorkingDays-1),2)-4))),"")))</f>
        <v/>
      </c>
      <c r="N83" s="19" t="str">
        <f>IF(NOT(ISNUMBER(K83)),"",WORKDAY(K83,ReadyOffsetWD))</f>
        <v/>
      </c>
      <c r="O83" s="19" t="str">
        <f>IF(NOT(ISNUMBER(K83)),"",WORKDAY(K83,SprintReadinessOffsetWD))</f>
        <v/>
      </c>
      <c r="P83" s="17"/>
      <c r="Q83" s="19" t="str">
        <f>IF(A83="","",IF(V83="N/A",IF(NOT(ISNUMBER(W83)),"",WORKDAY(W83,RTSKOffsetFromOUR_WD)),IF(NOT(ISNUMBER(T83)),"",WORKDAY(T83,RTSKOffsetFromOUR_WD))))</f>
        <v/>
      </c>
      <c r="R83" s="17"/>
      <c r="S83" s="17"/>
      <c r="T83" s="19" t="str">
        <f>IF(OR(A83="",V83="N/A"),"",IF(NOT(ISNUMBER(W83)),"",WORKDAY(W83,OUROffsetFromSR_WD)))</f>
        <v/>
      </c>
      <c r="U83" s="17"/>
      <c r="V83" s="17"/>
      <c r="W83" s="19" t="str">
        <f>IF(OR(A83="",NOT(ISNUMBER(K83))),"",WORKDAY(K83,SROffsetFromStartWD))</f>
        <v/>
      </c>
      <c r="X83" s="17"/>
      <c r="Y83" s="17"/>
      <c r="Z83" s="17"/>
      <c r="AA83" s="19" t="str">
        <f>IF(OR(Z83="",Z83="N/A"),"",IF(ISNUMBER(Q83),Q83,""))</f>
        <v/>
      </c>
      <c r="AB83" s="17"/>
      <c r="AC83" s="17"/>
      <c r="AD83" s="17"/>
      <c r="AE83" s="17"/>
      <c r="AF83" s="17" t="str">
        <f>IF(Z83="N/A","N/A","")</f>
        <v/>
      </c>
      <c r="AG83" s="19" t="str">
        <f>IF(NOT(ISNUMBER(Q83)),"",Q83)</f>
        <v/>
      </c>
      <c r="AH83" s="17"/>
      <c r="AI83" s="17"/>
      <c r="AJ83" s="19" t="str">
        <f>IF(OR(AL83="N/A",NOT(ISNUMBER(T83))),"",T83)</f>
        <v/>
      </c>
      <c r="AK83" s="17"/>
      <c r="AL83" s="17"/>
      <c r="AM83" s="19" t="str">
        <f>IF(NOT(ISNUMBER(W83)),"",W83)</f>
        <v/>
      </c>
      <c r="AN83" s="17"/>
      <c r="AO83" s="17"/>
      <c r="AP83" s="19" t="str">
        <f>IF(OR(Z83="",Z83="N/A"),"",IF(ISNUMBER(AG83),AG83,""))</f>
        <v/>
      </c>
      <c r="AQ83" s="17"/>
      <c r="AR83" s="17"/>
      <c r="AS83" s="17"/>
      <c r="AT83" s="17"/>
      <c r="AU83" s="19" t="str">
        <f>IF(NOT(ISNUMBER(Q83)),"",Q83)</f>
        <v/>
      </c>
      <c r="AV83" s="17"/>
      <c r="AW83" s="17"/>
      <c r="AX83" s="19" t="str">
        <f>IF(OR(AZ83="N/A",NOT(ISNUMBER(T83))),"",T83)</f>
        <v/>
      </c>
      <c r="AY83" s="17"/>
      <c r="AZ83" s="17"/>
      <c r="BA83" s="19" t="str">
        <f>IF(NOT(ISNUMBER(W83)),"",W83)</f>
        <v/>
      </c>
      <c r="BB83" s="17"/>
      <c r="BC83" s="17"/>
      <c r="BD83" s="19" t="str">
        <f>IF(OR(Z83="",Z83="N/A"),"",IF(ISNUMBER(AU83),AU83,""))</f>
        <v/>
      </c>
      <c r="BE83" s="17"/>
      <c r="BF83" s="17"/>
      <c r="BG83" s="17"/>
      <c r="BH83" s="17"/>
      <c r="BI83" s="89" t="e">
        <f>IF(OR(A83="",NOT(ISNUMBER(M83)),AND(WEEKDAY(M83,2)&lt;&gt;2,WEEKDAY(M83,2)&lt;&gt;4)),"",WORKDAY(M83,CABOffsetFromReleaseWD))</f>
        <v>#VALUE!</v>
      </c>
      <c r="BJ83" s="17"/>
      <c r="BK83" s="19" t="str">
        <f>IF(NOT(ISNUMBER(BI83)),"",IF(WEEKDAY(BI83-CodeReviewCalendarDays,2)&gt;5,BI83-CodeReviewCalendarDays-(WEEKDAY(BI83-CodeReviewCalendarDays,2)-5),BI83-CodeReviewCalendarDays))</f>
        <v/>
      </c>
      <c r="BL83" s="17"/>
      <c r="BM83" s="19" t="str">
        <f>IF(NOT(ISNUMBER(BK83)),"",IF(WEEKDAY(BK83-CodeReviewInviteCalendarDays,2)&gt;5,BK83-CodeReviewInviteCalendarDays-(WEEKDAY(BK83-CodeReviewInviteCalendarDays,2)-5),BK83-CodeReviewInviteCalendarDays))</f>
        <v/>
      </c>
      <c r="BN83" s="17"/>
      <c r="BO83" s="17"/>
      <c r="BP83" s="18" t="str">
        <f ca="1">IF(A83="","",IF(IF(AND(ISNUMBER(J83),WEEKDAY(J83,2)&lt;&gt;2,WEEKDAY(J83,2)&lt;&gt;4)," | Release must be Tuesday or Thursday","")&amp;IF(AND(ISNUMBER(H83),WEEKDAY(H83,2)&lt;&gt;1)," | Sprint Start is not a Monday - dates still calculated from the date entered","")&amp;IF(AND(A83&lt;&gt;"",NOT(ISNUMBER(H83)),NOT(ISNUMBER(J83)))," | Enter Sprint Start or Release Date","")&amp;IF(AND(ISNUMBER(F83),F83&lt;TODAY(),D83&lt;&gt;"Completed")," | One or more raise-by dates are in the past and not completed","")&amp;IF(AND(ISNUMBER(K83),K83-TODAY()&lt;SprintWarningDays,K83&gt;=TODAY(),OR(D83="Yet to start",D83="Blocked"))," | Sprint starts in under 10 days - raise access requests now","")&amp;IF(AND(ISNUMBER(BM83),BN83&lt;&gt;"Completed",BN83&lt;&gt;"N/A",BM83-TODAY()&lt;CodeReviewInviteCalendarDays)," | Code Review invite should be sent at least 4 days before Code Review","")="","",MID(IF(AND(ISNUMBER(J83),WEEKDAY(J83,2)&lt;&gt;2,WEEKDAY(J83,2)&lt;&gt;4)," | Release must be Tuesday or Thursday","")&amp;IF(AND(ISNUMBER(H83),WEEKDAY(H83,2)&lt;&gt;1)," | Sprint Start is not a Monday - dates still calculated from the date entered","")&amp;IF(AND(A83&lt;&gt;"",NOT(ISNUMBER(H83)),NOT(ISNUMBER(J83)))," | Enter Sprint Start or Release Date","")&amp;IF(AND(ISNUMBER(F83),F83&lt;TODAY(),D83&lt;&gt;"Completed")," | One or more raise-by dates are in the past and not completed","")&amp;IF(AND(ISNUMBER(K83),K83-TODAY()&lt;SprintWarningDays,K83&gt;=TODAY(),OR(D83="Yet to start",D83="Blocked"))," | Sprint starts in under 10 days - raise access requests now","")&amp;IF(AND(ISNUMBER(BM83),BN83&lt;&gt;"Completed",BN83&lt;&gt;"N/A",BM83-TODAY()&lt;CodeReviewInviteCalendarDays)," | Code Review invite should be sent at least 4 days before Code Review",""),4,500)))</f>
        <v/>
      </c>
      <c r="BQ83" s="85" t="str">
        <f>IF(AND(ISNUMBER(Q83),S83&lt;&gt;"Completed",S83&lt;&gt;"N/A"),Q83,"")</f>
        <v/>
      </c>
      <c r="BR83" s="85" t="str">
        <f>IF(AND(ISNUMBER(T83),V83&lt;&gt;"Completed",V83&lt;&gt;"N/A"),T83,"")</f>
        <v/>
      </c>
      <c r="BS83" s="85" t="str">
        <f>IF(AND(ISNUMBER(W83),Y83&lt;&gt;"Completed",Y83&lt;&gt;"N/A"),W83,"")</f>
        <v/>
      </c>
      <c r="BT83" s="85" t="str">
        <f>IF(AND(ISNUMBER(AA83),AC83&lt;&gt;"Completed",AC83&lt;&gt;"N/A"),AA83,"")</f>
        <v/>
      </c>
      <c r="BU83" s="85" t="str">
        <f>IF(AND(ISNUMBER(AG83),AI83&lt;&gt;"Completed",AI83&lt;&gt;"N/A"),AG83,"")</f>
        <v/>
      </c>
      <c r="BV83" s="85" t="str">
        <f>IF(AND(ISNUMBER(AJ83),AL83&lt;&gt;"Completed",AL83&lt;&gt;"N/A"),AJ83,"")</f>
        <v/>
      </c>
      <c r="BW83" s="85" t="str">
        <f>IF(AND(ISNUMBER(AM83),AO83&lt;&gt;"Completed",AO83&lt;&gt;"N/A"),AM83,"")</f>
        <v/>
      </c>
      <c r="BX83" s="85" t="str">
        <f>IF(AND(ISNUMBER(AP83),AR83&lt;&gt;"Completed",AR83&lt;&gt;"N/A"),AP83,"")</f>
        <v/>
      </c>
      <c r="BY83" s="85" t="str">
        <f>IF(AND(ISNUMBER(AU83),AW83&lt;&gt;"Completed",AW83&lt;&gt;"N/A"),AU83,"")</f>
        <v/>
      </c>
      <c r="BZ83" s="85" t="str">
        <f>IF(AND(ISNUMBER(AX83),AZ83&lt;&gt;"Completed",AZ83&lt;&gt;"N/A"),AX83,"")</f>
        <v/>
      </c>
      <c r="CA83" s="85" t="str">
        <f>IF(AND(ISNUMBER(BA83),BC83&lt;&gt;"Completed",BC83&lt;&gt;"N/A"),BA83,"")</f>
        <v/>
      </c>
      <c r="CB83" s="85" t="str">
        <f>IF(AND(ISNUMBER(BD83),BF83&lt;&gt;"Completed",BF83&lt;&gt;"N/A"),BD83,"")</f>
        <v/>
      </c>
      <c r="CC83" s="85" t="str">
        <f>IF(AND(ISNUMBER(O83),P83&lt;&gt;"Completed",P83&lt;&gt;"N/A"),O83,"")</f>
        <v/>
      </c>
      <c r="CD83" s="85" t="str">
        <f>IF(AND(ISNUMBER(BM83),BN83&lt;&gt;"Completed",BN83&lt;&gt;"N/A"),BM83,"")</f>
        <v/>
      </c>
      <c r="CE83" s="85" t="str">
        <f>IF(AND(ISNUMBER(BK83),BL83&lt;&gt;"Completed",BL83&lt;&gt;"N/A"),BK83,"")</f>
        <v/>
      </c>
      <c r="CF83" s="85" t="str">
        <f>IF(AND(ISNUMBER(BI83),BJ83&lt;&gt;"Completed",BJ83&lt;&gt;"N/A"),BI83,"")</f>
        <v/>
      </c>
      <c r="CG83" s="85" t="str">
        <f ca="1">IF(OR(A83="",D83="Completed"),"",IF(N(G83)&gt;0,1/(N(G83)+ROW()/100000),IF(ISNUMBER(F83),1000+F83+ROW()/100000,TODAY()+400+ROW()/100000)))</f>
        <v/>
      </c>
    </row>
    <row r="84" spans="1:85">
      <c r="A84" s="17"/>
      <c r="B84" s="17"/>
      <c r="C84" s="17"/>
      <c r="D84" s="18" t="str">
        <f>IF(A84="","",IF(((S84="Blocked")+(V84="Blocked")+(Y84="Blocked")+(AC84="Blocked")+(AI84="Blocked")+(AL84="Blocked")+(AO84="Blocked")+(AR84="Blocked")+(AW84="Blocked")+(AZ84="Blocked")+(BC84="Blocked")+(BF84="Blocked")+(P84="Blocked")+(BJ84="Blocked")+(BL84="Blocked")+(BN84="Blocked")+(BO84="Blocked"))&gt;0,"Blocked",IF((ISNUMBER(Q84)+ISNUMBER(T84)+ISNUMBER(W84)+ISNUMBER(AA84)+ISNUMBER(AG84)+ISNUMBER(AJ84)+ISNUMBER(AM84)+ISNUMBER(AP84)+ISNUMBER(AU84)+ISNUMBER(AX84)+ISNUMBER(BA84)+ISNUMBER(BD84)+ISNUMBER(O84)+ISNUMBER(BI84)+ISNUMBER(BK84)+ISNUMBER(BM84))=0,"Yet to start",IF(AND(OR(NOT(ISNUMBER(Q84)),S84="Completed",S84="N/A"),OR(NOT(ISNUMBER(T84)),V84="Completed",V84="N/A"),OR(NOT(ISNUMBER(W84)),Y84="Completed",Y84="N/A"),OR(NOT(ISNUMBER(AA84)),AC84="Completed",AC84="N/A"),OR(NOT(ISNUMBER(AG84)),AI84="Completed",AI84="N/A"),OR(NOT(ISNUMBER(AJ84)),AL84="Completed",AL84="N/A"),OR(NOT(ISNUMBER(AM84)),AO84="Completed",AO84="N/A"),OR(NOT(ISNUMBER(AP84)),AR84="Completed",AR84="N/A"),OR(NOT(ISNUMBER(AU84)),AW84="Completed",AW84="N/A"),OR(NOT(ISNUMBER(AX84)),AZ84="Completed",AZ84="N/A"),OR(NOT(ISNUMBER(BA84)),BC84="Completed",BC84="N/A"),OR(NOT(ISNUMBER(BD84)),BF84="Completed",BF84="N/A"),OR(NOT(ISNUMBER(O84)),P84="Completed",P84="N/A"),OR(NOT(ISNUMBER(BI84)),BJ84="Completed",BJ84="N/A"),OR(NOT(ISNUMBER(BK84)),BL84="Completed",BL84="N/A"),OR(NOT(ISNUMBER(BM84)),BN84="Completed",BN84="N/A"),OR(BO84="Completed",BO84="N/A")),"Completed",IF(((S84="In Progress")+(V84="In Progress")+(Y84="In Progress")+(AC84="In Progress")+(AI84="In Progress")+(AL84="In Progress")+(AO84="In Progress")+(AR84="In Progress")+(AW84="In Progress")+(AZ84="In Progress")+(BC84="In Progress")+(BF84="In Progress")+(P84="In Progress")+(BJ84="In Progress")+(BL84="In Progress")+(BN84="In Progress")+(BO84="In Progress"))&gt;0,"In Progress","Yet to start")))))</f>
        <v/>
      </c>
      <c r="E84" s="18" t="str">
        <f>IF(A84="","",IF(F84="","All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Review","CAB"},MATCH(F84,BQ84:CF84,0))))</f>
        <v/>
      </c>
      <c r="F84" s="19" t="str">
        <f>IF(A84="","",IF(COUNT(BQ84:CF84)=0,"",MIN(BQ84:CF84)))</f>
        <v/>
      </c>
      <c r="G84" s="18" t="str">
        <f ca="1">IF(A84="","",MAX(0,IF(AND(ISNUMBER(Q84),S84&lt;&gt;"Completed",S84&lt;&gt;"N/A",Q84&lt;TODAY()),TODAY()-Q84,0),IF(AND(ISNUMBER(T84),V84&lt;&gt;"Completed",V84&lt;&gt;"N/A",T84&lt;TODAY()),TODAY()-T84,0),IF(AND(ISNUMBER(W84),Y84&lt;&gt;"Completed",Y84&lt;&gt;"N/A",W84&lt;TODAY()),TODAY()-W84,0),IF(AND(ISNUMBER(AA84),AC84&lt;&gt;"Completed",AC84&lt;&gt;"N/A",AA84&lt;TODAY()),TODAY()-AA84,0),IF(AND(ISNUMBER(AG84),AI84&lt;&gt;"Completed",AI84&lt;&gt;"N/A",AG84&lt;TODAY()),TODAY()-AG84,0),IF(AND(ISNUMBER(AJ84),AL84&lt;&gt;"Completed",AL84&lt;&gt;"N/A",AJ84&lt;TODAY()),TODAY()-AJ84,0),IF(AND(ISNUMBER(AM84),AO84&lt;&gt;"Completed",AO84&lt;&gt;"N/A",AM84&lt;TODAY()),TODAY()-AM84,0),IF(AND(ISNUMBER(AP84),AR84&lt;&gt;"Completed",AR84&lt;&gt;"N/A",AP84&lt;TODAY()),TODAY()-AP84,0),IF(AND(ISNUMBER(AU84),AW84&lt;&gt;"Completed",AW84&lt;&gt;"N/A",AU84&lt;TODAY()),TODAY()-AU84,0),IF(AND(ISNUMBER(AX84),AZ84&lt;&gt;"Completed",AZ84&lt;&gt;"N/A",AX84&lt;TODAY()),TODAY()-AX84,0),IF(AND(ISNUMBER(BA84),BC84&lt;&gt;"Completed",BC84&lt;&gt;"N/A",BA84&lt;TODAY()),TODAY()-BA84,0),IF(AND(ISNUMBER(BD84),BF84&lt;&gt;"Completed",BF84&lt;&gt;"N/A",BD84&lt;TODAY()),TODAY()-BD84,0),IF(AND(ISNUMBER(O84),P84&lt;&gt;"Completed",P84&lt;&gt;"N/A",O84&lt;TODAY()),TODAY()-O84,0),IF(AND(ISNUMBER(BM84),BN84&lt;&gt;"Completed",BN84&lt;&gt;"N/A",BM84&lt;TODAY()),TODAY()-BM84,0),IF(AND(ISNUMBER(BK84),BL84&lt;&gt;"Completed",BL84&lt;&gt;"N/A",BK84&lt;TODAY()),TODAY()-BK84,0),IF(AND(ISNUMBER(BI84),BJ84&lt;&gt;"Completed",BJ84&lt;&gt;"N/A",BI84&lt;TODAY()),TODAY()-BI84,0)))</f>
        <v/>
      </c>
      <c r="H84" s="17"/>
      <c r="I84" s="17"/>
      <c r="J84" s="17"/>
      <c r="K84" s="19" t="str">
        <f>IF(ISNUMBER(H84),H84,IF(ISNUMBER(M84),M84-WEEKDAY(M84,2)+1-7,""))</f>
        <v/>
      </c>
      <c r="L84" s="19" t="str">
        <f>IF(ISNUMBER(I84),I84,IF(ISNUMBER(H84),WORKDAY(H84,SprintWorkingDays-1),IF(ISNUMBER(K84),WORKDAY(K84,SprintWorkingDays-1),"")))</f>
        <v/>
      </c>
      <c r="M84" s="19" t="str">
        <f>IF(ISNUMBER(J84),J84,IF(ISNUMBER(I84),I84-IF(OR(WEEKDAY(I84,2)=2,WEEKDAY(I84,2)=4),0,IF(WEEKDAY(I84,2)=3,1,IF(WEEKDAY(I84,2)=1,4,WEEKDAY(I84,2)-4))),IF(ISNUMBER(H84),WORKDAY(H84,SprintWorkingDays-1)-IF(OR(WEEKDAY(WORKDAY(H84,SprintWorkingDays-1),2)=2,WEEKDAY(WORKDAY(H84,SprintWorkingDays-1),2)=4),0,IF(WEEKDAY(WORKDAY(H84,SprintWorkingDays-1),2)=3,1,IF(WEEKDAY(WORKDAY(H84,SprintWorkingDays-1),2)=1,4,WEEKDAY(WORKDAY(H84,SprintWorkingDays-1),2)-4))),"")))</f>
        <v/>
      </c>
      <c r="N84" s="19" t="str">
        <f>IF(NOT(ISNUMBER(K84)),"",WORKDAY(K84,ReadyOffsetWD))</f>
        <v/>
      </c>
      <c r="O84" s="19" t="str">
        <f>IF(NOT(ISNUMBER(K84)),"",WORKDAY(K84,SprintReadinessOffsetWD))</f>
        <v/>
      </c>
      <c r="P84" s="17"/>
      <c r="Q84" s="19" t="str">
        <f>IF(A84="","",IF(V84="N/A",IF(NOT(ISNUMBER(W84)),"",WORKDAY(W84,RTSKOffsetFromOUR_WD)),IF(NOT(ISNUMBER(T84)),"",WORKDAY(T84,RTSKOffsetFromOUR_WD))))</f>
        <v/>
      </c>
      <c r="R84" s="17"/>
      <c r="S84" s="17"/>
      <c r="T84" s="19" t="str">
        <f>IF(OR(A84="",V84="N/A"),"",IF(NOT(ISNUMBER(W84)),"",WORKDAY(W84,OUROffsetFromSR_WD)))</f>
        <v/>
      </c>
      <c r="U84" s="17"/>
      <c r="V84" s="17"/>
      <c r="W84" s="19" t="str">
        <f>IF(OR(A84="",NOT(ISNUMBER(K84))),"",WORKDAY(K84,SROffsetFromStartWD))</f>
        <v/>
      </c>
      <c r="X84" s="17"/>
      <c r="Y84" s="17"/>
      <c r="Z84" s="17"/>
      <c r="AA84" s="19" t="str">
        <f>IF(OR(Z84="",Z84="N/A"),"",IF(ISNUMBER(Q84),Q84,""))</f>
        <v/>
      </c>
      <c r="AB84" s="17"/>
      <c r="AC84" s="17"/>
      <c r="AD84" s="17"/>
      <c r="AE84" s="17"/>
      <c r="AF84" s="17" t="str">
        <f>IF(Z84="N/A","N/A","")</f>
        <v/>
      </c>
      <c r="AG84" s="19" t="str">
        <f>IF(NOT(ISNUMBER(Q84)),"",Q84)</f>
        <v/>
      </c>
      <c r="AH84" s="17"/>
      <c r="AI84" s="17"/>
      <c r="AJ84" s="19" t="str">
        <f>IF(OR(AL84="N/A",NOT(ISNUMBER(T84))),"",T84)</f>
        <v/>
      </c>
      <c r="AK84" s="17"/>
      <c r="AL84" s="17"/>
      <c r="AM84" s="19" t="str">
        <f>IF(NOT(ISNUMBER(W84)),"",W84)</f>
        <v/>
      </c>
      <c r="AN84" s="17"/>
      <c r="AO84" s="17"/>
      <c r="AP84" s="19" t="str">
        <f>IF(OR(Z84="",Z84="N/A"),"",IF(ISNUMBER(AG84),AG84,""))</f>
        <v/>
      </c>
      <c r="AQ84" s="17"/>
      <c r="AR84" s="17"/>
      <c r="AS84" s="17"/>
      <c r="AT84" s="17"/>
      <c r="AU84" s="19" t="str">
        <f>IF(NOT(ISNUMBER(Q84)),"",Q84)</f>
        <v/>
      </c>
      <c r="AV84" s="17"/>
      <c r="AW84" s="17"/>
      <c r="AX84" s="19" t="str">
        <f>IF(OR(AZ84="N/A",NOT(ISNUMBER(T84))),"",T84)</f>
        <v/>
      </c>
      <c r="AY84" s="17"/>
      <c r="AZ84" s="17"/>
      <c r="BA84" s="19" t="str">
        <f>IF(NOT(ISNUMBER(W84)),"",W84)</f>
        <v/>
      </c>
      <c r="BB84" s="17"/>
      <c r="BC84" s="17"/>
      <c r="BD84" s="19" t="str">
        <f>IF(OR(Z84="",Z84="N/A"),"",IF(ISNUMBER(AU84),AU84,""))</f>
        <v/>
      </c>
      <c r="BE84" s="17"/>
      <c r="BF84" s="17"/>
      <c r="BG84" s="17"/>
      <c r="BH84" s="17"/>
      <c r="BI84" s="89" t="e">
        <f>IF(OR(A84="",NOT(ISNUMBER(M84)),AND(WEEKDAY(M84,2)&lt;&gt;2,WEEKDAY(M84,2)&lt;&gt;4)),"",WORKDAY(M84,CABOffsetFromReleaseWD))</f>
        <v>#VALUE!</v>
      </c>
      <c r="BJ84" s="17"/>
      <c r="BK84" s="19" t="str">
        <f>IF(NOT(ISNUMBER(BI84)),"",IF(WEEKDAY(BI84-CodeReviewCalendarDays,2)&gt;5,BI84-CodeReviewCalendarDays-(WEEKDAY(BI84-CodeReviewCalendarDays,2)-5),BI84-CodeReviewCalendarDays))</f>
        <v/>
      </c>
      <c r="BL84" s="17"/>
      <c r="BM84" s="19" t="str">
        <f>IF(NOT(ISNUMBER(BK84)),"",IF(WEEKDAY(BK84-CodeReviewInviteCalendarDays,2)&gt;5,BK84-CodeReviewInviteCalendarDays-(WEEKDAY(BK84-CodeReviewInviteCalendarDays,2)-5),BK84-CodeReviewInviteCalendarDays))</f>
        <v/>
      </c>
      <c r="BN84" s="17"/>
      <c r="BO84" s="17"/>
      <c r="BP84" s="18" t="str">
        <f ca="1">IF(A84="","",IF(IF(AND(ISNUMBER(J84),WEEKDAY(J84,2)&lt;&gt;2,WEEKDAY(J84,2)&lt;&gt;4)," | Release must be Tuesday or Thursday","")&amp;IF(AND(ISNUMBER(H84),WEEKDAY(H84,2)&lt;&gt;1)," | Sprint Start is not a Monday - dates still calculated from the date entered","")&amp;IF(AND(A84&lt;&gt;"",NOT(ISNUMBER(H84)),NOT(ISNUMBER(J84)))," | Enter Sprint Start or Release Date","")&amp;IF(AND(ISNUMBER(F84),F84&lt;TODAY(),D84&lt;&gt;"Completed")," | One or more raise-by dates are in the past and not completed","")&amp;IF(AND(ISNUMBER(K84),K84-TODAY()&lt;SprintWarningDays,K84&gt;=TODAY(),OR(D84="Yet to start",D84="Blocked"))," | Sprint starts in under 10 days - raise access requests now","")&amp;IF(AND(ISNUMBER(BM84),BN84&lt;&gt;"Completed",BN84&lt;&gt;"N/A",BM84-TODAY()&lt;CodeReviewInviteCalendarDays)," | Code Review invite should be sent at least 4 days before Code Review","")="","",MID(IF(AND(ISNUMBER(J84),WEEKDAY(J84,2)&lt;&gt;2,WEEKDAY(J84,2)&lt;&gt;4)," | Release must be Tuesday or Thursday","")&amp;IF(AND(ISNUMBER(H84),WEEKDAY(H84,2)&lt;&gt;1)," | Sprint Start is not a Monday - dates still calculated from the date entered","")&amp;IF(AND(A84&lt;&gt;"",NOT(ISNUMBER(H84)),NOT(ISNUMBER(J84)))," | Enter Sprint Start or Release Date","")&amp;IF(AND(ISNUMBER(F84),F84&lt;TODAY(),D84&lt;&gt;"Completed")," | One or more raise-by dates are in the past and not completed","")&amp;IF(AND(ISNUMBER(K84),K84-TODAY()&lt;SprintWarningDays,K84&gt;=TODAY(),OR(D84="Yet to start",D84="Blocked"))," | Sprint starts in under 10 days - raise access requests now","")&amp;IF(AND(ISNUMBER(BM84),BN84&lt;&gt;"Completed",BN84&lt;&gt;"N/A",BM84-TODAY()&lt;CodeReviewInviteCalendarDays)," | Code Review invite should be sent at least 4 days before Code Review",""),4,500)))</f>
        <v/>
      </c>
      <c r="BQ84" s="85" t="str">
        <f>IF(AND(ISNUMBER(Q84),S84&lt;&gt;"Completed",S84&lt;&gt;"N/A"),Q84,"")</f>
        <v/>
      </c>
      <c r="BR84" s="85" t="str">
        <f>IF(AND(ISNUMBER(T84),V84&lt;&gt;"Completed",V84&lt;&gt;"N/A"),T84,"")</f>
        <v/>
      </c>
      <c r="BS84" s="85" t="str">
        <f>IF(AND(ISNUMBER(W84),Y84&lt;&gt;"Completed",Y84&lt;&gt;"N/A"),W84,"")</f>
        <v/>
      </c>
      <c r="BT84" s="85" t="str">
        <f>IF(AND(ISNUMBER(AA84),AC84&lt;&gt;"Completed",AC84&lt;&gt;"N/A"),AA84,"")</f>
        <v/>
      </c>
      <c r="BU84" s="85" t="str">
        <f>IF(AND(ISNUMBER(AG84),AI84&lt;&gt;"Completed",AI84&lt;&gt;"N/A"),AG84,"")</f>
        <v/>
      </c>
      <c r="BV84" s="85" t="str">
        <f>IF(AND(ISNUMBER(AJ84),AL84&lt;&gt;"Completed",AL84&lt;&gt;"N/A"),AJ84,"")</f>
        <v/>
      </c>
      <c r="BW84" s="85" t="str">
        <f>IF(AND(ISNUMBER(AM84),AO84&lt;&gt;"Completed",AO84&lt;&gt;"N/A"),AM84,"")</f>
        <v/>
      </c>
      <c r="BX84" s="85" t="str">
        <f>IF(AND(ISNUMBER(AP84),AR84&lt;&gt;"Completed",AR84&lt;&gt;"N/A"),AP84,"")</f>
        <v/>
      </c>
      <c r="BY84" s="85" t="str">
        <f>IF(AND(ISNUMBER(AU84),AW84&lt;&gt;"Completed",AW84&lt;&gt;"N/A"),AU84,"")</f>
        <v/>
      </c>
      <c r="BZ84" s="85" t="str">
        <f>IF(AND(ISNUMBER(AX84),AZ84&lt;&gt;"Completed",AZ84&lt;&gt;"N/A"),AX84,"")</f>
        <v/>
      </c>
      <c r="CA84" s="85" t="str">
        <f>IF(AND(ISNUMBER(BA84),BC84&lt;&gt;"Completed",BC84&lt;&gt;"N/A"),BA84,"")</f>
        <v/>
      </c>
      <c r="CB84" s="85" t="str">
        <f>IF(AND(ISNUMBER(BD84),BF84&lt;&gt;"Completed",BF84&lt;&gt;"N/A"),BD84,"")</f>
        <v/>
      </c>
      <c r="CC84" s="85" t="str">
        <f>IF(AND(ISNUMBER(O84),P84&lt;&gt;"Completed",P84&lt;&gt;"N/A"),O84,"")</f>
        <v/>
      </c>
      <c r="CD84" s="85" t="str">
        <f>IF(AND(ISNUMBER(BM84),BN84&lt;&gt;"Completed",BN84&lt;&gt;"N/A"),BM84,"")</f>
        <v/>
      </c>
      <c r="CE84" s="85" t="str">
        <f>IF(AND(ISNUMBER(BK84),BL84&lt;&gt;"Completed",BL84&lt;&gt;"N/A"),BK84,"")</f>
        <v/>
      </c>
      <c r="CF84" s="85" t="str">
        <f>IF(AND(ISNUMBER(BI84),BJ84&lt;&gt;"Completed",BJ84&lt;&gt;"N/A"),BI84,"")</f>
        <v/>
      </c>
      <c r="CG84" s="85" t="str">
        <f ca="1">IF(OR(A84="",D84="Completed"),"",IF(N(G84)&gt;0,1/(N(G84)+ROW()/100000),IF(ISNUMBER(F84),1000+F84+ROW()/100000,TODAY()+400+ROW()/100000)))</f>
        <v/>
      </c>
    </row>
    <row r="85" spans="1:85">
      <c r="A85" s="17"/>
      <c r="B85" s="17"/>
      <c r="C85" s="17"/>
      <c r="D85" s="18" t="str">
        <f>IF(A85="","",IF(((S85="Blocked")+(V85="Blocked")+(Y85="Blocked")+(AC85="Blocked")+(AI85="Blocked")+(AL85="Blocked")+(AO85="Blocked")+(AR85="Blocked")+(AW85="Blocked")+(AZ85="Blocked")+(BC85="Blocked")+(BF85="Blocked")+(P85="Blocked")+(BJ85="Blocked")+(BL85="Blocked")+(BN85="Blocked")+(BO85="Blocked"))&gt;0,"Blocked",IF((ISNUMBER(Q85)+ISNUMBER(T85)+ISNUMBER(W85)+ISNUMBER(AA85)+ISNUMBER(AG85)+ISNUMBER(AJ85)+ISNUMBER(AM85)+ISNUMBER(AP85)+ISNUMBER(AU85)+ISNUMBER(AX85)+ISNUMBER(BA85)+ISNUMBER(BD85)+ISNUMBER(O85)+ISNUMBER(BI85)+ISNUMBER(BK85)+ISNUMBER(BM85))=0,"Yet to start",IF(AND(OR(NOT(ISNUMBER(Q85)),S85="Completed",S85="N/A"),OR(NOT(ISNUMBER(T85)),V85="Completed",V85="N/A"),OR(NOT(ISNUMBER(W85)),Y85="Completed",Y85="N/A"),OR(NOT(ISNUMBER(AA85)),AC85="Completed",AC85="N/A"),OR(NOT(ISNUMBER(AG85)),AI85="Completed",AI85="N/A"),OR(NOT(ISNUMBER(AJ85)),AL85="Completed",AL85="N/A"),OR(NOT(ISNUMBER(AM85)),AO85="Completed",AO85="N/A"),OR(NOT(ISNUMBER(AP85)),AR85="Completed",AR85="N/A"),OR(NOT(ISNUMBER(AU85)),AW85="Completed",AW85="N/A"),OR(NOT(ISNUMBER(AX85)),AZ85="Completed",AZ85="N/A"),OR(NOT(ISNUMBER(BA85)),BC85="Completed",BC85="N/A"),OR(NOT(ISNUMBER(BD85)),BF85="Completed",BF85="N/A"),OR(NOT(ISNUMBER(O85)),P85="Completed",P85="N/A"),OR(NOT(ISNUMBER(BI85)),BJ85="Completed",BJ85="N/A"),OR(NOT(ISNUMBER(BK85)),BL85="Completed",BL85="N/A"),OR(NOT(ISNUMBER(BM85)),BN85="Completed",BN85="N/A"),OR(BO85="Completed",BO85="N/A")),"Completed",IF(((S85="In Progress")+(V85="In Progress")+(Y85="In Progress")+(AC85="In Progress")+(AI85="In Progress")+(AL85="In Progress")+(AO85="In Progress")+(AR85="In Progress")+(AW85="In Progress")+(AZ85="In Progress")+(BC85="In Progress")+(BF85="In Progress")+(P85="In Progress")+(BJ85="In Progress")+(BL85="In Progress")+(BN85="In Progress")+(BO85="In Progress"))&gt;0,"In Progress","Yet to start")))))</f>
        <v/>
      </c>
      <c r="E85" s="18" t="str">
        <f>IF(A85="","",IF(F85="","All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Review","CAB"},MATCH(F85,BQ85:CF85,0))))</f>
        <v/>
      </c>
      <c r="F85" s="19" t="str">
        <f>IF(A85="","",IF(COUNT(BQ85:CF85)=0,"",MIN(BQ85:CF85)))</f>
        <v/>
      </c>
      <c r="G85" s="18" t="str">
        <f ca="1">IF(A85="","",MAX(0,IF(AND(ISNUMBER(Q85),S85&lt;&gt;"Completed",S85&lt;&gt;"N/A",Q85&lt;TODAY()),TODAY()-Q85,0),IF(AND(ISNUMBER(T85),V85&lt;&gt;"Completed",V85&lt;&gt;"N/A",T85&lt;TODAY()),TODAY()-T85,0),IF(AND(ISNUMBER(W85),Y85&lt;&gt;"Completed",Y85&lt;&gt;"N/A",W85&lt;TODAY()),TODAY()-W85,0),IF(AND(ISNUMBER(AA85),AC85&lt;&gt;"Completed",AC85&lt;&gt;"N/A",AA85&lt;TODAY()),TODAY()-AA85,0),IF(AND(ISNUMBER(AG85),AI85&lt;&gt;"Completed",AI85&lt;&gt;"N/A",AG85&lt;TODAY()),TODAY()-AG85,0),IF(AND(ISNUMBER(AJ85),AL85&lt;&gt;"Completed",AL85&lt;&gt;"N/A",AJ85&lt;TODAY()),TODAY()-AJ85,0),IF(AND(ISNUMBER(AM85),AO85&lt;&gt;"Completed",AO85&lt;&gt;"N/A",AM85&lt;TODAY()),TODAY()-AM85,0),IF(AND(ISNUMBER(AP85),AR85&lt;&gt;"Completed",AR85&lt;&gt;"N/A",AP85&lt;TODAY()),TODAY()-AP85,0),IF(AND(ISNUMBER(AU85),AW85&lt;&gt;"Completed",AW85&lt;&gt;"N/A",AU85&lt;TODAY()),TODAY()-AU85,0),IF(AND(ISNUMBER(AX85),AZ85&lt;&gt;"Completed",AZ85&lt;&gt;"N/A",AX85&lt;TODAY()),TODAY()-AX85,0),IF(AND(ISNUMBER(BA85),BC85&lt;&gt;"Completed",BC85&lt;&gt;"N/A",BA85&lt;TODAY()),TODAY()-BA85,0),IF(AND(ISNUMBER(BD85),BF85&lt;&gt;"Completed",BF85&lt;&gt;"N/A",BD85&lt;TODAY()),TODAY()-BD85,0),IF(AND(ISNUMBER(O85),P85&lt;&gt;"Completed",P85&lt;&gt;"N/A",O85&lt;TODAY()),TODAY()-O85,0),IF(AND(ISNUMBER(BM85),BN85&lt;&gt;"Completed",BN85&lt;&gt;"N/A",BM85&lt;TODAY()),TODAY()-BM85,0),IF(AND(ISNUMBER(BK85),BL85&lt;&gt;"Completed",BL85&lt;&gt;"N/A",BK85&lt;TODAY()),TODAY()-BK85,0),IF(AND(ISNUMBER(BI85),BJ85&lt;&gt;"Completed",BJ85&lt;&gt;"N/A",BI85&lt;TODAY()),TODAY()-BI85,0)))</f>
        <v/>
      </c>
      <c r="H85" s="17"/>
      <c r="I85" s="17"/>
      <c r="J85" s="17"/>
      <c r="K85" s="19" t="str">
        <f>IF(ISNUMBER(H85),H85,IF(ISNUMBER(M85),M85-WEEKDAY(M85,2)+1-7,""))</f>
        <v/>
      </c>
      <c r="L85" s="19" t="str">
        <f>IF(ISNUMBER(I85),I85,IF(ISNUMBER(H85),WORKDAY(H85,SprintWorkingDays-1),IF(ISNUMBER(K85),WORKDAY(K85,SprintWorkingDays-1),"")))</f>
        <v/>
      </c>
      <c r="M85" s="19" t="str">
        <f>IF(ISNUMBER(J85),J85,IF(ISNUMBER(I85),I85-IF(OR(WEEKDAY(I85,2)=2,WEEKDAY(I85,2)=4),0,IF(WEEKDAY(I85,2)=3,1,IF(WEEKDAY(I85,2)=1,4,WEEKDAY(I85,2)-4))),IF(ISNUMBER(H85),WORKDAY(H85,SprintWorkingDays-1)-IF(OR(WEEKDAY(WORKDAY(H85,SprintWorkingDays-1),2)=2,WEEKDAY(WORKDAY(H85,SprintWorkingDays-1),2)=4),0,IF(WEEKDAY(WORKDAY(H85,SprintWorkingDays-1),2)=3,1,IF(WEEKDAY(WORKDAY(H85,SprintWorkingDays-1),2)=1,4,WEEKDAY(WORKDAY(H85,SprintWorkingDays-1),2)-4))),"")))</f>
        <v/>
      </c>
      <c r="N85" s="19" t="str">
        <f>IF(NOT(ISNUMBER(K85)),"",WORKDAY(K85,ReadyOffsetWD))</f>
        <v/>
      </c>
      <c r="O85" s="19" t="str">
        <f>IF(NOT(ISNUMBER(K85)),"",WORKDAY(K85,SprintReadinessOffsetWD))</f>
        <v/>
      </c>
      <c r="P85" s="17"/>
      <c r="Q85" s="19" t="str">
        <f>IF(A85="","",IF(V85="N/A",IF(NOT(ISNUMBER(W85)),"",WORKDAY(W85,RTSKOffsetFromOUR_WD)),IF(NOT(ISNUMBER(T85)),"",WORKDAY(T85,RTSKOffsetFromOUR_WD))))</f>
        <v/>
      </c>
      <c r="R85" s="17"/>
      <c r="S85" s="17"/>
      <c r="T85" s="19" t="str">
        <f>IF(OR(A85="",V85="N/A"),"",IF(NOT(ISNUMBER(W85)),"",WORKDAY(W85,OUROffsetFromSR_WD)))</f>
        <v/>
      </c>
      <c r="U85" s="17"/>
      <c r="V85" s="17"/>
      <c r="W85" s="19" t="str">
        <f>IF(OR(A85="",NOT(ISNUMBER(K85))),"",WORKDAY(K85,SROffsetFromStartWD))</f>
        <v/>
      </c>
      <c r="X85" s="17"/>
      <c r="Y85" s="17"/>
      <c r="Z85" s="17"/>
      <c r="AA85" s="19" t="str">
        <f>IF(OR(Z85="",Z85="N/A"),"",IF(ISNUMBER(Q85),Q85,""))</f>
        <v/>
      </c>
      <c r="AB85" s="17"/>
      <c r="AC85" s="17"/>
      <c r="AD85" s="17"/>
      <c r="AE85" s="17"/>
      <c r="AF85" s="17" t="str">
        <f>IF(Z85="N/A","N/A","")</f>
        <v/>
      </c>
      <c r="AG85" s="19" t="str">
        <f>IF(NOT(ISNUMBER(Q85)),"",Q85)</f>
        <v/>
      </c>
      <c r="AH85" s="17"/>
      <c r="AI85" s="17"/>
      <c r="AJ85" s="19" t="str">
        <f>IF(OR(AL85="N/A",NOT(ISNUMBER(T85))),"",T85)</f>
        <v/>
      </c>
      <c r="AK85" s="17"/>
      <c r="AL85" s="17"/>
      <c r="AM85" s="19" t="str">
        <f>IF(NOT(ISNUMBER(W85)),"",W85)</f>
        <v/>
      </c>
      <c r="AN85" s="17"/>
      <c r="AO85" s="17"/>
      <c r="AP85" s="19" t="str">
        <f>IF(OR(Z85="",Z85="N/A"),"",IF(ISNUMBER(AG85),AG85,""))</f>
        <v/>
      </c>
      <c r="AQ85" s="17"/>
      <c r="AR85" s="17"/>
      <c r="AS85" s="17"/>
      <c r="AT85" s="17"/>
      <c r="AU85" s="19" t="str">
        <f>IF(NOT(ISNUMBER(Q85)),"",Q85)</f>
        <v/>
      </c>
      <c r="AV85" s="17"/>
      <c r="AW85" s="17"/>
      <c r="AX85" s="19" t="str">
        <f>IF(OR(AZ85="N/A",NOT(ISNUMBER(T85))),"",T85)</f>
        <v/>
      </c>
      <c r="AY85" s="17"/>
      <c r="AZ85" s="17"/>
      <c r="BA85" s="19" t="str">
        <f>IF(NOT(ISNUMBER(W85)),"",W85)</f>
        <v/>
      </c>
      <c r="BB85" s="17"/>
      <c r="BC85" s="17"/>
      <c r="BD85" s="19" t="str">
        <f>IF(OR(Z85="",Z85="N/A"),"",IF(ISNUMBER(AU85),AU85,""))</f>
        <v/>
      </c>
      <c r="BE85" s="17"/>
      <c r="BF85" s="17"/>
      <c r="BG85" s="17"/>
      <c r="BH85" s="17"/>
      <c r="BI85" s="89" t="e">
        <f>IF(OR(A85="",NOT(ISNUMBER(M85)),AND(WEEKDAY(M85,2)&lt;&gt;2,WEEKDAY(M85,2)&lt;&gt;4)),"",WORKDAY(M85,CABOffsetFromReleaseWD))</f>
        <v>#VALUE!</v>
      </c>
      <c r="BJ85" s="17"/>
      <c r="BK85" s="19" t="str">
        <f>IF(NOT(ISNUMBER(BI85)),"",IF(WEEKDAY(BI85-CodeReviewCalendarDays,2)&gt;5,BI85-CodeReviewCalendarDays-(WEEKDAY(BI85-CodeReviewCalendarDays,2)-5),BI85-CodeReviewCalendarDays))</f>
        <v/>
      </c>
      <c r="BL85" s="17"/>
      <c r="BM85" s="19" t="str">
        <f>IF(NOT(ISNUMBER(BK85)),"",IF(WEEKDAY(BK85-CodeReviewInviteCalendarDays,2)&gt;5,BK85-CodeReviewInviteCalendarDays-(WEEKDAY(BK85-CodeReviewInviteCalendarDays,2)-5),BK85-CodeReviewInviteCalendarDays))</f>
        <v/>
      </c>
      <c r="BN85" s="17"/>
      <c r="BO85" s="17"/>
      <c r="BP85" s="18" t="str">
        <f ca="1">IF(A85="","",IF(IF(AND(ISNUMBER(J85),WEEKDAY(J85,2)&lt;&gt;2,WEEKDAY(J85,2)&lt;&gt;4)," | Release must be Tuesday or Thursday","")&amp;IF(AND(ISNUMBER(H85),WEEKDAY(H85,2)&lt;&gt;1)," | Sprint Start is not a Monday - dates still calculated from the date entered","")&amp;IF(AND(A85&lt;&gt;"",NOT(ISNUMBER(H85)),NOT(ISNUMBER(J85)))," | Enter Sprint Start or Release Date","")&amp;IF(AND(ISNUMBER(F85),F85&lt;TODAY(),D85&lt;&gt;"Completed")," | One or more raise-by dates are in the past and not completed","")&amp;IF(AND(ISNUMBER(K85),K85-TODAY()&lt;SprintWarningDays,K85&gt;=TODAY(),OR(D85="Yet to start",D85="Blocked"))," | Sprint starts in under 10 days - raise access requests now","")&amp;IF(AND(ISNUMBER(BM85),BN85&lt;&gt;"Completed",BN85&lt;&gt;"N/A",BM85-TODAY()&lt;CodeReviewInviteCalendarDays)," | Code Review invite should be sent at least 4 days before Code Review","")="","",MID(IF(AND(ISNUMBER(J85),WEEKDAY(J85,2)&lt;&gt;2,WEEKDAY(J85,2)&lt;&gt;4)," | Release must be Tuesday or Thursday","")&amp;IF(AND(ISNUMBER(H85),WEEKDAY(H85,2)&lt;&gt;1)," | Sprint Start is not a Monday - dates still calculated from the date entered","")&amp;IF(AND(A85&lt;&gt;"",NOT(ISNUMBER(H85)),NOT(ISNUMBER(J85)))," | Enter Sprint Start or Release Date","")&amp;IF(AND(ISNUMBER(F85),F85&lt;TODAY(),D85&lt;&gt;"Completed")," | One or more raise-by dates are in the past and not completed","")&amp;IF(AND(ISNUMBER(K85),K85-TODAY()&lt;SprintWarningDays,K85&gt;=TODAY(),OR(D85="Yet to start",D85="Blocked"))," | Sprint starts in under 10 days - raise access requests now","")&amp;IF(AND(ISNUMBER(BM85),BN85&lt;&gt;"Completed",BN85&lt;&gt;"N/A",BM85-TODAY()&lt;CodeReviewInviteCalendarDays)," | Code Review invite should be sent at least 4 days before Code Review",""),4,500)))</f>
        <v/>
      </c>
      <c r="BQ85" s="85" t="str">
        <f>IF(AND(ISNUMBER(Q85),S85&lt;&gt;"Completed",S85&lt;&gt;"N/A"),Q85,"")</f>
        <v/>
      </c>
      <c r="BR85" s="85" t="str">
        <f>IF(AND(ISNUMBER(T85),V85&lt;&gt;"Completed",V85&lt;&gt;"N/A"),T85,"")</f>
        <v/>
      </c>
      <c r="BS85" s="85" t="str">
        <f>IF(AND(ISNUMBER(W85),Y85&lt;&gt;"Completed",Y85&lt;&gt;"N/A"),W85,"")</f>
        <v/>
      </c>
      <c r="BT85" s="85" t="str">
        <f>IF(AND(ISNUMBER(AA85),AC85&lt;&gt;"Completed",AC85&lt;&gt;"N/A"),AA85,"")</f>
        <v/>
      </c>
      <c r="BU85" s="85" t="str">
        <f>IF(AND(ISNUMBER(AG85),AI85&lt;&gt;"Completed",AI85&lt;&gt;"N/A"),AG85,"")</f>
        <v/>
      </c>
      <c r="BV85" s="85" t="str">
        <f>IF(AND(ISNUMBER(AJ85),AL85&lt;&gt;"Completed",AL85&lt;&gt;"N/A"),AJ85,"")</f>
        <v/>
      </c>
      <c r="BW85" s="85" t="str">
        <f>IF(AND(ISNUMBER(AM85),AO85&lt;&gt;"Completed",AO85&lt;&gt;"N/A"),AM85,"")</f>
        <v/>
      </c>
      <c r="BX85" s="85" t="str">
        <f>IF(AND(ISNUMBER(AP85),AR85&lt;&gt;"Completed",AR85&lt;&gt;"N/A"),AP85,"")</f>
        <v/>
      </c>
      <c r="BY85" s="85" t="str">
        <f>IF(AND(ISNUMBER(AU85),AW85&lt;&gt;"Completed",AW85&lt;&gt;"N/A"),AU85,"")</f>
        <v/>
      </c>
      <c r="BZ85" s="85" t="str">
        <f>IF(AND(ISNUMBER(AX85),AZ85&lt;&gt;"Completed",AZ85&lt;&gt;"N/A"),AX85,"")</f>
        <v/>
      </c>
      <c r="CA85" s="85" t="str">
        <f>IF(AND(ISNUMBER(BA85),BC85&lt;&gt;"Completed",BC85&lt;&gt;"N/A"),BA85,"")</f>
        <v/>
      </c>
      <c r="CB85" s="85" t="str">
        <f>IF(AND(ISNUMBER(BD85),BF85&lt;&gt;"Completed",BF85&lt;&gt;"N/A"),BD85,"")</f>
        <v/>
      </c>
      <c r="CC85" s="85" t="str">
        <f>IF(AND(ISNUMBER(O85),P85&lt;&gt;"Completed",P85&lt;&gt;"N/A"),O85,"")</f>
        <v/>
      </c>
      <c r="CD85" s="85" t="str">
        <f>IF(AND(ISNUMBER(BM85),BN85&lt;&gt;"Completed",BN85&lt;&gt;"N/A"),BM85,"")</f>
        <v/>
      </c>
      <c r="CE85" s="85" t="str">
        <f>IF(AND(ISNUMBER(BK85),BL85&lt;&gt;"Completed",BL85&lt;&gt;"N/A"),BK85,"")</f>
        <v/>
      </c>
      <c r="CF85" s="85" t="str">
        <f>IF(AND(ISNUMBER(BI85),BJ85&lt;&gt;"Completed",BJ85&lt;&gt;"N/A"),BI85,"")</f>
        <v/>
      </c>
      <c r="CG85" s="85" t="str">
        <f ca="1">IF(OR(A85="",D85="Completed"),"",IF(N(G85)&gt;0,1/(N(G85)+ROW()/100000),IF(ISNUMBER(F85),1000+F85+ROW()/100000,TODAY()+400+ROW()/100000)))</f>
        <v/>
      </c>
    </row>
    <row r="86" spans="1:85">
      <c r="A86" s="17"/>
      <c r="B86" s="17"/>
      <c r="C86" s="17"/>
      <c r="D86" s="18" t="str">
        <f>IF(A86="","",IF(((S86="Blocked")+(V86="Blocked")+(Y86="Blocked")+(AC86="Blocked")+(AI86="Blocked")+(AL86="Blocked")+(AO86="Blocked")+(AR86="Blocked")+(AW86="Blocked")+(AZ86="Blocked")+(BC86="Blocked")+(BF86="Blocked")+(P86="Blocked")+(BJ86="Blocked")+(BL86="Blocked")+(BN86="Blocked")+(BO86="Blocked"))&gt;0,"Blocked",IF((ISNUMBER(Q86)+ISNUMBER(T86)+ISNUMBER(W86)+ISNUMBER(AA86)+ISNUMBER(AG86)+ISNUMBER(AJ86)+ISNUMBER(AM86)+ISNUMBER(AP86)+ISNUMBER(AU86)+ISNUMBER(AX86)+ISNUMBER(BA86)+ISNUMBER(BD86)+ISNUMBER(O86)+ISNUMBER(BI86)+ISNUMBER(BK86)+ISNUMBER(BM86))=0,"Yet to start",IF(AND(OR(NOT(ISNUMBER(Q86)),S86="Completed",S86="N/A"),OR(NOT(ISNUMBER(T86)),V86="Completed",V86="N/A"),OR(NOT(ISNUMBER(W86)),Y86="Completed",Y86="N/A"),OR(NOT(ISNUMBER(AA86)),AC86="Completed",AC86="N/A"),OR(NOT(ISNUMBER(AG86)),AI86="Completed",AI86="N/A"),OR(NOT(ISNUMBER(AJ86)),AL86="Completed",AL86="N/A"),OR(NOT(ISNUMBER(AM86)),AO86="Completed",AO86="N/A"),OR(NOT(ISNUMBER(AP86)),AR86="Completed",AR86="N/A"),OR(NOT(ISNUMBER(AU86)),AW86="Completed",AW86="N/A"),OR(NOT(ISNUMBER(AX86)),AZ86="Completed",AZ86="N/A"),OR(NOT(ISNUMBER(BA86)),BC86="Completed",BC86="N/A"),OR(NOT(ISNUMBER(BD86)),BF86="Completed",BF86="N/A"),OR(NOT(ISNUMBER(O86)),P86="Completed",P86="N/A"),OR(NOT(ISNUMBER(BI86)),BJ86="Completed",BJ86="N/A"),OR(NOT(ISNUMBER(BK86)),BL86="Completed",BL86="N/A"),OR(NOT(ISNUMBER(BM86)),BN86="Completed",BN86="N/A"),OR(BO86="Completed",BO86="N/A")),"Completed",IF(((S86="In Progress")+(V86="In Progress")+(Y86="In Progress")+(AC86="In Progress")+(AI86="In Progress")+(AL86="In Progress")+(AO86="In Progress")+(AR86="In Progress")+(AW86="In Progress")+(AZ86="In Progress")+(BC86="In Progress")+(BF86="In Progress")+(P86="In Progress")+(BJ86="In Progress")+(BL86="In Progress")+(BN86="In Progress")+(BO86="In Progress"))&gt;0,"In Progress","Yet to start")))))</f>
        <v/>
      </c>
      <c r="E86" s="18" t="str">
        <f>IF(A86="","",IF(F86="","All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Review","CAB"},MATCH(F86,BQ86:CF86,0))))</f>
        <v/>
      </c>
      <c r="F86" s="19" t="str">
        <f>IF(A86="","",IF(COUNT(BQ86:CF86)=0,"",MIN(BQ86:CF86)))</f>
        <v/>
      </c>
      <c r="G86" s="18" t="str">
        <f ca="1">IF(A86="","",MAX(0,IF(AND(ISNUMBER(Q86),S86&lt;&gt;"Completed",S86&lt;&gt;"N/A",Q86&lt;TODAY()),TODAY()-Q86,0),IF(AND(ISNUMBER(T86),V86&lt;&gt;"Completed",V86&lt;&gt;"N/A",T86&lt;TODAY()),TODAY()-T86,0),IF(AND(ISNUMBER(W86),Y86&lt;&gt;"Completed",Y86&lt;&gt;"N/A",W86&lt;TODAY()),TODAY()-W86,0),IF(AND(ISNUMBER(AA86),AC86&lt;&gt;"Completed",AC86&lt;&gt;"N/A",AA86&lt;TODAY()),TODAY()-AA86,0),IF(AND(ISNUMBER(AG86),AI86&lt;&gt;"Completed",AI86&lt;&gt;"N/A",AG86&lt;TODAY()),TODAY()-AG86,0),IF(AND(ISNUMBER(AJ86),AL86&lt;&gt;"Completed",AL86&lt;&gt;"N/A",AJ86&lt;TODAY()),TODAY()-AJ86,0),IF(AND(ISNUMBER(AM86),AO86&lt;&gt;"Completed",AO86&lt;&gt;"N/A",AM86&lt;TODAY()),TODAY()-AM86,0),IF(AND(ISNUMBER(AP86),AR86&lt;&gt;"Completed",AR86&lt;&gt;"N/A",AP86&lt;TODAY()),TODAY()-AP86,0),IF(AND(ISNUMBER(AU86),AW86&lt;&gt;"Completed",AW86&lt;&gt;"N/A",AU86&lt;TODAY()),TODAY()-AU86,0),IF(AND(ISNUMBER(AX86),AZ86&lt;&gt;"Completed",AZ86&lt;&gt;"N/A",AX86&lt;TODAY()),TODAY()-AX86,0),IF(AND(ISNUMBER(BA86),BC86&lt;&gt;"Completed",BC86&lt;&gt;"N/A",BA86&lt;TODAY()),TODAY()-BA86,0),IF(AND(ISNUMBER(BD86),BF86&lt;&gt;"Completed",BF86&lt;&gt;"N/A",BD86&lt;TODAY()),TODAY()-BD86,0),IF(AND(ISNUMBER(O86),P86&lt;&gt;"Completed",P86&lt;&gt;"N/A",O86&lt;TODAY()),TODAY()-O86,0),IF(AND(ISNUMBER(BM86),BN86&lt;&gt;"Completed",BN86&lt;&gt;"N/A",BM86&lt;TODAY()),TODAY()-BM86,0),IF(AND(ISNUMBER(BK86),BL86&lt;&gt;"Completed",BL86&lt;&gt;"N/A",BK86&lt;TODAY()),TODAY()-BK86,0),IF(AND(ISNUMBER(BI86),BJ86&lt;&gt;"Completed",BJ86&lt;&gt;"N/A",BI86&lt;TODAY()),TODAY()-BI86,0)))</f>
        <v/>
      </c>
      <c r="H86" s="17"/>
      <c r="I86" s="17"/>
      <c r="J86" s="17"/>
      <c r="K86" s="19" t="str">
        <f>IF(ISNUMBER(H86),H86,IF(ISNUMBER(M86),M86-WEEKDAY(M86,2)+1-7,""))</f>
        <v/>
      </c>
      <c r="L86" s="19" t="str">
        <f>IF(ISNUMBER(I86),I86,IF(ISNUMBER(H86),WORKDAY(H86,SprintWorkingDays-1),IF(ISNUMBER(K86),WORKDAY(K86,SprintWorkingDays-1),"")))</f>
        <v/>
      </c>
      <c r="M86" s="19" t="str">
        <f>IF(ISNUMBER(J86),J86,IF(ISNUMBER(I86),I86-IF(OR(WEEKDAY(I86,2)=2,WEEKDAY(I86,2)=4),0,IF(WEEKDAY(I86,2)=3,1,IF(WEEKDAY(I86,2)=1,4,WEEKDAY(I86,2)-4))),IF(ISNUMBER(H86),WORKDAY(H86,SprintWorkingDays-1)-IF(OR(WEEKDAY(WORKDAY(H86,SprintWorkingDays-1),2)=2,WEEKDAY(WORKDAY(H86,SprintWorkingDays-1),2)=4),0,IF(WEEKDAY(WORKDAY(H86,SprintWorkingDays-1),2)=3,1,IF(WEEKDAY(WORKDAY(H86,SprintWorkingDays-1),2)=1,4,WEEKDAY(WORKDAY(H86,SprintWorkingDays-1),2)-4))),"")))</f>
        <v/>
      </c>
      <c r="N86" s="19" t="str">
        <f>IF(NOT(ISNUMBER(K86)),"",WORKDAY(K86,ReadyOffsetWD))</f>
        <v/>
      </c>
      <c r="O86" s="19" t="str">
        <f>IF(NOT(ISNUMBER(K86)),"",WORKDAY(K86,SprintReadinessOffsetWD))</f>
        <v/>
      </c>
      <c r="P86" s="17"/>
      <c r="Q86" s="19" t="str">
        <f>IF(A86="","",IF(V86="N/A",IF(NOT(ISNUMBER(W86)),"",WORKDAY(W86,RTSKOffsetFromOUR_WD)),IF(NOT(ISNUMBER(T86)),"",WORKDAY(T86,RTSKOffsetFromOUR_WD))))</f>
        <v/>
      </c>
      <c r="R86" s="17"/>
      <c r="S86" s="17"/>
      <c r="T86" s="19" t="str">
        <f>IF(OR(A86="",V86="N/A"),"",IF(NOT(ISNUMBER(W86)),"",WORKDAY(W86,OUROffsetFromSR_WD)))</f>
        <v/>
      </c>
      <c r="U86" s="17"/>
      <c r="V86" s="17"/>
      <c r="W86" s="19" t="str">
        <f>IF(OR(A86="",NOT(ISNUMBER(K86))),"",WORKDAY(K86,SROffsetFromStartWD))</f>
        <v/>
      </c>
      <c r="X86" s="17"/>
      <c r="Y86" s="17"/>
      <c r="Z86" s="17"/>
      <c r="AA86" s="19" t="str">
        <f>IF(OR(Z86="",Z86="N/A"),"",IF(ISNUMBER(Q86),Q86,""))</f>
        <v/>
      </c>
      <c r="AB86" s="17"/>
      <c r="AC86" s="17"/>
      <c r="AD86" s="17"/>
      <c r="AE86" s="17"/>
      <c r="AF86" s="17" t="str">
        <f>IF(Z86="N/A","N/A","")</f>
        <v/>
      </c>
      <c r="AG86" s="19" t="str">
        <f>IF(NOT(ISNUMBER(Q86)),"",Q86)</f>
        <v/>
      </c>
      <c r="AH86" s="17"/>
      <c r="AI86" s="17"/>
      <c r="AJ86" s="19" t="str">
        <f>IF(OR(AL86="N/A",NOT(ISNUMBER(T86))),"",T86)</f>
        <v/>
      </c>
      <c r="AK86" s="17"/>
      <c r="AL86" s="17"/>
      <c r="AM86" s="19" t="str">
        <f>IF(NOT(ISNUMBER(W86)),"",W86)</f>
        <v/>
      </c>
      <c r="AN86" s="17"/>
      <c r="AO86" s="17"/>
      <c r="AP86" s="19" t="str">
        <f>IF(OR(Z86="",Z86="N/A"),"",IF(ISNUMBER(AG86),AG86,""))</f>
        <v/>
      </c>
      <c r="AQ86" s="17"/>
      <c r="AR86" s="17"/>
      <c r="AS86" s="17"/>
      <c r="AT86" s="17"/>
      <c r="AU86" s="19" t="str">
        <f>IF(NOT(ISNUMBER(Q86)),"",Q86)</f>
        <v/>
      </c>
      <c r="AV86" s="17"/>
      <c r="AW86" s="17"/>
      <c r="AX86" s="19" t="str">
        <f>IF(OR(AZ86="N/A",NOT(ISNUMBER(T86))),"",T86)</f>
        <v/>
      </c>
      <c r="AY86" s="17"/>
      <c r="AZ86" s="17"/>
      <c r="BA86" s="19" t="str">
        <f>IF(NOT(ISNUMBER(W86)),"",W86)</f>
        <v/>
      </c>
      <c r="BB86" s="17"/>
      <c r="BC86" s="17"/>
      <c r="BD86" s="19" t="str">
        <f>IF(OR(Z86="",Z86="N/A"),"",IF(ISNUMBER(AU86),AU86,""))</f>
        <v/>
      </c>
      <c r="BE86" s="17"/>
      <c r="BF86" s="17"/>
      <c r="BG86" s="17"/>
      <c r="BH86" s="17"/>
      <c r="BI86" s="89" t="e">
        <f>IF(OR(A86="",NOT(ISNUMBER(M86)),AND(WEEKDAY(M86,2)&lt;&gt;2,WEEKDAY(M86,2)&lt;&gt;4)),"",WORKDAY(M86,CABOffsetFromReleaseWD))</f>
        <v>#VALUE!</v>
      </c>
      <c r="BJ86" s="17"/>
      <c r="BK86" s="19" t="str">
        <f>IF(NOT(ISNUMBER(BI86)),"",IF(WEEKDAY(BI86-CodeReviewCalendarDays,2)&gt;5,BI86-CodeReviewCalendarDays-(WEEKDAY(BI86-CodeReviewCalendarDays,2)-5),BI86-CodeReviewCalendarDays))</f>
        <v/>
      </c>
      <c r="BL86" s="17"/>
      <c r="BM86" s="19" t="str">
        <f>IF(NOT(ISNUMBER(BK86)),"",IF(WEEKDAY(BK86-CodeReviewInviteCalendarDays,2)&gt;5,BK86-CodeReviewInviteCalendarDays-(WEEKDAY(BK86-CodeReviewInviteCalendarDays,2)-5),BK86-CodeReviewInviteCalendarDays))</f>
        <v/>
      </c>
      <c r="BN86" s="17"/>
      <c r="BO86" s="17"/>
      <c r="BP86" s="18" t="str">
        <f ca="1">IF(A86="","",IF(IF(AND(ISNUMBER(J86),WEEKDAY(J86,2)&lt;&gt;2,WEEKDAY(J86,2)&lt;&gt;4)," | Release must be Tuesday or Thursday","")&amp;IF(AND(ISNUMBER(H86),WEEKDAY(H86,2)&lt;&gt;1)," | Sprint Start is not a Monday - dates still calculated from the date entered","")&amp;IF(AND(A86&lt;&gt;"",NOT(ISNUMBER(H86)),NOT(ISNUMBER(J86)))," | Enter Sprint Start or Release Date","")&amp;IF(AND(ISNUMBER(F86),F86&lt;TODAY(),D86&lt;&gt;"Completed")," | One or more raise-by dates are in the past and not completed","")&amp;IF(AND(ISNUMBER(K86),K86-TODAY()&lt;SprintWarningDays,K86&gt;=TODAY(),OR(D86="Yet to start",D86="Blocked"))," | Sprint starts in under 10 days - raise access requests now","")&amp;IF(AND(ISNUMBER(BM86),BN86&lt;&gt;"Completed",BN86&lt;&gt;"N/A",BM86-TODAY()&lt;CodeReviewInviteCalendarDays)," | Code Review invite should be sent at least 4 days before Code Review","")="","",MID(IF(AND(ISNUMBER(J86),WEEKDAY(J86,2)&lt;&gt;2,WEEKDAY(J86,2)&lt;&gt;4)," | Release must be Tuesday or Thursday","")&amp;IF(AND(ISNUMBER(H86),WEEKDAY(H86,2)&lt;&gt;1)," | Sprint Start is not a Monday - dates still calculated from the date entered","")&amp;IF(AND(A86&lt;&gt;"",NOT(ISNUMBER(H86)),NOT(ISNUMBER(J86)))," | Enter Sprint Start or Release Date","")&amp;IF(AND(ISNUMBER(F86),F86&lt;TODAY(),D86&lt;&gt;"Completed")," | One or more raise-by dates are in the past and not completed","")&amp;IF(AND(ISNUMBER(K86),K86-TODAY()&lt;SprintWarningDays,K86&gt;=TODAY(),OR(D86="Yet to start",D86="Blocked"))," | Sprint starts in under 10 days - raise access requests now","")&amp;IF(AND(ISNUMBER(BM86),BN86&lt;&gt;"Completed",BN86&lt;&gt;"N/A",BM86-TODAY()&lt;CodeReviewInviteCalendarDays)," | Code Review invite should be sent at least 4 days before Code Review",""),4,500)))</f>
        <v/>
      </c>
      <c r="BQ86" s="85" t="str">
        <f>IF(AND(ISNUMBER(Q86),S86&lt;&gt;"Completed",S86&lt;&gt;"N/A"),Q86,"")</f>
        <v/>
      </c>
      <c r="BR86" s="85" t="str">
        <f>IF(AND(ISNUMBER(T86),V86&lt;&gt;"Completed",V86&lt;&gt;"N/A"),T86,"")</f>
        <v/>
      </c>
      <c r="BS86" s="85" t="str">
        <f>IF(AND(ISNUMBER(W86),Y86&lt;&gt;"Completed",Y86&lt;&gt;"N/A"),W86,"")</f>
        <v/>
      </c>
      <c r="BT86" s="85" t="str">
        <f>IF(AND(ISNUMBER(AA86),AC86&lt;&gt;"Completed",AC86&lt;&gt;"N/A"),AA86,"")</f>
        <v/>
      </c>
      <c r="BU86" s="85" t="str">
        <f>IF(AND(ISNUMBER(AG86),AI86&lt;&gt;"Completed",AI86&lt;&gt;"N/A"),AG86,"")</f>
        <v/>
      </c>
      <c r="BV86" s="85" t="str">
        <f>IF(AND(ISNUMBER(AJ86),AL86&lt;&gt;"Completed",AL86&lt;&gt;"N/A"),AJ86,"")</f>
        <v/>
      </c>
      <c r="BW86" s="85" t="str">
        <f>IF(AND(ISNUMBER(AM86),AO86&lt;&gt;"Completed",AO86&lt;&gt;"N/A"),AM86,"")</f>
        <v/>
      </c>
      <c r="BX86" s="85" t="str">
        <f>IF(AND(ISNUMBER(AP86),AR86&lt;&gt;"Completed",AR86&lt;&gt;"N/A"),AP86,"")</f>
        <v/>
      </c>
      <c r="BY86" s="85" t="str">
        <f>IF(AND(ISNUMBER(AU86),AW86&lt;&gt;"Completed",AW86&lt;&gt;"N/A"),AU86,"")</f>
        <v/>
      </c>
      <c r="BZ86" s="85" t="str">
        <f>IF(AND(ISNUMBER(AX86),AZ86&lt;&gt;"Completed",AZ86&lt;&gt;"N/A"),AX86,"")</f>
        <v/>
      </c>
      <c r="CA86" s="85" t="str">
        <f>IF(AND(ISNUMBER(BA86),BC86&lt;&gt;"Completed",BC86&lt;&gt;"N/A"),BA86,"")</f>
        <v/>
      </c>
      <c r="CB86" s="85" t="str">
        <f>IF(AND(ISNUMBER(BD86),BF86&lt;&gt;"Completed",BF86&lt;&gt;"N/A"),BD86,"")</f>
        <v/>
      </c>
      <c r="CC86" s="85" t="str">
        <f>IF(AND(ISNUMBER(O86),P86&lt;&gt;"Completed",P86&lt;&gt;"N/A"),O86,"")</f>
        <v/>
      </c>
      <c r="CD86" s="85" t="str">
        <f>IF(AND(ISNUMBER(BM86),BN86&lt;&gt;"Completed",BN86&lt;&gt;"N/A"),BM86,"")</f>
        <v/>
      </c>
      <c r="CE86" s="85" t="str">
        <f>IF(AND(ISNUMBER(BK86),BL86&lt;&gt;"Completed",BL86&lt;&gt;"N/A"),BK86,"")</f>
        <v/>
      </c>
      <c r="CF86" s="85" t="str">
        <f>IF(AND(ISNUMBER(BI86),BJ86&lt;&gt;"Completed",BJ86&lt;&gt;"N/A"),BI86,"")</f>
        <v/>
      </c>
      <c r="CG86" s="85" t="str">
        <f ca="1">IF(OR(A86="",D86="Completed"),"",IF(N(G86)&gt;0,1/(N(G86)+ROW()/100000),IF(ISNUMBER(F86),1000+F86+ROW()/100000,TODAY()+400+ROW()/100000)))</f>
        <v/>
      </c>
    </row>
    <row r="87" spans="1:85">
      <c r="A87" s="17"/>
      <c r="B87" s="17"/>
      <c r="C87" s="17"/>
      <c r="D87" s="18" t="str">
        <f>IF(A87="","",IF(((S87="Blocked")+(V87="Blocked")+(Y87="Blocked")+(AC87="Blocked")+(AI87="Blocked")+(AL87="Blocked")+(AO87="Blocked")+(AR87="Blocked")+(AW87="Blocked")+(AZ87="Blocked")+(BC87="Blocked")+(BF87="Blocked")+(P87="Blocked")+(BJ87="Blocked")+(BL87="Blocked")+(BN87="Blocked")+(BO87="Blocked"))&gt;0,"Blocked",IF((ISNUMBER(Q87)+ISNUMBER(T87)+ISNUMBER(W87)+ISNUMBER(AA87)+ISNUMBER(AG87)+ISNUMBER(AJ87)+ISNUMBER(AM87)+ISNUMBER(AP87)+ISNUMBER(AU87)+ISNUMBER(AX87)+ISNUMBER(BA87)+ISNUMBER(BD87)+ISNUMBER(O87)+ISNUMBER(BI87)+ISNUMBER(BK87)+ISNUMBER(BM87))=0,"Yet to start",IF(AND(OR(NOT(ISNUMBER(Q87)),S87="Completed",S87="N/A"),OR(NOT(ISNUMBER(T87)),V87="Completed",V87="N/A"),OR(NOT(ISNUMBER(W87)),Y87="Completed",Y87="N/A"),OR(NOT(ISNUMBER(AA87)),AC87="Completed",AC87="N/A"),OR(NOT(ISNUMBER(AG87)),AI87="Completed",AI87="N/A"),OR(NOT(ISNUMBER(AJ87)),AL87="Completed",AL87="N/A"),OR(NOT(ISNUMBER(AM87)),AO87="Completed",AO87="N/A"),OR(NOT(ISNUMBER(AP87)),AR87="Completed",AR87="N/A"),OR(NOT(ISNUMBER(AU87)),AW87="Completed",AW87="N/A"),OR(NOT(ISNUMBER(AX87)),AZ87="Completed",AZ87="N/A"),OR(NOT(ISNUMBER(BA87)),BC87="Completed",BC87="N/A"),OR(NOT(ISNUMBER(BD87)),BF87="Completed",BF87="N/A"),OR(NOT(ISNUMBER(O87)),P87="Completed",P87="N/A"),OR(NOT(ISNUMBER(BI87)),BJ87="Completed",BJ87="N/A"),OR(NOT(ISNUMBER(BK87)),BL87="Completed",BL87="N/A"),OR(NOT(ISNUMBER(BM87)),BN87="Completed",BN87="N/A"),OR(BO87="Completed",BO87="N/A")),"Completed",IF(((S87="In Progress")+(V87="In Progress")+(Y87="In Progress")+(AC87="In Progress")+(AI87="In Progress")+(AL87="In Progress")+(AO87="In Progress")+(AR87="In Progress")+(AW87="In Progress")+(AZ87="In Progress")+(BC87="In Progress")+(BF87="In Progress")+(P87="In Progress")+(BJ87="In Progress")+(BL87="In Progress")+(BN87="In Progress")+(BO87="In Progress"))&gt;0,"In Progress","Yet to start")))))</f>
        <v/>
      </c>
      <c r="E87" s="18" t="str">
        <f>IF(A87="","",IF(F87="","All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Review","CAB"},MATCH(F87,BQ87:CF87,0))))</f>
        <v/>
      </c>
      <c r="F87" s="19" t="str">
        <f>IF(A87="","",IF(COUNT(BQ87:CF87)=0,"",MIN(BQ87:CF87)))</f>
        <v/>
      </c>
      <c r="G87" s="18" t="str">
        <f ca="1">IF(A87="","",MAX(0,IF(AND(ISNUMBER(Q87),S87&lt;&gt;"Completed",S87&lt;&gt;"N/A",Q87&lt;TODAY()),TODAY()-Q87,0),IF(AND(ISNUMBER(T87),V87&lt;&gt;"Completed",V87&lt;&gt;"N/A",T87&lt;TODAY()),TODAY()-T87,0),IF(AND(ISNUMBER(W87),Y87&lt;&gt;"Completed",Y87&lt;&gt;"N/A",W87&lt;TODAY()),TODAY()-W87,0),IF(AND(ISNUMBER(AA87),AC87&lt;&gt;"Completed",AC87&lt;&gt;"N/A",AA87&lt;TODAY()),TODAY()-AA87,0),IF(AND(ISNUMBER(AG87),AI87&lt;&gt;"Completed",AI87&lt;&gt;"N/A",AG87&lt;TODAY()),TODAY()-AG87,0),IF(AND(ISNUMBER(AJ87),AL87&lt;&gt;"Completed",AL87&lt;&gt;"N/A",AJ87&lt;TODAY()),TODAY()-AJ87,0),IF(AND(ISNUMBER(AM87),AO87&lt;&gt;"Completed",AO87&lt;&gt;"N/A",AM87&lt;TODAY()),TODAY()-AM87,0),IF(AND(ISNUMBER(AP87),AR87&lt;&gt;"Completed",AR87&lt;&gt;"N/A",AP87&lt;TODAY()),TODAY()-AP87,0),IF(AND(ISNUMBER(AU87),AW87&lt;&gt;"Completed",AW87&lt;&gt;"N/A",AU87&lt;TODAY()),TODAY()-AU87,0),IF(AND(ISNUMBER(AX87),AZ87&lt;&gt;"Completed",AZ87&lt;&gt;"N/A",AX87&lt;TODAY()),TODAY()-AX87,0),IF(AND(ISNUMBER(BA87),BC87&lt;&gt;"Completed",BC87&lt;&gt;"N/A",BA87&lt;TODAY()),TODAY()-BA87,0),IF(AND(ISNUMBER(BD87),BF87&lt;&gt;"Completed",BF87&lt;&gt;"N/A",BD87&lt;TODAY()),TODAY()-BD87,0),IF(AND(ISNUMBER(O87),P87&lt;&gt;"Completed",P87&lt;&gt;"N/A",O87&lt;TODAY()),TODAY()-O87,0),IF(AND(ISNUMBER(BM87),BN87&lt;&gt;"Completed",BN87&lt;&gt;"N/A",BM87&lt;TODAY()),TODAY()-BM87,0),IF(AND(ISNUMBER(BK87),BL87&lt;&gt;"Completed",BL87&lt;&gt;"N/A",BK87&lt;TODAY()),TODAY()-BK87,0),IF(AND(ISNUMBER(BI87),BJ87&lt;&gt;"Completed",BJ87&lt;&gt;"N/A",BI87&lt;TODAY()),TODAY()-BI87,0)))</f>
        <v/>
      </c>
      <c r="H87" s="17"/>
      <c r="I87" s="17"/>
      <c r="J87" s="17"/>
      <c r="K87" s="19" t="str">
        <f>IF(ISNUMBER(H87),H87,IF(ISNUMBER(M87),M87-WEEKDAY(M87,2)+1-7,""))</f>
        <v/>
      </c>
      <c r="L87" s="19" t="str">
        <f>IF(ISNUMBER(I87),I87,IF(ISNUMBER(H87),WORKDAY(H87,SprintWorkingDays-1),IF(ISNUMBER(K87),WORKDAY(K87,SprintWorkingDays-1),"")))</f>
        <v/>
      </c>
      <c r="M87" s="19" t="str">
        <f>IF(ISNUMBER(J87),J87,IF(ISNUMBER(I87),I87-IF(OR(WEEKDAY(I87,2)=2,WEEKDAY(I87,2)=4),0,IF(WEEKDAY(I87,2)=3,1,IF(WEEKDAY(I87,2)=1,4,WEEKDAY(I87,2)-4))),IF(ISNUMBER(H87),WORKDAY(H87,SprintWorkingDays-1)-IF(OR(WEEKDAY(WORKDAY(H87,SprintWorkingDays-1),2)=2,WEEKDAY(WORKDAY(H87,SprintWorkingDays-1),2)=4),0,IF(WEEKDAY(WORKDAY(H87,SprintWorkingDays-1),2)=3,1,IF(WEEKDAY(WORKDAY(H87,SprintWorkingDays-1),2)=1,4,WEEKDAY(WORKDAY(H87,SprintWorkingDays-1),2)-4))),"")))</f>
        <v/>
      </c>
      <c r="N87" s="19" t="str">
        <f>IF(NOT(ISNUMBER(K87)),"",WORKDAY(K87,ReadyOffsetWD))</f>
        <v/>
      </c>
      <c r="O87" s="19" t="str">
        <f>IF(NOT(ISNUMBER(K87)),"",WORKDAY(K87,SprintReadinessOffsetWD))</f>
        <v/>
      </c>
      <c r="P87" s="17"/>
      <c r="Q87" s="19" t="str">
        <f>IF(A87="","",IF(V87="N/A",IF(NOT(ISNUMBER(W87)),"",WORKDAY(W87,RTSKOffsetFromOUR_WD)),IF(NOT(ISNUMBER(T87)),"",WORKDAY(T87,RTSKOffsetFromOUR_WD))))</f>
        <v/>
      </c>
      <c r="R87" s="17"/>
      <c r="S87" s="17"/>
      <c r="T87" s="19" t="str">
        <f>IF(OR(A87="",V87="N/A"),"",IF(NOT(ISNUMBER(W87)),"",WORKDAY(W87,OUROffsetFromSR_WD)))</f>
        <v/>
      </c>
      <c r="U87" s="17"/>
      <c r="V87" s="17"/>
      <c r="W87" s="19" t="str">
        <f>IF(OR(A87="",NOT(ISNUMBER(K87))),"",WORKDAY(K87,SROffsetFromStartWD))</f>
        <v/>
      </c>
      <c r="X87" s="17"/>
      <c r="Y87" s="17"/>
      <c r="Z87" s="17"/>
      <c r="AA87" s="19" t="str">
        <f>IF(OR(Z87="",Z87="N/A"),"",IF(ISNUMBER(Q87),Q87,""))</f>
        <v/>
      </c>
      <c r="AB87" s="17"/>
      <c r="AC87" s="17"/>
      <c r="AD87" s="17"/>
      <c r="AE87" s="17"/>
      <c r="AF87" s="17" t="str">
        <f>IF(Z87="N/A","N/A","")</f>
        <v/>
      </c>
      <c r="AG87" s="19" t="str">
        <f>IF(NOT(ISNUMBER(Q87)),"",Q87)</f>
        <v/>
      </c>
      <c r="AH87" s="17"/>
      <c r="AI87" s="17"/>
      <c r="AJ87" s="19" t="str">
        <f>IF(OR(AL87="N/A",NOT(ISNUMBER(T87))),"",T87)</f>
        <v/>
      </c>
      <c r="AK87" s="17"/>
      <c r="AL87" s="17"/>
      <c r="AM87" s="19" t="str">
        <f>IF(NOT(ISNUMBER(W87)),"",W87)</f>
        <v/>
      </c>
      <c r="AN87" s="17"/>
      <c r="AO87" s="17"/>
      <c r="AP87" s="19" t="str">
        <f>IF(OR(Z87="",Z87="N/A"),"",IF(ISNUMBER(AG87),AG87,""))</f>
        <v/>
      </c>
      <c r="AQ87" s="17"/>
      <c r="AR87" s="17"/>
      <c r="AS87" s="17"/>
      <c r="AT87" s="17"/>
      <c r="AU87" s="19" t="str">
        <f>IF(NOT(ISNUMBER(Q87)),"",Q87)</f>
        <v/>
      </c>
      <c r="AV87" s="17"/>
      <c r="AW87" s="17"/>
      <c r="AX87" s="19" t="str">
        <f>IF(OR(AZ87="N/A",NOT(ISNUMBER(T87))),"",T87)</f>
        <v/>
      </c>
      <c r="AY87" s="17"/>
      <c r="AZ87" s="17"/>
      <c r="BA87" s="19" t="str">
        <f>IF(NOT(ISNUMBER(W87)),"",W87)</f>
        <v/>
      </c>
      <c r="BB87" s="17"/>
      <c r="BC87" s="17"/>
      <c r="BD87" s="19" t="str">
        <f>IF(OR(Z87="",Z87="N/A"),"",IF(ISNUMBER(AU87),AU87,""))</f>
        <v/>
      </c>
      <c r="BE87" s="17"/>
      <c r="BF87" s="17"/>
      <c r="BG87" s="17"/>
      <c r="BH87" s="17"/>
      <c r="BI87" s="89" t="e">
        <f>IF(OR(A87="",NOT(ISNUMBER(M87)),AND(WEEKDAY(M87,2)&lt;&gt;2,WEEKDAY(M87,2)&lt;&gt;4)),"",WORKDAY(M87,CABOffsetFromReleaseWD))</f>
        <v>#VALUE!</v>
      </c>
      <c r="BJ87" s="17"/>
      <c r="BK87" s="19" t="str">
        <f>IF(NOT(ISNUMBER(BI87)),"",IF(WEEKDAY(BI87-CodeReviewCalendarDays,2)&gt;5,BI87-CodeReviewCalendarDays-(WEEKDAY(BI87-CodeReviewCalendarDays,2)-5),BI87-CodeReviewCalendarDays))</f>
        <v/>
      </c>
      <c r="BL87" s="17"/>
      <c r="BM87" s="19" t="str">
        <f>IF(NOT(ISNUMBER(BK87)),"",IF(WEEKDAY(BK87-CodeReviewInviteCalendarDays,2)&gt;5,BK87-CodeReviewInviteCalendarDays-(WEEKDAY(BK87-CodeReviewInviteCalendarDays,2)-5),BK87-CodeReviewInviteCalendarDays))</f>
        <v/>
      </c>
      <c r="BN87" s="17"/>
      <c r="BO87" s="17"/>
      <c r="BP87" s="18" t="str">
        <f ca="1">IF(A87="","",IF(IF(AND(ISNUMBER(J87),WEEKDAY(J87,2)&lt;&gt;2,WEEKDAY(J87,2)&lt;&gt;4)," | Release must be Tuesday or Thursday","")&amp;IF(AND(ISNUMBER(H87),WEEKDAY(H87,2)&lt;&gt;1)," | Sprint Start is not a Monday - dates still calculated from the date entered","")&amp;IF(AND(A87&lt;&gt;"",NOT(ISNUMBER(H87)),NOT(ISNUMBER(J87)))," | Enter Sprint Start or Release Date","")&amp;IF(AND(ISNUMBER(F87),F87&lt;TODAY(),D87&lt;&gt;"Completed")," | One or more raise-by dates are in the past and not completed","")&amp;IF(AND(ISNUMBER(K87),K87-TODAY()&lt;SprintWarningDays,K87&gt;=TODAY(),OR(D87="Yet to start",D87="Blocked"))," | Sprint starts in under 10 days - raise access requests now","")&amp;IF(AND(ISNUMBER(BM87),BN87&lt;&gt;"Completed",BN87&lt;&gt;"N/A",BM87-TODAY()&lt;CodeReviewInviteCalendarDays)," | Code Review invite should be sent at least 4 days before Code Review","")="","",MID(IF(AND(ISNUMBER(J87),WEEKDAY(J87,2)&lt;&gt;2,WEEKDAY(J87,2)&lt;&gt;4)," | Release must be Tuesday or Thursday","")&amp;IF(AND(ISNUMBER(H87),WEEKDAY(H87,2)&lt;&gt;1)," | Sprint Start is not a Monday - dates still calculated from the date entered","")&amp;IF(AND(A87&lt;&gt;"",NOT(ISNUMBER(H87)),NOT(ISNUMBER(J87)))," | Enter Sprint Start or Release Date","")&amp;IF(AND(ISNUMBER(F87),F87&lt;TODAY(),D87&lt;&gt;"Completed")," | One or more raise-by dates are in the past and not completed","")&amp;IF(AND(ISNUMBER(K87),K87-TODAY()&lt;SprintWarningDays,K87&gt;=TODAY(),OR(D87="Yet to start",D87="Blocked"))," | Sprint starts in under 10 days - raise access requests now","")&amp;IF(AND(ISNUMBER(BM87),BN87&lt;&gt;"Completed",BN87&lt;&gt;"N/A",BM87-TODAY()&lt;CodeReviewInviteCalendarDays)," | Code Review invite should be sent at least 4 days before Code Review",""),4,500)))</f>
        <v/>
      </c>
      <c r="BQ87" s="85" t="str">
        <f>IF(AND(ISNUMBER(Q87),S87&lt;&gt;"Completed",S87&lt;&gt;"N/A"),Q87,"")</f>
        <v/>
      </c>
      <c r="BR87" s="85" t="str">
        <f>IF(AND(ISNUMBER(T87),V87&lt;&gt;"Completed",V87&lt;&gt;"N/A"),T87,"")</f>
        <v/>
      </c>
      <c r="BS87" s="85" t="str">
        <f>IF(AND(ISNUMBER(W87),Y87&lt;&gt;"Completed",Y87&lt;&gt;"N/A"),W87,"")</f>
        <v/>
      </c>
      <c r="BT87" s="85" t="str">
        <f>IF(AND(ISNUMBER(AA87),AC87&lt;&gt;"Completed",AC87&lt;&gt;"N/A"),AA87,"")</f>
        <v/>
      </c>
      <c r="BU87" s="85" t="str">
        <f>IF(AND(ISNUMBER(AG87),AI87&lt;&gt;"Completed",AI87&lt;&gt;"N/A"),AG87,"")</f>
        <v/>
      </c>
      <c r="BV87" s="85" t="str">
        <f>IF(AND(ISNUMBER(AJ87),AL87&lt;&gt;"Completed",AL87&lt;&gt;"N/A"),AJ87,"")</f>
        <v/>
      </c>
      <c r="BW87" s="85" t="str">
        <f>IF(AND(ISNUMBER(AM87),AO87&lt;&gt;"Completed",AO87&lt;&gt;"N/A"),AM87,"")</f>
        <v/>
      </c>
      <c r="BX87" s="85" t="str">
        <f>IF(AND(ISNUMBER(AP87),AR87&lt;&gt;"Completed",AR87&lt;&gt;"N/A"),AP87,"")</f>
        <v/>
      </c>
      <c r="BY87" s="85" t="str">
        <f>IF(AND(ISNUMBER(AU87),AW87&lt;&gt;"Completed",AW87&lt;&gt;"N/A"),AU87,"")</f>
        <v/>
      </c>
      <c r="BZ87" s="85" t="str">
        <f>IF(AND(ISNUMBER(AX87),AZ87&lt;&gt;"Completed",AZ87&lt;&gt;"N/A"),AX87,"")</f>
        <v/>
      </c>
      <c r="CA87" s="85" t="str">
        <f>IF(AND(ISNUMBER(BA87),BC87&lt;&gt;"Completed",BC87&lt;&gt;"N/A"),BA87,"")</f>
        <v/>
      </c>
      <c r="CB87" s="85" t="str">
        <f>IF(AND(ISNUMBER(BD87),BF87&lt;&gt;"Completed",BF87&lt;&gt;"N/A"),BD87,"")</f>
        <v/>
      </c>
      <c r="CC87" s="85" t="str">
        <f>IF(AND(ISNUMBER(O87),P87&lt;&gt;"Completed",P87&lt;&gt;"N/A"),O87,"")</f>
        <v/>
      </c>
      <c r="CD87" s="85" t="str">
        <f>IF(AND(ISNUMBER(BM87),BN87&lt;&gt;"Completed",BN87&lt;&gt;"N/A"),BM87,"")</f>
        <v/>
      </c>
      <c r="CE87" s="85" t="str">
        <f>IF(AND(ISNUMBER(BK87),BL87&lt;&gt;"Completed",BL87&lt;&gt;"N/A"),BK87,"")</f>
        <v/>
      </c>
      <c r="CF87" s="85" t="str">
        <f>IF(AND(ISNUMBER(BI87),BJ87&lt;&gt;"Completed",BJ87&lt;&gt;"N/A"),BI87,"")</f>
        <v/>
      </c>
      <c r="CG87" s="85" t="str">
        <f ca="1">IF(OR(A87="",D87="Completed"),"",IF(N(G87)&gt;0,1/(N(G87)+ROW()/100000),IF(ISNUMBER(F87),1000+F87+ROW()/100000,TODAY()+400+ROW()/100000)))</f>
        <v/>
      </c>
    </row>
    <row r="88" spans="1:85">
      <c r="A88" s="17"/>
      <c r="B88" s="17"/>
      <c r="C88" s="17"/>
      <c r="D88" s="18" t="str">
        <f>IF(A88="","",IF(((S88="Blocked")+(V88="Blocked")+(Y88="Blocked")+(AC88="Blocked")+(AI88="Blocked")+(AL88="Blocked")+(AO88="Blocked")+(AR88="Blocked")+(AW88="Blocked")+(AZ88="Blocked")+(BC88="Blocked")+(BF88="Blocked")+(P88="Blocked")+(BJ88="Blocked")+(BL88="Blocked")+(BN88="Blocked")+(BO88="Blocked"))&gt;0,"Blocked",IF((ISNUMBER(Q88)+ISNUMBER(T88)+ISNUMBER(W88)+ISNUMBER(AA88)+ISNUMBER(AG88)+ISNUMBER(AJ88)+ISNUMBER(AM88)+ISNUMBER(AP88)+ISNUMBER(AU88)+ISNUMBER(AX88)+ISNUMBER(BA88)+ISNUMBER(BD88)+ISNUMBER(O88)+ISNUMBER(BI88)+ISNUMBER(BK88)+ISNUMBER(BM88))=0,"Yet to start",IF(AND(OR(NOT(ISNUMBER(Q88)),S88="Completed",S88="N/A"),OR(NOT(ISNUMBER(T88)),V88="Completed",V88="N/A"),OR(NOT(ISNUMBER(W88)),Y88="Completed",Y88="N/A"),OR(NOT(ISNUMBER(AA88)),AC88="Completed",AC88="N/A"),OR(NOT(ISNUMBER(AG88)),AI88="Completed",AI88="N/A"),OR(NOT(ISNUMBER(AJ88)),AL88="Completed",AL88="N/A"),OR(NOT(ISNUMBER(AM88)),AO88="Completed",AO88="N/A"),OR(NOT(ISNUMBER(AP88)),AR88="Completed",AR88="N/A"),OR(NOT(ISNUMBER(AU88)),AW88="Completed",AW88="N/A"),OR(NOT(ISNUMBER(AX88)),AZ88="Completed",AZ88="N/A"),OR(NOT(ISNUMBER(BA88)),BC88="Completed",BC88="N/A"),OR(NOT(ISNUMBER(BD88)),BF88="Completed",BF88="N/A"),OR(NOT(ISNUMBER(O88)),P88="Completed",P88="N/A"),OR(NOT(ISNUMBER(BI88)),BJ88="Completed",BJ88="N/A"),OR(NOT(ISNUMBER(BK88)),BL88="Completed",BL88="N/A"),OR(NOT(ISNUMBER(BM88)),BN88="Completed",BN88="N/A"),OR(BO88="Completed",BO88="N/A")),"Completed",IF(((S88="In Progress")+(V88="In Progress")+(Y88="In Progress")+(AC88="In Progress")+(AI88="In Progress")+(AL88="In Progress")+(AO88="In Progress")+(AR88="In Progress")+(AW88="In Progress")+(AZ88="In Progress")+(BC88="In Progress")+(BF88="In Progress")+(P88="In Progress")+(BJ88="In Progress")+(BL88="In Progress")+(BN88="In Progress")+(BO88="In Progress"))&gt;0,"In Progress","Yet to start")))))</f>
        <v/>
      </c>
      <c r="E88" s="18" t="str">
        <f>IF(A88="","",IF(F88="","All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Review","CAB"},MATCH(F88,BQ88:CF88,0))))</f>
        <v/>
      </c>
      <c r="F88" s="19" t="str">
        <f>IF(A88="","",IF(COUNT(BQ88:CF88)=0,"",MIN(BQ88:CF88)))</f>
        <v/>
      </c>
      <c r="G88" s="18" t="str">
        <f ca="1">IF(A88="","",MAX(0,IF(AND(ISNUMBER(Q88),S88&lt;&gt;"Completed",S88&lt;&gt;"N/A",Q88&lt;TODAY()),TODAY()-Q88,0),IF(AND(ISNUMBER(T88),V88&lt;&gt;"Completed",V88&lt;&gt;"N/A",T88&lt;TODAY()),TODAY()-T88,0),IF(AND(ISNUMBER(W88),Y88&lt;&gt;"Completed",Y88&lt;&gt;"N/A",W88&lt;TODAY()),TODAY()-W88,0),IF(AND(ISNUMBER(AA88),AC88&lt;&gt;"Completed",AC88&lt;&gt;"N/A",AA88&lt;TODAY()),TODAY()-AA88,0),IF(AND(ISNUMBER(AG88),AI88&lt;&gt;"Completed",AI88&lt;&gt;"N/A",AG88&lt;TODAY()),TODAY()-AG88,0),IF(AND(ISNUMBER(AJ88),AL88&lt;&gt;"Completed",AL88&lt;&gt;"N/A",AJ88&lt;TODAY()),TODAY()-AJ88,0),IF(AND(ISNUMBER(AM88),AO88&lt;&gt;"Completed",AO88&lt;&gt;"N/A",AM88&lt;TODAY()),TODAY()-AM88,0),IF(AND(ISNUMBER(AP88),AR88&lt;&gt;"Completed",AR88&lt;&gt;"N/A",AP88&lt;TODAY()),TODAY()-AP88,0),IF(AND(ISNUMBER(AU88),AW88&lt;&gt;"Completed",AW88&lt;&gt;"N/A",AU88&lt;TODAY()),TODAY()-AU88,0),IF(AND(ISNUMBER(AX88),AZ88&lt;&gt;"Completed",AZ88&lt;&gt;"N/A",AX88&lt;TODAY()),TODAY()-AX88,0),IF(AND(ISNUMBER(BA88),BC88&lt;&gt;"Completed",BC88&lt;&gt;"N/A",BA88&lt;TODAY()),TODAY()-BA88,0),IF(AND(ISNUMBER(BD88),BF88&lt;&gt;"Completed",BF88&lt;&gt;"N/A",BD88&lt;TODAY()),TODAY()-BD88,0),IF(AND(ISNUMBER(O88),P88&lt;&gt;"Completed",P88&lt;&gt;"N/A",O88&lt;TODAY()),TODAY()-O88,0),IF(AND(ISNUMBER(BM88),BN88&lt;&gt;"Completed",BN88&lt;&gt;"N/A",BM88&lt;TODAY()),TODAY()-BM88,0),IF(AND(ISNUMBER(BK88),BL88&lt;&gt;"Completed",BL88&lt;&gt;"N/A",BK88&lt;TODAY()),TODAY()-BK88,0),IF(AND(ISNUMBER(BI88),BJ88&lt;&gt;"Completed",BJ88&lt;&gt;"N/A",BI88&lt;TODAY()),TODAY()-BI88,0)))</f>
        <v/>
      </c>
      <c r="H88" s="17"/>
      <c r="I88" s="17"/>
      <c r="J88" s="17"/>
      <c r="K88" s="19" t="str">
        <f>IF(ISNUMBER(H88),H88,IF(ISNUMBER(M88),M88-WEEKDAY(M88,2)+1-7,""))</f>
        <v/>
      </c>
      <c r="L88" s="19" t="str">
        <f>IF(ISNUMBER(I88),I88,IF(ISNUMBER(H88),WORKDAY(H88,SprintWorkingDays-1),IF(ISNUMBER(K88),WORKDAY(K88,SprintWorkingDays-1),"")))</f>
        <v/>
      </c>
      <c r="M88" s="19" t="str">
        <f>IF(ISNUMBER(J88),J88,IF(ISNUMBER(I88),I88-IF(OR(WEEKDAY(I88,2)=2,WEEKDAY(I88,2)=4),0,IF(WEEKDAY(I88,2)=3,1,IF(WEEKDAY(I88,2)=1,4,WEEKDAY(I88,2)-4))),IF(ISNUMBER(H88),WORKDAY(H88,SprintWorkingDays-1)-IF(OR(WEEKDAY(WORKDAY(H88,SprintWorkingDays-1),2)=2,WEEKDAY(WORKDAY(H88,SprintWorkingDays-1),2)=4),0,IF(WEEKDAY(WORKDAY(H88,SprintWorkingDays-1),2)=3,1,IF(WEEKDAY(WORKDAY(H88,SprintWorkingDays-1),2)=1,4,WEEKDAY(WORKDAY(H88,SprintWorkingDays-1),2)-4))),"")))</f>
        <v/>
      </c>
      <c r="N88" s="19" t="str">
        <f>IF(NOT(ISNUMBER(K88)),"",WORKDAY(K88,ReadyOffsetWD))</f>
        <v/>
      </c>
      <c r="O88" s="19" t="str">
        <f>IF(NOT(ISNUMBER(K88)),"",WORKDAY(K88,SprintReadinessOffsetWD))</f>
        <v/>
      </c>
      <c r="P88" s="17"/>
      <c r="Q88" s="19" t="str">
        <f>IF(A88="","",IF(V88="N/A",IF(NOT(ISNUMBER(W88)),"",WORKDAY(W88,RTSKOffsetFromOUR_WD)),IF(NOT(ISNUMBER(T88)),"",WORKDAY(T88,RTSKOffsetFromOUR_WD))))</f>
        <v/>
      </c>
      <c r="R88" s="17"/>
      <c r="S88" s="17"/>
      <c r="T88" s="19" t="str">
        <f>IF(OR(A88="",V88="N/A"),"",IF(NOT(ISNUMBER(W88)),"",WORKDAY(W88,OUROffsetFromSR_WD)))</f>
        <v/>
      </c>
      <c r="U88" s="17"/>
      <c r="V88" s="17"/>
      <c r="W88" s="19" t="str">
        <f>IF(OR(A88="",NOT(ISNUMBER(K88))),"",WORKDAY(K88,SROffsetFromStartWD))</f>
        <v/>
      </c>
      <c r="X88" s="17"/>
      <c r="Y88" s="17"/>
      <c r="Z88" s="17"/>
      <c r="AA88" s="19" t="str">
        <f>IF(OR(Z88="",Z88="N/A"),"",IF(ISNUMBER(Q88),Q88,""))</f>
        <v/>
      </c>
      <c r="AB88" s="17"/>
      <c r="AC88" s="17"/>
      <c r="AD88" s="17"/>
      <c r="AE88" s="17"/>
      <c r="AF88" s="17" t="str">
        <f>IF(Z88="N/A","N/A","")</f>
        <v/>
      </c>
      <c r="AG88" s="19" t="str">
        <f>IF(NOT(ISNUMBER(Q88)),"",Q88)</f>
        <v/>
      </c>
      <c r="AH88" s="17"/>
      <c r="AI88" s="17"/>
      <c r="AJ88" s="19" t="str">
        <f>IF(OR(AL88="N/A",NOT(ISNUMBER(T88))),"",T88)</f>
        <v/>
      </c>
      <c r="AK88" s="17"/>
      <c r="AL88" s="17"/>
      <c r="AM88" s="19" t="str">
        <f>IF(NOT(ISNUMBER(W88)),"",W88)</f>
        <v/>
      </c>
      <c r="AN88" s="17"/>
      <c r="AO88" s="17"/>
      <c r="AP88" s="19" t="str">
        <f>IF(OR(Z88="",Z88="N/A"),"",IF(ISNUMBER(AG88),AG88,""))</f>
        <v/>
      </c>
      <c r="AQ88" s="17"/>
      <c r="AR88" s="17"/>
      <c r="AS88" s="17"/>
      <c r="AT88" s="17"/>
      <c r="AU88" s="19" t="str">
        <f>IF(NOT(ISNUMBER(Q88)),"",Q88)</f>
        <v/>
      </c>
      <c r="AV88" s="17"/>
      <c r="AW88" s="17"/>
      <c r="AX88" s="19" t="str">
        <f>IF(OR(AZ88="N/A",NOT(ISNUMBER(T88))),"",T88)</f>
        <v/>
      </c>
      <c r="AY88" s="17"/>
      <c r="AZ88" s="17"/>
      <c r="BA88" s="19" t="str">
        <f>IF(NOT(ISNUMBER(W88)),"",W88)</f>
        <v/>
      </c>
      <c r="BB88" s="17"/>
      <c r="BC88" s="17"/>
      <c r="BD88" s="19" t="str">
        <f>IF(OR(Z88="",Z88="N/A"),"",IF(ISNUMBER(AU88),AU88,""))</f>
        <v/>
      </c>
      <c r="BE88" s="17"/>
      <c r="BF88" s="17"/>
      <c r="BG88" s="17"/>
      <c r="BH88" s="17"/>
      <c r="BI88" s="89" t="e">
        <f>IF(OR(A88="",NOT(ISNUMBER(M88)),AND(WEEKDAY(M88,2)&lt;&gt;2,WEEKDAY(M88,2)&lt;&gt;4)),"",WORKDAY(M88,CABOffsetFromReleaseWD))</f>
        <v>#VALUE!</v>
      </c>
      <c r="BJ88" s="17"/>
      <c r="BK88" s="19" t="str">
        <f>IF(NOT(ISNUMBER(BI88)),"",IF(WEEKDAY(BI88-CodeReviewCalendarDays,2)&gt;5,BI88-CodeReviewCalendarDays-(WEEKDAY(BI88-CodeReviewCalendarDays,2)-5),BI88-CodeReviewCalendarDays))</f>
        <v/>
      </c>
      <c r="BL88" s="17"/>
      <c r="BM88" s="19" t="str">
        <f>IF(NOT(ISNUMBER(BK88)),"",IF(WEEKDAY(BK88-CodeReviewInviteCalendarDays,2)&gt;5,BK88-CodeReviewInviteCalendarDays-(WEEKDAY(BK88-CodeReviewInviteCalendarDays,2)-5),BK88-CodeReviewInviteCalendarDays))</f>
        <v/>
      </c>
      <c r="BN88" s="17"/>
      <c r="BO88" s="17"/>
      <c r="BP88" s="18" t="str">
        <f ca="1">IF(A88="","",IF(IF(AND(ISNUMBER(J88),WEEKDAY(J88,2)&lt;&gt;2,WEEKDAY(J88,2)&lt;&gt;4)," | Release must be Tuesday or Thursday","")&amp;IF(AND(ISNUMBER(H88),WEEKDAY(H88,2)&lt;&gt;1)," | Sprint Start is not a Monday - dates still calculated from the date entered","")&amp;IF(AND(A88&lt;&gt;"",NOT(ISNUMBER(H88)),NOT(ISNUMBER(J88)))," | Enter Sprint Start or Release Date","")&amp;IF(AND(ISNUMBER(F88),F88&lt;TODAY(),D88&lt;&gt;"Completed")," | One or more raise-by dates are in the past and not completed","")&amp;IF(AND(ISNUMBER(K88),K88-TODAY()&lt;SprintWarningDays,K88&gt;=TODAY(),OR(D88="Yet to start",D88="Blocked"))," | Sprint starts in under 10 days - raise access requests now","")&amp;IF(AND(ISNUMBER(BM88),BN88&lt;&gt;"Completed",BN88&lt;&gt;"N/A",BM88-TODAY()&lt;CodeReviewInviteCalendarDays)," | Code Review invite should be sent at least 4 days before Code Review","")="","",MID(IF(AND(ISNUMBER(J88),WEEKDAY(J88,2)&lt;&gt;2,WEEKDAY(J88,2)&lt;&gt;4)," | Release must be Tuesday or Thursday","")&amp;IF(AND(ISNUMBER(H88),WEEKDAY(H88,2)&lt;&gt;1)," | Sprint Start is not a Monday - dates still calculated from the date entered","")&amp;IF(AND(A88&lt;&gt;"",NOT(ISNUMBER(H88)),NOT(ISNUMBER(J88)))," | Enter Sprint Start or Release Date","")&amp;IF(AND(ISNUMBER(F88),F88&lt;TODAY(),D88&lt;&gt;"Completed")," | One or more raise-by dates are in the past and not completed","")&amp;IF(AND(ISNUMBER(K88),K88-TODAY()&lt;SprintWarningDays,K88&gt;=TODAY(),OR(D88="Yet to start",D88="Blocked"))," | Sprint starts in under 10 days - raise access requests now","")&amp;IF(AND(ISNUMBER(BM88),BN88&lt;&gt;"Completed",BN88&lt;&gt;"N/A",BM88-TODAY()&lt;CodeReviewInviteCalendarDays)," | Code Review invite should be sent at least 4 days before Code Review",""),4,500)))</f>
        <v/>
      </c>
      <c r="BQ88" s="85" t="str">
        <f>IF(AND(ISNUMBER(Q88),S88&lt;&gt;"Completed",S88&lt;&gt;"N/A"),Q88,"")</f>
        <v/>
      </c>
      <c r="BR88" s="85" t="str">
        <f>IF(AND(ISNUMBER(T88),V88&lt;&gt;"Completed",V88&lt;&gt;"N/A"),T88,"")</f>
        <v/>
      </c>
      <c r="BS88" s="85" t="str">
        <f>IF(AND(ISNUMBER(W88),Y88&lt;&gt;"Completed",Y88&lt;&gt;"N/A"),W88,"")</f>
        <v/>
      </c>
      <c r="BT88" s="85" t="str">
        <f>IF(AND(ISNUMBER(AA88),AC88&lt;&gt;"Completed",AC88&lt;&gt;"N/A"),AA88,"")</f>
        <v/>
      </c>
      <c r="BU88" s="85" t="str">
        <f>IF(AND(ISNUMBER(AG88),AI88&lt;&gt;"Completed",AI88&lt;&gt;"N/A"),AG88,"")</f>
        <v/>
      </c>
      <c r="BV88" s="85" t="str">
        <f>IF(AND(ISNUMBER(AJ88),AL88&lt;&gt;"Completed",AL88&lt;&gt;"N/A"),AJ88,"")</f>
        <v/>
      </c>
      <c r="BW88" s="85" t="str">
        <f>IF(AND(ISNUMBER(AM88),AO88&lt;&gt;"Completed",AO88&lt;&gt;"N/A"),AM88,"")</f>
        <v/>
      </c>
      <c r="BX88" s="85" t="str">
        <f>IF(AND(ISNUMBER(AP88),AR88&lt;&gt;"Completed",AR88&lt;&gt;"N/A"),AP88,"")</f>
        <v/>
      </c>
      <c r="BY88" s="85" t="str">
        <f>IF(AND(ISNUMBER(AU88),AW88&lt;&gt;"Completed",AW88&lt;&gt;"N/A"),AU88,"")</f>
        <v/>
      </c>
      <c r="BZ88" s="85" t="str">
        <f>IF(AND(ISNUMBER(AX88),AZ88&lt;&gt;"Completed",AZ88&lt;&gt;"N/A"),AX88,"")</f>
        <v/>
      </c>
      <c r="CA88" s="85" t="str">
        <f>IF(AND(ISNUMBER(BA88),BC88&lt;&gt;"Completed",BC88&lt;&gt;"N/A"),BA88,"")</f>
        <v/>
      </c>
      <c r="CB88" s="85" t="str">
        <f>IF(AND(ISNUMBER(BD88),BF88&lt;&gt;"Completed",BF88&lt;&gt;"N/A"),BD88,"")</f>
        <v/>
      </c>
      <c r="CC88" s="85" t="str">
        <f>IF(AND(ISNUMBER(O88),P88&lt;&gt;"Completed",P88&lt;&gt;"N/A"),O88,"")</f>
        <v/>
      </c>
      <c r="CD88" s="85" t="str">
        <f>IF(AND(ISNUMBER(BM88),BN88&lt;&gt;"Completed",BN88&lt;&gt;"N/A"),BM88,"")</f>
        <v/>
      </c>
      <c r="CE88" s="85" t="str">
        <f>IF(AND(ISNUMBER(BK88),BL88&lt;&gt;"Completed",BL88&lt;&gt;"N/A"),BK88,"")</f>
        <v/>
      </c>
      <c r="CF88" s="85" t="str">
        <f>IF(AND(ISNUMBER(BI88),BJ88&lt;&gt;"Completed",BJ88&lt;&gt;"N/A"),BI88,"")</f>
        <v/>
      </c>
      <c r="CG88" s="85" t="str">
        <f ca="1">IF(OR(A88="",D88="Completed"),"",IF(N(G88)&gt;0,1/(N(G88)+ROW()/100000),IF(ISNUMBER(F88),1000+F88+ROW()/100000,TODAY()+400+ROW()/100000)))</f>
        <v/>
      </c>
    </row>
    <row r="89" spans="1:85">
      <c r="A89" s="17"/>
      <c r="B89" s="17"/>
      <c r="C89" s="17"/>
      <c r="D89" s="18" t="str">
        <f>IF(A89="","",IF(((S89="Blocked")+(V89="Blocked")+(Y89="Blocked")+(AC89="Blocked")+(AI89="Blocked")+(AL89="Blocked")+(AO89="Blocked")+(AR89="Blocked")+(AW89="Blocked")+(AZ89="Blocked")+(BC89="Blocked")+(BF89="Blocked")+(P89="Blocked")+(BJ89="Blocked")+(BL89="Blocked")+(BN89="Blocked")+(BO89="Blocked"))&gt;0,"Blocked",IF((ISNUMBER(Q89)+ISNUMBER(T89)+ISNUMBER(W89)+ISNUMBER(AA89)+ISNUMBER(AG89)+ISNUMBER(AJ89)+ISNUMBER(AM89)+ISNUMBER(AP89)+ISNUMBER(AU89)+ISNUMBER(AX89)+ISNUMBER(BA89)+ISNUMBER(BD89)+ISNUMBER(O89)+ISNUMBER(BI89)+ISNUMBER(BK89)+ISNUMBER(BM89))=0,"Yet to start",IF(AND(OR(NOT(ISNUMBER(Q89)),S89="Completed",S89="N/A"),OR(NOT(ISNUMBER(T89)),V89="Completed",V89="N/A"),OR(NOT(ISNUMBER(W89)),Y89="Completed",Y89="N/A"),OR(NOT(ISNUMBER(AA89)),AC89="Completed",AC89="N/A"),OR(NOT(ISNUMBER(AG89)),AI89="Completed",AI89="N/A"),OR(NOT(ISNUMBER(AJ89)),AL89="Completed",AL89="N/A"),OR(NOT(ISNUMBER(AM89)),AO89="Completed",AO89="N/A"),OR(NOT(ISNUMBER(AP89)),AR89="Completed",AR89="N/A"),OR(NOT(ISNUMBER(AU89)),AW89="Completed",AW89="N/A"),OR(NOT(ISNUMBER(AX89)),AZ89="Completed",AZ89="N/A"),OR(NOT(ISNUMBER(BA89)),BC89="Completed",BC89="N/A"),OR(NOT(ISNUMBER(BD89)),BF89="Completed",BF89="N/A"),OR(NOT(ISNUMBER(O89)),P89="Completed",P89="N/A"),OR(NOT(ISNUMBER(BI89)),BJ89="Completed",BJ89="N/A"),OR(NOT(ISNUMBER(BK89)),BL89="Completed",BL89="N/A"),OR(NOT(ISNUMBER(BM89)),BN89="Completed",BN89="N/A"),OR(BO89="Completed",BO89="N/A")),"Completed",IF(((S89="In Progress")+(V89="In Progress")+(Y89="In Progress")+(AC89="In Progress")+(AI89="In Progress")+(AL89="In Progress")+(AO89="In Progress")+(AR89="In Progress")+(AW89="In Progress")+(AZ89="In Progress")+(BC89="In Progress")+(BF89="In Progress")+(P89="In Progress")+(BJ89="In Progress")+(BL89="In Progress")+(BN89="In Progress")+(BO89="In Progress"))&gt;0,"In Progress","Yet to start")))))</f>
        <v/>
      </c>
      <c r="E89" s="18" t="str">
        <f>IF(A89="","",IF(F89="","All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Review","CAB"},MATCH(F89,BQ89:CF89,0))))</f>
        <v/>
      </c>
      <c r="F89" s="19" t="str">
        <f>IF(A89="","",IF(COUNT(BQ89:CF89)=0,"",MIN(BQ89:CF89)))</f>
        <v/>
      </c>
      <c r="G89" s="18" t="str">
        <f ca="1">IF(A89="","",MAX(0,IF(AND(ISNUMBER(Q89),S89&lt;&gt;"Completed",S89&lt;&gt;"N/A",Q89&lt;TODAY()),TODAY()-Q89,0),IF(AND(ISNUMBER(T89),V89&lt;&gt;"Completed",V89&lt;&gt;"N/A",T89&lt;TODAY()),TODAY()-T89,0),IF(AND(ISNUMBER(W89),Y89&lt;&gt;"Completed",Y89&lt;&gt;"N/A",W89&lt;TODAY()),TODAY()-W89,0),IF(AND(ISNUMBER(AA89),AC89&lt;&gt;"Completed",AC89&lt;&gt;"N/A",AA89&lt;TODAY()),TODAY()-AA89,0),IF(AND(ISNUMBER(AG89),AI89&lt;&gt;"Completed",AI89&lt;&gt;"N/A",AG89&lt;TODAY()),TODAY()-AG89,0),IF(AND(ISNUMBER(AJ89),AL89&lt;&gt;"Completed",AL89&lt;&gt;"N/A",AJ89&lt;TODAY()),TODAY()-AJ89,0),IF(AND(ISNUMBER(AM89),AO89&lt;&gt;"Completed",AO89&lt;&gt;"N/A",AM89&lt;TODAY()),TODAY()-AM89,0),IF(AND(ISNUMBER(AP89),AR89&lt;&gt;"Completed",AR89&lt;&gt;"N/A",AP89&lt;TODAY()),TODAY()-AP89,0),IF(AND(ISNUMBER(AU89),AW89&lt;&gt;"Completed",AW89&lt;&gt;"N/A",AU89&lt;TODAY()),TODAY()-AU89,0),IF(AND(ISNUMBER(AX89),AZ89&lt;&gt;"Completed",AZ89&lt;&gt;"N/A",AX89&lt;TODAY()),TODAY()-AX89,0),IF(AND(ISNUMBER(BA89),BC89&lt;&gt;"Completed",BC89&lt;&gt;"N/A",BA89&lt;TODAY()),TODAY()-BA89,0),IF(AND(ISNUMBER(BD89),BF89&lt;&gt;"Completed",BF89&lt;&gt;"N/A",BD89&lt;TODAY()),TODAY()-BD89,0),IF(AND(ISNUMBER(O89),P89&lt;&gt;"Completed",P89&lt;&gt;"N/A",O89&lt;TODAY()),TODAY()-O89,0),IF(AND(ISNUMBER(BM89),BN89&lt;&gt;"Completed",BN89&lt;&gt;"N/A",BM89&lt;TODAY()),TODAY()-BM89,0),IF(AND(ISNUMBER(BK89),BL89&lt;&gt;"Completed",BL89&lt;&gt;"N/A",BK89&lt;TODAY()),TODAY()-BK89,0),IF(AND(ISNUMBER(BI89),BJ89&lt;&gt;"Completed",BJ89&lt;&gt;"N/A",BI89&lt;TODAY()),TODAY()-BI89,0)))</f>
        <v/>
      </c>
      <c r="H89" s="17"/>
      <c r="I89" s="17"/>
      <c r="J89" s="17"/>
      <c r="K89" s="19" t="str">
        <f>IF(ISNUMBER(H89),H89,IF(ISNUMBER(M89),M89-WEEKDAY(M89,2)+1-7,""))</f>
        <v/>
      </c>
      <c r="L89" s="19" t="str">
        <f>IF(ISNUMBER(I89),I89,IF(ISNUMBER(H89),WORKDAY(H89,SprintWorkingDays-1),IF(ISNUMBER(K89),WORKDAY(K89,SprintWorkingDays-1),"")))</f>
        <v/>
      </c>
      <c r="M89" s="19" t="str">
        <f>IF(ISNUMBER(J89),J89,IF(ISNUMBER(I89),I89-IF(OR(WEEKDAY(I89,2)=2,WEEKDAY(I89,2)=4),0,IF(WEEKDAY(I89,2)=3,1,IF(WEEKDAY(I89,2)=1,4,WEEKDAY(I89,2)-4))),IF(ISNUMBER(H89),WORKDAY(H89,SprintWorkingDays-1)-IF(OR(WEEKDAY(WORKDAY(H89,SprintWorkingDays-1),2)=2,WEEKDAY(WORKDAY(H89,SprintWorkingDays-1),2)=4),0,IF(WEEKDAY(WORKDAY(H89,SprintWorkingDays-1),2)=3,1,IF(WEEKDAY(WORKDAY(H89,SprintWorkingDays-1),2)=1,4,WEEKDAY(WORKDAY(H89,SprintWorkingDays-1),2)-4))),"")))</f>
        <v/>
      </c>
      <c r="N89" s="19" t="str">
        <f>IF(NOT(ISNUMBER(K89)),"",WORKDAY(K89,ReadyOffsetWD))</f>
        <v/>
      </c>
      <c r="O89" s="19" t="str">
        <f>IF(NOT(ISNUMBER(K89)),"",WORKDAY(K89,SprintReadinessOffsetWD))</f>
        <v/>
      </c>
      <c r="P89" s="17"/>
      <c r="Q89" s="19" t="str">
        <f>IF(A89="","",IF(V89="N/A",IF(NOT(ISNUMBER(W89)),"",WORKDAY(W89,RTSKOffsetFromOUR_WD)),IF(NOT(ISNUMBER(T89)),"",WORKDAY(T89,RTSKOffsetFromOUR_WD))))</f>
        <v/>
      </c>
      <c r="R89" s="17"/>
      <c r="S89" s="17"/>
      <c r="T89" s="19" t="str">
        <f>IF(OR(A89="",V89="N/A"),"",IF(NOT(ISNUMBER(W89)),"",WORKDAY(W89,OUROffsetFromSR_WD)))</f>
        <v/>
      </c>
      <c r="U89" s="17"/>
      <c r="V89" s="17"/>
      <c r="W89" s="19" t="str">
        <f>IF(OR(A89="",NOT(ISNUMBER(K89))),"",WORKDAY(K89,SROffsetFromStartWD))</f>
        <v/>
      </c>
      <c r="X89" s="17"/>
      <c r="Y89" s="17"/>
      <c r="Z89" s="17"/>
      <c r="AA89" s="19" t="str">
        <f>IF(OR(Z89="",Z89="N/A"),"",IF(ISNUMBER(Q89),Q89,""))</f>
        <v/>
      </c>
      <c r="AB89" s="17"/>
      <c r="AC89" s="17"/>
      <c r="AD89" s="17"/>
      <c r="AE89" s="17"/>
      <c r="AF89" s="17" t="str">
        <f>IF(Z89="N/A","N/A","")</f>
        <v/>
      </c>
      <c r="AG89" s="19" t="str">
        <f>IF(NOT(ISNUMBER(Q89)),"",Q89)</f>
        <v/>
      </c>
      <c r="AH89" s="17"/>
      <c r="AI89" s="17"/>
      <c r="AJ89" s="19" t="str">
        <f>IF(OR(AL89="N/A",NOT(ISNUMBER(T89))),"",T89)</f>
        <v/>
      </c>
      <c r="AK89" s="17"/>
      <c r="AL89" s="17"/>
      <c r="AM89" s="19" t="str">
        <f>IF(NOT(ISNUMBER(W89)),"",W89)</f>
        <v/>
      </c>
      <c r="AN89" s="17"/>
      <c r="AO89" s="17"/>
      <c r="AP89" s="19" t="str">
        <f>IF(OR(Z89="",Z89="N/A"),"",IF(ISNUMBER(AG89),AG89,""))</f>
        <v/>
      </c>
      <c r="AQ89" s="17"/>
      <c r="AR89" s="17"/>
      <c r="AS89" s="17"/>
      <c r="AT89" s="17"/>
      <c r="AU89" s="19" t="str">
        <f>IF(NOT(ISNUMBER(Q89)),"",Q89)</f>
        <v/>
      </c>
      <c r="AV89" s="17"/>
      <c r="AW89" s="17"/>
      <c r="AX89" s="19" t="str">
        <f>IF(OR(AZ89="N/A",NOT(ISNUMBER(T89))),"",T89)</f>
        <v/>
      </c>
      <c r="AY89" s="17"/>
      <c r="AZ89" s="17"/>
      <c r="BA89" s="19" t="str">
        <f>IF(NOT(ISNUMBER(W89)),"",W89)</f>
        <v/>
      </c>
      <c r="BB89" s="17"/>
      <c r="BC89" s="17"/>
      <c r="BD89" s="19" t="str">
        <f>IF(OR(Z89="",Z89="N/A"),"",IF(ISNUMBER(AU89),AU89,""))</f>
        <v/>
      </c>
      <c r="BE89" s="17"/>
      <c r="BF89" s="17"/>
      <c r="BG89" s="17"/>
      <c r="BH89" s="17"/>
      <c r="BI89" s="89" t="e">
        <f>IF(OR(A89="",NOT(ISNUMBER(M89)),AND(WEEKDAY(M89,2)&lt;&gt;2,WEEKDAY(M89,2)&lt;&gt;4)),"",WORKDAY(M89,CABOffsetFromReleaseWD))</f>
        <v>#VALUE!</v>
      </c>
      <c r="BJ89" s="17"/>
      <c r="BK89" s="19" t="str">
        <f>IF(NOT(ISNUMBER(BI89)),"",IF(WEEKDAY(BI89-CodeReviewCalendarDays,2)&gt;5,BI89-CodeReviewCalendarDays-(WEEKDAY(BI89-CodeReviewCalendarDays,2)-5),BI89-CodeReviewCalendarDays))</f>
        <v/>
      </c>
      <c r="BL89" s="17"/>
      <c r="BM89" s="19" t="str">
        <f>IF(NOT(ISNUMBER(BK89)),"",IF(WEEKDAY(BK89-CodeReviewInviteCalendarDays,2)&gt;5,BK89-CodeReviewInviteCalendarDays-(WEEKDAY(BK89-CodeReviewInviteCalendarDays,2)-5),BK89-CodeReviewInviteCalendarDays))</f>
        <v/>
      </c>
      <c r="BN89" s="17"/>
      <c r="BO89" s="17"/>
      <c r="BP89" s="18" t="str">
        <f ca="1">IF(A89="","",IF(IF(AND(ISNUMBER(J89),WEEKDAY(J89,2)&lt;&gt;2,WEEKDAY(J89,2)&lt;&gt;4)," | Release must be Tuesday or Thursday","")&amp;IF(AND(ISNUMBER(H89),WEEKDAY(H89,2)&lt;&gt;1)," | Sprint Start is not a Monday - dates still calculated from the date entered","")&amp;IF(AND(A89&lt;&gt;"",NOT(ISNUMBER(H89)),NOT(ISNUMBER(J89)))," | Enter Sprint Start or Release Date","")&amp;IF(AND(ISNUMBER(F89),F89&lt;TODAY(),D89&lt;&gt;"Completed")," | One or more raise-by dates are in the past and not completed","")&amp;IF(AND(ISNUMBER(K89),K89-TODAY()&lt;SprintWarningDays,K89&gt;=TODAY(),OR(D89="Yet to start",D89="Blocked"))," | Sprint starts in under 10 days - raise access requests now","")&amp;IF(AND(ISNUMBER(BM89),BN89&lt;&gt;"Completed",BN89&lt;&gt;"N/A",BM89-TODAY()&lt;CodeReviewInviteCalendarDays)," | Code Review invite should be sent at least 4 days before Code Review","")="","",MID(IF(AND(ISNUMBER(J89),WEEKDAY(J89,2)&lt;&gt;2,WEEKDAY(J89,2)&lt;&gt;4)," | Release must be Tuesday or Thursday","")&amp;IF(AND(ISNUMBER(H89),WEEKDAY(H89,2)&lt;&gt;1)," | Sprint Start is not a Monday - dates still calculated from the date entered","")&amp;IF(AND(A89&lt;&gt;"",NOT(ISNUMBER(H89)),NOT(ISNUMBER(J89)))," | Enter Sprint Start or Release Date","")&amp;IF(AND(ISNUMBER(F89),F89&lt;TODAY(),D89&lt;&gt;"Completed")," | One or more raise-by dates are in the past and not completed","")&amp;IF(AND(ISNUMBER(K89),K89-TODAY()&lt;SprintWarningDays,K89&gt;=TODAY(),OR(D89="Yet to start",D89="Blocked"))," | Sprint starts in under 10 days - raise access requests now","")&amp;IF(AND(ISNUMBER(BM89),BN89&lt;&gt;"Completed",BN89&lt;&gt;"N/A",BM89-TODAY()&lt;CodeReviewInviteCalendarDays)," | Code Review invite should be sent at least 4 days before Code Review",""),4,500)))</f>
        <v/>
      </c>
      <c r="BQ89" s="85" t="str">
        <f>IF(AND(ISNUMBER(Q89),S89&lt;&gt;"Completed",S89&lt;&gt;"N/A"),Q89,"")</f>
        <v/>
      </c>
      <c r="BR89" s="85" t="str">
        <f>IF(AND(ISNUMBER(T89),V89&lt;&gt;"Completed",V89&lt;&gt;"N/A"),T89,"")</f>
        <v/>
      </c>
      <c r="BS89" s="85" t="str">
        <f>IF(AND(ISNUMBER(W89),Y89&lt;&gt;"Completed",Y89&lt;&gt;"N/A"),W89,"")</f>
        <v/>
      </c>
      <c r="BT89" s="85" t="str">
        <f>IF(AND(ISNUMBER(AA89),AC89&lt;&gt;"Completed",AC89&lt;&gt;"N/A"),AA89,"")</f>
        <v/>
      </c>
      <c r="BU89" s="85" t="str">
        <f>IF(AND(ISNUMBER(AG89),AI89&lt;&gt;"Completed",AI89&lt;&gt;"N/A"),AG89,"")</f>
        <v/>
      </c>
      <c r="BV89" s="85" t="str">
        <f>IF(AND(ISNUMBER(AJ89),AL89&lt;&gt;"Completed",AL89&lt;&gt;"N/A"),AJ89,"")</f>
        <v/>
      </c>
      <c r="BW89" s="85" t="str">
        <f>IF(AND(ISNUMBER(AM89),AO89&lt;&gt;"Completed",AO89&lt;&gt;"N/A"),AM89,"")</f>
        <v/>
      </c>
      <c r="BX89" s="85" t="str">
        <f>IF(AND(ISNUMBER(AP89),AR89&lt;&gt;"Completed",AR89&lt;&gt;"N/A"),AP89,"")</f>
        <v/>
      </c>
      <c r="BY89" s="85" t="str">
        <f>IF(AND(ISNUMBER(AU89),AW89&lt;&gt;"Completed",AW89&lt;&gt;"N/A"),AU89,"")</f>
        <v/>
      </c>
      <c r="BZ89" s="85" t="str">
        <f>IF(AND(ISNUMBER(AX89),AZ89&lt;&gt;"Completed",AZ89&lt;&gt;"N/A"),AX89,"")</f>
        <v/>
      </c>
      <c r="CA89" s="85" t="str">
        <f>IF(AND(ISNUMBER(BA89),BC89&lt;&gt;"Completed",BC89&lt;&gt;"N/A"),BA89,"")</f>
        <v/>
      </c>
      <c r="CB89" s="85" t="str">
        <f>IF(AND(ISNUMBER(BD89),BF89&lt;&gt;"Completed",BF89&lt;&gt;"N/A"),BD89,"")</f>
        <v/>
      </c>
      <c r="CC89" s="85" t="str">
        <f>IF(AND(ISNUMBER(O89),P89&lt;&gt;"Completed",P89&lt;&gt;"N/A"),O89,"")</f>
        <v/>
      </c>
      <c r="CD89" s="85" t="str">
        <f>IF(AND(ISNUMBER(BM89),BN89&lt;&gt;"Completed",BN89&lt;&gt;"N/A"),BM89,"")</f>
        <v/>
      </c>
      <c r="CE89" s="85" t="str">
        <f>IF(AND(ISNUMBER(BK89),BL89&lt;&gt;"Completed",BL89&lt;&gt;"N/A"),BK89,"")</f>
        <v/>
      </c>
      <c r="CF89" s="85" t="str">
        <f>IF(AND(ISNUMBER(BI89),BJ89&lt;&gt;"Completed",BJ89&lt;&gt;"N/A"),BI89,"")</f>
        <v/>
      </c>
      <c r="CG89" s="85" t="str">
        <f ca="1">IF(OR(A89="",D89="Completed"),"",IF(N(G89)&gt;0,1/(N(G89)+ROW()/100000),IF(ISNUMBER(F89),1000+F89+ROW()/100000,TODAY()+400+ROW()/100000)))</f>
        <v/>
      </c>
    </row>
    <row r="90" spans="1:85">
      <c r="A90" s="17"/>
      <c r="B90" s="17"/>
      <c r="C90" s="17"/>
      <c r="D90" s="18" t="str">
        <f>IF(A90="","",IF(((S90="Blocked")+(V90="Blocked")+(Y90="Blocked")+(AC90="Blocked")+(AI90="Blocked")+(AL90="Blocked")+(AO90="Blocked")+(AR90="Blocked")+(AW90="Blocked")+(AZ90="Blocked")+(BC90="Blocked")+(BF90="Blocked")+(P90="Blocked")+(BJ90="Blocked")+(BL90="Blocked")+(BN90="Blocked")+(BO90="Blocked"))&gt;0,"Blocked",IF((ISNUMBER(Q90)+ISNUMBER(T90)+ISNUMBER(W90)+ISNUMBER(AA90)+ISNUMBER(AG90)+ISNUMBER(AJ90)+ISNUMBER(AM90)+ISNUMBER(AP90)+ISNUMBER(AU90)+ISNUMBER(AX90)+ISNUMBER(BA90)+ISNUMBER(BD90)+ISNUMBER(O90)+ISNUMBER(BI90)+ISNUMBER(BK90)+ISNUMBER(BM90))=0,"Yet to start",IF(AND(OR(NOT(ISNUMBER(Q90)),S90="Completed",S90="N/A"),OR(NOT(ISNUMBER(T90)),V90="Completed",V90="N/A"),OR(NOT(ISNUMBER(W90)),Y90="Completed",Y90="N/A"),OR(NOT(ISNUMBER(AA90)),AC90="Completed",AC90="N/A"),OR(NOT(ISNUMBER(AG90)),AI90="Completed",AI90="N/A"),OR(NOT(ISNUMBER(AJ90)),AL90="Completed",AL90="N/A"),OR(NOT(ISNUMBER(AM90)),AO90="Completed",AO90="N/A"),OR(NOT(ISNUMBER(AP90)),AR90="Completed",AR90="N/A"),OR(NOT(ISNUMBER(AU90)),AW90="Completed",AW90="N/A"),OR(NOT(ISNUMBER(AX90)),AZ90="Completed",AZ90="N/A"),OR(NOT(ISNUMBER(BA90)),BC90="Completed",BC90="N/A"),OR(NOT(ISNUMBER(BD90)),BF90="Completed",BF90="N/A"),OR(NOT(ISNUMBER(O90)),P90="Completed",P90="N/A"),OR(NOT(ISNUMBER(BI90)),BJ90="Completed",BJ90="N/A"),OR(NOT(ISNUMBER(BK90)),BL90="Completed",BL90="N/A"),OR(NOT(ISNUMBER(BM90)),BN90="Completed",BN90="N/A"),OR(BO90="Completed",BO90="N/A")),"Completed",IF(((S90="In Progress")+(V90="In Progress")+(Y90="In Progress")+(AC90="In Progress")+(AI90="In Progress")+(AL90="In Progress")+(AO90="In Progress")+(AR90="In Progress")+(AW90="In Progress")+(AZ90="In Progress")+(BC90="In Progress")+(BF90="In Progress")+(P90="In Progress")+(BJ90="In Progress")+(BL90="In Progress")+(BN90="In Progress")+(BO90="In Progress"))&gt;0,"In Progress","Yet to start")))))</f>
        <v/>
      </c>
      <c r="E90" s="18" t="str">
        <f>IF(A90="","",IF(F90="","All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Review","CAB"},MATCH(F90,BQ90:CF90,0))))</f>
        <v/>
      </c>
      <c r="F90" s="19" t="str">
        <f>IF(A90="","",IF(COUNT(BQ90:CF90)=0,"",MIN(BQ90:CF90)))</f>
        <v/>
      </c>
      <c r="G90" s="18" t="str">
        <f ca="1">IF(A90="","",MAX(0,IF(AND(ISNUMBER(Q90),S90&lt;&gt;"Completed",S90&lt;&gt;"N/A",Q90&lt;TODAY()),TODAY()-Q90,0),IF(AND(ISNUMBER(T90),V90&lt;&gt;"Completed",V90&lt;&gt;"N/A",T90&lt;TODAY()),TODAY()-T90,0),IF(AND(ISNUMBER(W90),Y90&lt;&gt;"Completed",Y90&lt;&gt;"N/A",W90&lt;TODAY()),TODAY()-W90,0),IF(AND(ISNUMBER(AA90),AC90&lt;&gt;"Completed",AC90&lt;&gt;"N/A",AA90&lt;TODAY()),TODAY()-AA90,0),IF(AND(ISNUMBER(AG90),AI90&lt;&gt;"Completed",AI90&lt;&gt;"N/A",AG90&lt;TODAY()),TODAY()-AG90,0),IF(AND(ISNUMBER(AJ90),AL90&lt;&gt;"Completed",AL90&lt;&gt;"N/A",AJ90&lt;TODAY()),TODAY()-AJ90,0),IF(AND(ISNUMBER(AM90),AO90&lt;&gt;"Completed",AO90&lt;&gt;"N/A",AM90&lt;TODAY()),TODAY()-AM90,0),IF(AND(ISNUMBER(AP90),AR90&lt;&gt;"Completed",AR90&lt;&gt;"N/A",AP90&lt;TODAY()),TODAY()-AP90,0),IF(AND(ISNUMBER(AU90),AW90&lt;&gt;"Completed",AW90&lt;&gt;"N/A",AU90&lt;TODAY()),TODAY()-AU90,0),IF(AND(ISNUMBER(AX90),AZ90&lt;&gt;"Completed",AZ90&lt;&gt;"N/A",AX90&lt;TODAY()),TODAY()-AX90,0),IF(AND(ISNUMBER(BA90),BC90&lt;&gt;"Completed",BC90&lt;&gt;"N/A",BA90&lt;TODAY()),TODAY()-BA90,0),IF(AND(ISNUMBER(BD90),BF90&lt;&gt;"Completed",BF90&lt;&gt;"N/A",BD90&lt;TODAY()),TODAY()-BD90,0),IF(AND(ISNUMBER(O90),P90&lt;&gt;"Completed",P90&lt;&gt;"N/A",O90&lt;TODAY()),TODAY()-O90,0),IF(AND(ISNUMBER(BM90),BN90&lt;&gt;"Completed",BN90&lt;&gt;"N/A",BM90&lt;TODAY()),TODAY()-BM90,0),IF(AND(ISNUMBER(BK90),BL90&lt;&gt;"Completed",BL90&lt;&gt;"N/A",BK90&lt;TODAY()),TODAY()-BK90,0),IF(AND(ISNUMBER(BI90),BJ90&lt;&gt;"Completed",BJ90&lt;&gt;"N/A",BI90&lt;TODAY()),TODAY()-BI90,0)))</f>
        <v/>
      </c>
      <c r="H90" s="17"/>
      <c r="I90" s="17"/>
      <c r="J90" s="17"/>
      <c r="K90" s="19" t="str">
        <f>IF(ISNUMBER(H90),H90,IF(ISNUMBER(M90),M90-WEEKDAY(M90,2)+1-7,""))</f>
        <v/>
      </c>
      <c r="L90" s="19" t="str">
        <f>IF(ISNUMBER(I90),I90,IF(ISNUMBER(H90),WORKDAY(H90,SprintWorkingDays-1),IF(ISNUMBER(K90),WORKDAY(K90,SprintWorkingDays-1),"")))</f>
        <v/>
      </c>
      <c r="M90" s="19" t="str">
        <f>IF(ISNUMBER(J90),J90,IF(ISNUMBER(I90),I90-IF(OR(WEEKDAY(I90,2)=2,WEEKDAY(I90,2)=4),0,IF(WEEKDAY(I90,2)=3,1,IF(WEEKDAY(I90,2)=1,4,WEEKDAY(I90,2)-4))),IF(ISNUMBER(H90),WORKDAY(H90,SprintWorkingDays-1)-IF(OR(WEEKDAY(WORKDAY(H90,SprintWorkingDays-1),2)=2,WEEKDAY(WORKDAY(H90,SprintWorkingDays-1),2)=4),0,IF(WEEKDAY(WORKDAY(H90,SprintWorkingDays-1),2)=3,1,IF(WEEKDAY(WORKDAY(H90,SprintWorkingDays-1),2)=1,4,WEEKDAY(WORKDAY(H90,SprintWorkingDays-1),2)-4))),"")))</f>
        <v/>
      </c>
      <c r="N90" s="19" t="str">
        <f>IF(NOT(ISNUMBER(K90)),"",WORKDAY(K90,ReadyOffsetWD))</f>
        <v/>
      </c>
      <c r="O90" s="19" t="str">
        <f>IF(NOT(ISNUMBER(K90)),"",WORKDAY(K90,SprintReadinessOffsetWD))</f>
        <v/>
      </c>
      <c r="P90" s="17"/>
      <c r="Q90" s="19" t="str">
        <f>IF(A90="","",IF(V90="N/A",IF(NOT(ISNUMBER(W90)),"",WORKDAY(W90,RTSKOffsetFromOUR_WD)),IF(NOT(ISNUMBER(T90)),"",WORKDAY(T90,RTSKOffsetFromOUR_WD))))</f>
        <v/>
      </c>
      <c r="R90" s="17"/>
      <c r="S90" s="17"/>
      <c r="T90" s="19" t="str">
        <f>IF(OR(A90="",V90="N/A"),"",IF(NOT(ISNUMBER(W90)),"",WORKDAY(W90,OUROffsetFromSR_WD)))</f>
        <v/>
      </c>
      <c r="U90" s="17"/>
      <c r="V90" s="17"/>
      <c r="W90" s="19" t="str">
        <f>IF(OR(A90="",NOT(ISNUMBER(K90))),"",WORKDAY(K90,SROffsetFromStartWD))</f>
        <v/>
      </c>
      <c r="X90" s="17"/>
      <c r="Y90" s="17"/>
      <c r="Z90" s="17"/>
      <c r="AA90" s="19" t="str">
        <f>IF(OR(Z90="",Z90="N/A"),"",IF(ISNUMBER(Q90),Q90,""))</f>
        <v/>
      </c>
      <c r="AB90" s="17"/>
      <c r="AC90" s="17"/>
      <c r="AD90" s="17"/>
      <c r="AE90" s="17"/>
      <c r="AF90" s="17" t="str">
        <f>IF(Z90="N/A","N/A","")</f>
        <v/>
      </c>
      <c r="AG90" s="19" t="str">
        <f>IF(NOT(ISNUMBER(Q90)),"",Q90)</f>
        <v/>
      </c>
      <c r="AH90" s="17"/>
      <c r="AI90" s="17"/>
      <c r="AJ90" s="19" t="str">
        <f>IF(OR(AL90="N/A",NOT(ISNUMBER(T90))),"",T90)</f>
        <v/>
      </c>
      <c r="AK90" s="17"/>
      <c r="AL90" s="17"/>
      <c r="AM90" s="19" t="str">
        <f>IF(NOT(ISNUMBER(W90)),"",W90)</f>
        <v/>
      </c>
      <c r="AN90" s="17"/>
      <c r="AO90" s="17"/>
      <c r="AP90" s="19" t="str">
        <f>IF(OR(Z90="",Z90="N/A"),"",IF(ISNUMBER(AG90),AG90,""))</f>
        <v/>
      </c>
      <c r="AQ90" s="17"/>
      <c r="AR90" s="17"/>
      <c r="AS90" s="17"/>
      <c r="AT90" s="17"/>
      <c r="AU90" s="19" t="str">
        <f>IF(NOT(ISNUMBER(Q90)),"",Q90)</f>
        <v/>
      </c>
      <c r="AV90" s="17"/>
      <c r="AW90" s="17"/>
      <c r="AX90" s="19" t="str">
        <f>IF(OR(AZ90="N/A",NOT(ISNUMBER(T90))),"",T90)</f>
        <v/>
      </c>
      <c r="AY90" s="17"/>
      <c r="AZ90" s="17"/>
      <c r="BA90" s="19" t="str">
        <f>IF(NOT(ISNUMBER(W90)),"",W90)</f>
        <v/>
      </c>
      <c r="BB90" s="17"/>
      <c r="BC90" s="17"/>
      <c r="BD90" s="19" t="str">
        <f>IF(OR(Z90="",Z90="N/A"),"",IF(ISNUMBER(AU90),AU90,""))</f>
        <v/>
      </c>
      <c r="BE90" s="17"/>
      <c r="BF90" s="17"/>
      <c r="BG90" s="17"/>
      <c r="BH90" s="17"/>
      <c r="BI90" s="89" t="e">
        <f>IF(OR(A90="",NOT(ISNUMBER(M90)),AND(WEEKDAY(M90,2)&lt;&gt;2,WEEKDAY(M90,2)&lt;&gt;4)),"",WORKDAY(M90,CABOffsetFromReleaseWD))</f>
        <v>#VALUE!</v>
      </c>
      <c r="BJ90" s="17"/>
      <c r="BK90" s="19" t="str">
        <f>IF(NOT(ISNUMBER(BI90)),"",IF(WEEKDAY(BI90-CodeReviewCalendarDays,2)&gt;5,BI90-CodeReviewCalendarDays-(WEEKDAY(BI90-CodeReviewCalendarDays,2)-5),BI90-CodeReviewCalendarDays))</f>
        <v/>
      </c>
      <c r="BL90" s="17"/>
      <c r="BM90" s="19" t="str">
        <f>IF(NOT(ISNUMBER(BK90)),"",IF(WEEKDAY(BK90-CodeReviewInviteCalendarDays,2)&gt;5,BK90-CodeReviewInviteCalendarDays-(WEEKDAY(BK90-CodeReviewInviteCalendarDays,2)-5),BK90-CodeReviewInviteCalendarDays))</f>
        <v/>
      </c>
      <c r="BN90" s="17"/>
      <c r="BO90" s="17"/>
      <c r="BP90" s="18" t="str">
        <f ca="1">IF(A90="","",IF(IF(AND(ISNUMBER(J90),WEEKDAY(J90,2)&lt;&gt;2,WEEKDAY(J90,2)&lt;&gt;4)," | Release must be Tuesday or Thursday","")&amp;IF(AND(ISNUMBER(H90),WEEKDAY(H90,2)&lt;&gt;1)," | Sprint Start is not a Monday - dates still calculated from the date entered","")&amp;IF(AND(A90&lt;&gt;"",NOT(ISNUMBER(H90)),NOT(ISNUMBER(J90)))," | Enter Sprint Start or Release Date","")&amp;IF(AND(ISNUMBER(F90),F90&lt;TODAY(),D90&lt;&gt;"Completed")," | One or more raise-by dates are in the past and not completed","")&amp;IF(AND(ISNUMBER(K90),K90-TODAY()&lt;SprintWarningDays,K90&gt;=TODAY(),OR(D90="Yet to start",D90="Blocked"))," | Sprint starts in under 10 days - raise access requests now","")&amp;IF(AND(ISNUMBER(BM90),BN90&lt;&gt;"Completed",BN90&lt;&gt;"N/A",BM90-TODAY()&lt;CodeReviewInviteCalendarDays)," | Code Review invite should be sent at least 4 days before Code Review","")="","",MID(IF(AND(ISNUMBER(J90),WEEKDAY(J90,2)&lt;&gt;2,WEEKDAY(J90,2)&lt;&gt;4)," | Release must be Tuesday or Thursday","")&amp;IF(AND(ISNUMBER(H90),WEEKDAY(H90,2)&lt;&gt;1)," | Sprint Start is not a Monday - dates still calculated from the date entered","")&amp;IF(AND(A90&lt;&gt;"",NOT(ISNUMBER(H90)),NOT(ISNUMBER(J90)))," | Enter Sprint Start or Release Date","")&amp;IF(AND(ISNUMBER(F90),F90&lt;TODAY(),D90&lt;&gt;"Completed")," | One or more raise-by dates are in the past and not completed","")&amp;IF(AND(ISNUMBER(K90),K90-TODAY()&lt;SprintWarningDays,K90&gt;=TODAY(),OR(D90="Yet to start",D90="Blocked"))," | Sprint starts in under 10 days - raise access requests now","")&amp;IF(AND(ISNUMBER(BM90),BN90&lt;&gt;"Completed",BN90&lt;&gt;"N/A",BM90-TODAY()&lt;CodeReviewInviteCalendarDays)," | Code Review invite should be sent at least 4 days before Code Review",""),4,500)))</f>
        <v/>
      </c>
      <c r="BQ90" s="85" t="str">
        <f>IF(AND(ISNUMBER(Q90),S90&lt;&gt;"Completed",S90&lt;&gt;"N/A"),Q90,"")</f>
        <v/>
      </c>
      <c r="BR90" s="85" t="str">
        <f>IF(AND(ISNUMBER(T90),V90&lt;&gt;"Completed",V90&lt;&gt;"N/A"),T90,"")</f>
        <v/>
      </c>
      <c r="BS90" s="85" t="str">
        <f>IF(AND(ISNUMBER(W90),Y90&lt;&gt;"Completed",Y90&lt;&gt;"N/A"),W90,"")</f>
        <v/>
      </c>
      <c r="BT90" s="85" t="str">
        <f>IF(AND(ISNUMBER(AA90),AC90&lt;&gt;"Completed",AC90&lt;&gt;"N/A"),AA90,"")</f>
        <v/>
      </c>
      <c r="BU90" s="85" t="str">
        <f>IF(AND(ISNUMBER(AG90),AI90&lt;&gt;"Completed",AI90&lt;&gt;"N/A"),AG90,"")</f>
        <v/>
      </c>
      <c r="BV90" s="85" t="str">
        <f>IF(AND(ISNUMBER(AJ90),AL90&lt;&gt;"Completed",AL90&lt;&gt;"N/A"),AJ90,"")</f>
        <v/>
      </c>
      <c r="BW90" s="85" t="str">
        <f>IF(AND(ISNUMBER(AM90),AO90&lt;&gt;"Completed",AO90&lt;&gt;"N/A"),AM90,"")</f>
        <v/>
      </c>
      <c r="BX90" s="85" t="str">
        <f>IF(AND(ISNUMBER(AP90),AR90&lt;&gt;"Completed",AR90&lt;&gt;"N/A"),AP90,"")</f>
        <v/>
      </c>
      <c r="BY90" s="85" t="str">
        <f>IF(AND(ISNUMBER(AU90),AW90&lt;&gt;"Completed",AW90&lt;&gt;"N/A"),AU90,"")</f>
        <v/>
      </c>
      <c r="BZ90" s="85" t="str">
        <f>IF(AND(ISNUMBER(AX90),AZ90&lt;&gt;"Completed",AZ90&lt;&gt;"N/A"),AX90,"")</f>
        <v/>
      </c>
      <c r="CA90" s="85" t="str">
        <f>IF(AND(ISNUMBER(BA90),BC90&lt;&gt;"Completed",BC90&lt;&gt;"N/A"),BA90,"")</f>
        <v/>
      </c>
      <c r="CB90" s="85" t="str">
        <f>IF(AND(ISNUMBER(BD90),BF90&lt;&gt;"Completed",BF90&lt;&gt;"N/A"),BD90,"")</f>
        <v/>
      </c>
      <c r="CC90" s="85" t="str">
        <f>IF(AND(ISNUMBER(O90),P90&lt;&gt;"Completed",P90&lt;&gt;"N/A"),O90,"")</f>
        <v/>
      </c>
      <c r="CD90" s="85" t="str">
        <f>IF(AND(ISNUMBER(BM90),BN90&lt;&gt;"Completed",BN90&lt;&gt;"N/A"),BM90,"")</f>
        <v/>
      </c>
      <c r="CE90" s="85" t="str">
        <f>IF(AND(ISNUMBER(BK90),BL90&lt;&gt;"Completed",BL90&lt;&gt;"N/A"),BK90,"")</f>
        <v/>
      </c>
      <c r="CF90" s="85" t="str">
        <f>IF(AND(ISNUMBER(BI90),BJ90&lt;&gt;"Completed",BJ90&lt;&gt;"N/A"),BI90,"")</f>
        <v/>
      </c>
      <c r="CG90" s="85" t="str">
        <f ca="1">IF(OR(A90="",D90="Completed"),"",IF(N(G90)&gt;0,1/(N(G90)+ROW()/100000),IF(ISNUMBER(F90),1000+F90+ROW()/100000,TODAY()+400+ROW()/100000)))</f>
        <v/>
      </c>
    </row>
    <row r="91" spans="1:85">
      <c r="A91" s="17"/>
      <c r="B91" s="17"/>
      <c r="C91" s="17"/>
      <c r="D91" s="18" t="str">
        <f>IF(A91="","",IF(((S91="Blocked")+(V91="Blocked")+(Y91="Blocked")+(AC91="Blocked")+(AI91="Blocked")+(AL91="Blocked")+(AO91="Blocked")+(AR91="Blocked")+(AW91="Blocked")+(AZ91="Blocked")+(BC91="Blocked")+(BF91="Blocked")+(P91="Blocked")+(BJ91="Blocked")+(BL91="Blocked")+(BN91="Blocked")+(BO91="Blocked"))&gt;0,"Blocked",IF((ISNUMBER(Q91)+ISNUMBER(T91)+ISNUMBER(W91)+ISNUMBER(AA91)+ISNUMBER(AG91)+ISNUMBER(AJ91)+ISNUMBER(AM91)+ISNUMBER(AP91)+ISNUMBER(AU91)+ISNUMBER(AX91)+ISNUMBER(BA91)+ISNUMBER(BD91)+ISNUMBER(O91)+ISNUMBER(BI91)+ISNUMBER(BK91)+ISNUMBER(BM91))=0,"Yet to start",IF(AND(OR(NOT(ISNUMBER(Q91)),S91="Completed",S91="N/A"),OR(NOT(ISNUMBER(T91)),V91="Completed",V91="N/A"),OR(NOT(ISNUMBER(W91)),Y91="Completed",Y91="N/A"),OR(NOT(ISNUMBER(AA91)),AC91="Completed",AC91="N/A"),OR(NOT(ISNUMBER(AG91)),AI91="Completed",AI91="N/A"),OR(NOT(ISNUMBER(AJ91)),AL91="Completed",AL91="N/A"),OR(NOT(ISNUMBER(AM91)),AO91="Completed",AO91="N/A"),OR(NOT(ISNUMBER(AP91)),AR91="Completed",AR91="N/A"),OR(NOT(ISNUMBER(AU91)),AW91="Completed",AW91="N/A"),OR(NOT(ISNUMBER(AX91)),AZ91="Completed",AZ91="N/A"),OR(NOT(ISNUMBER(BA91)),BC91="Completed",BC91="N/A"),OR(NOT(ISNUMBER(BD91)),BF91="Completed",BF91="N/A"),OR(NOT(ISNUMBER(O91)),P91="Completed",P91="N/A"),OR(NOT(ISNUMBER(BI91)),BJ91="Completed",BJ91="N/A"),OR(NOT(ISNUMBER(BK91)),BL91="Completed",BL91="N/A"),OR(NOT(ISNUMBER(BM91)),BN91="Completed",BN91="N/A"),OR(BO91="Completed",BO91="N/A")),"Completed",IF(((S91="In Progress")+(V91="In Progress")+(Y91="In Progress")+(AC91="In Progress")+(AI91="In Progress")+(AL91="In Progress")+(AO91="In Progress")+(AR91="In Progress")+(AW91="In Progress")+(AZ91="In Progress")+(BC91="In Progress")+(BF91="In Progress")+(P91="In Progress")+(BJ91="In Progress")+(BL91="In Progress")+(BN91="In Progress")+(BO91="In Progress"))&gt;0,"In Progress","Yet to start")))))</f>
        <v/>
      </c>
      <c r="E91" s="18" t="str">
        <f>IF(A91="","",IF(F91="","All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Review","CAB"},MATCH(F91,BQ91:CF91,0))))</f>
        <v/>
      </c>
      <c r="F91" s="19" t="str">
        <f>IF(A91="","",IF(COUNT(BQ91:CF91)=0,"",MIN(BQ91:CF91)))</f>
        <v/>
      </c>
      <c r="G91" s="18" t="str">
        <f ca="1">IF(A91="","",MAX(0,IF(AND(ISNUMBER(Q91),S91&lt;&gt;"Completed",S91&lt;&gt;"N/A",Q91&lt;TODAY()),TODAY()-Q91,0),IF(AND(ISNUMBER(T91),V91&lt;&gt;"Completed",V91&lt;&gt;"N/A",T91&lt;TODAY()),TODAY()-T91,0),IF(AND(ISNUMBER(W91),Y91&lt;&gt;"Completed",Y91&lt;&gt;"N/A",W91&lt;TODAY()),TODAY()-W91,0),IF(AND(ISNUMBER(AA91),AC91&lt;&gt;"Completed",AC91&lt;&gt;"N/A",AA91&lt;TODAY()),TODAY()-AA91,0),IF(AND(ISNUMBER(AG91),AI91&lt;&gt;"Completed",AI91&lt;&gt;"N/A",AG91&lt;TODAY()),TODAY()-AG91,0),IF(AND(ISNUMBER(AJ91),AL91&lt;&gt;"Completed",AL91&lt;&gt;"N/A",AJ91&lt;TODAY()),TODAY()-AJ91,0),IF(AND(ISNUMBER(AM91),AO91&lt;&gt;"Completed",AO91&lt;&gt;"N/A",AM91&lt;TODAY()),TODAY()-AM91,0),IF(AND(ISNUMBER(AP91),AR91&lt;&gt;"Completed",AR91&lt;&gt;"N/A",AP91&lt;TODAY()),TODAY()-AP91,0),IF(AND(ISNUMBER(AU91),AW91&lt;&gt;"Completed",AW91&lt;&gt;"N/A",AU91&lt;TODAY()),TODAY()-AU91,0),IF(AND(ISNUMBER(AX91),AZ91&lt;&gt;"Completed",AZ91&lt;&gt;"N/A",AX91&lt;TODAY()),TODAY()-AX91,0),IF(AND(ISNUMBER(BA91),BC91&lt;&gt;"Completed",BC91&lt;&gt;"N/A",BA91&lt;TODAY()),TODAY()-BA91,0),IF(AND(ISNUMBER(BD91),BF91&lt;&gt;"Completed",BF91&lt;&gt;"N/A",BD91&lt;TODAY()),TODAY()-BD91,0),IF(AND(ISNUMBER(O91),P91&lt;&gt;"Completed",P91&lt;&gt;"N/A",O91&lt;TODAY()),TODAY()-O91,0),IF(AND(ISNUMBER(BM91),BN91&lt;&gt;"Completed",BN91&lt;&gt;"N/A",BM91&lt;TODAY()),TODAY()-BM91,0),IF(AND(ISNUMBER(BK91),BL91&lt;&gt;"Completed",BL91&lt;&gt;"N/A",BK91&lt;TODAY()),TODAY()-BK91,0),IF(AND(ISNUMBER(BI91),BJ91&lt;&gt;"Completed",BJ91&lt;&gt;"N/A",BI91&lt;TODAY()),TODAY()-BI91,0)))</f>
        <v/>
      </c>
      <c r="H91" s="17"/>
      <c r="I91" s="17"/>
      <c r="J91" s="17"/>
      <c r="K91" s="19" t="str">
        <f>IF(ISNUMBER(H91),H91,IF(ISNUMBER(M91),M91-WEEKDAY(M91,2)+1-7,""))</f>
        <v/>
      </c>
      <c r="L91" s="19" t="str">
        <f>IF(ISNUMBER(I91),I91,IF(ISNUMBER(H91),WORKDAY(H91,SprintWorkingDays-1),IF(ISNUMBER(K91),WORKDAY(K91,SprintWorkingDays-1),"")))</f>
        <v/>
      </c>
      <c r="M91" s="19" t="str">
        <f>IF(ISNUMBER(J91),J91,IF(ISNUMBER(I91),I91-IF(OR(WEEKDAY(I91,2)=2,WEEKDAY(I91,2)=4),0,IF(WEEKDAY(I91,2)=3,1,IF(WEEKDAY(I91,2)=1,4,WEEKDAY(I91,2)-4))),IF(ISNUMBER(H91),WORKDAY(H91,SprintWorkingDays-1)-IF(OR(WEEKDAY(WORKDAY(H91,SprintWorkingDays-1),2)=2,WEEKDAY(WORKDAY(H91,SprintWorkingDays-1),2)=4),0,IF(WEEKDAY(WORKDAY(H91,SprintWorkingDays-1),2)=3,1,IF(WEEKDAY(WORKDAY(H91,SprintWorkingDays-1),2)=1,4,WEEKDAY(WORKDAY(H91,SprintWorkingDays-1),2)-4))),"")))</f>
        <v/>
      </c>
      <c r="N91" s="19" t="str">
        <f>IF(NOT(ISNUMBER(K91)),"",WORKDAY(K91,ReadyOffsetWD))</f>
        <v/>
      </c>
      <c r="O91" s="19" t="str">
        <f>IF(NOT(ISNUMBER(K91)),"",WORKDAY(K91,SprintReadinessOffsetWD))</f>
        <v/>
      </c>
      <c r="P91" s="17"/>
      <c r="Q91" s="19" t="str">
        <f>IF(A91="","",IF(V91="N/A",IF(NOT(ISNUMBER(W91)),"",WORKDAY(W91,RTSKOffsetFromOUR_WD)),IF(NOT(ISNUMBER(T91)),"",WORKDAY(T91,RTSKOffsetFromOUR_WD))))</f>
        <v/>
      </c>
      <c r="R91" s="17"/>
      <c r="S91" s="17"/>
      <c r="T91" s="19" t="str">
        <f>IF(OR(A91="",V91="N/A"),"",IF(NOT(ISNUMBER(W91)),"",WORKDAY(W91,OUROffsetFromSR_WD)))</f>
        <v/>
      </c>
      <c r="U91" s="17"/>
      <c r="V91" s="17"/>
      <c r="W91" s="19" t="str">
        <f>IF(OR(A91="",NOT(ISNUMBER(K91))),"",WORKDAY(K91,SROffsetFromStartWD))</f>
        <v/>
      </c>
      <c r="X91" s="17"/>
      <c r="Y91" s="17"/>
      <c r="Z91" s="17"/>
      <c r="AA91" s="19" t="str">
        <f>IF(OR(Z91="",Z91="N/A"),"",IF(ISNUMBER(Q91),Q91,""))</f>
        <v/>
      </c>
      <c r="AB91" s="17"/>
      <c r="AC91" s="17"/>
      <c r="AD91" s="17"/>
      <c r="AE91" s="17"/>
      <c r="AF91" s="17" t="str">
        <f>IF(Z91="N/A","N/A","")</f>
        <v/>
      </c>
      <c r="AG91" s="19" t="str">
        <f>IF(NOT(ISNUMBER(Q91)),"",Q91)</f>
        <v/>
      </c>
      <c r="AH91" s="17"/>
      <c r="AI91" s="17"/>
      <c r="AJ91" s="19" t="str">
        <f>IF(OR(AL91="N/A",NOT(ISNUMBER(T91))),"",T91)</f>
        <v/>
      </c>
      <c r="AK91" s="17"/>
      <c r="AL91" s="17"/>
      <c r="AM91" s="19" t="str">
        <f>IF(NOT(ISNUMBER(W91)),"",W91)</f>
        <v/>
      </c>
      <c r="AN91" s="17"/>
      <c r="AO91" s="17"/>
      <c r="AP91" s="19" t="str">
        <f>IF(OR(Z91="",Z91="N/A"),"",IF(ISNUMBER(AG91),AG91,""))</f>
        <v/>
      </c>
      <c r="AQ91" s="17"/>
      <c r="AR91" s="17"/>
      <c r="AS91" s="17"/>
      <c r="AT91" s="17"/>
      <c r="AU91" s="19" t="str">
        <f>IF(NOT(ISNUMBER(Q91)),"",Q91)</f>
        <v/>
      </c>
      <c r="AV91" s="17"/>
      <c r="AW91" s="17"/>
      <c r="AX91" s="19" t="str">
        <f>IF(OR(AZ91="N/A",NOT(ISNUMBER(T91))),"",T91)</f>
        <v/>
      </c>
      <c r="AY91" s="17"/>
      <c r="AZ91" s="17"/>
      <c r="BA91" s="19" t="str">
        <f>IF(NOT(ISNUMBER(W91)),"",W91)</f>
        <v/>
      </c>
      <c r="BB91" s="17"/>
      <c r="BC91" s="17"/>
      <c r="BD91" s="19" t="str">
        <f>IF(OR(Z91="",Z91="N/A"),"",IF(ISNUMBER(AU91),AU91,""))</f>
        <v/>
      </c>
      <c r="BE91" s="17"/>
      <c r="BF91" s="17"/>
      <c r="BG91" s="17"/>
      <c r="BH91" s="17"/>
      <c r="BI91" s="89" t="e">
        <f>IF(OR(A91="",NOT(ISNUMBER(M91)),AND(WEEKDAY(M91,2)&lt;&gt;2,WEEKDAY(M91,2)&lt;&gt;4)),"",WORKDAY(M91,CABOffsetFromReleaseWD))</f>
        <v>#VALUE!</v>
      </c>
      <c r="BJ91" s="17"/>
      <c r="BK91" s="19" t="str">
        <f>IF(NOT(ISNUMBER(BI91)),"",IF(WEEKDAY(BI91-CodeReviewCalendarDays,2)&gt;5,BI91-CodeReviewCalendarDays-(WEEKDAY(BI91-CodeReviewCalendarDays,2)-5),BI91-CodeReviewCalendarDays))</f>
        <v/>
      </c>
      <c r="BL91" s="17"/>
      <c r="BM91" s="19" t="str">
        <f>IF(NOT(ISNUMBER(BK91)),"",IF(WEEKDAY(BK91-CodeReviewInviteCalendarDays,2)&gt;5,BK91-CodeReviewInviteCalendarDays-(WEEKDAY(BK91-CodeReviewInviteCalendarDays,2)-5),BK91-CodeReviewInviteCalendarDays))</f>
        <v/>
      </c>
      <c r="BN91" s="17"/>
      <c r="BO91" s="17"/>
      <c r="BP91" s="18" t="str">
        <f ca="1">IF(A91="","",IF(IF(AND(ISNUMBER(J91),WEEKDAY(J91,2)&lt;&gt;2,WEEKDAY(J91,2)&lt;&gt;4)," | Release must be Tuesday or Thursday","")&amp;IF(AND(ISNUMBER(H91),WEEKDAY(H91,2)&lt;&gt;1)," | Sprint Start is not a Monday - dates still calculated from the date entered","")&amp;IF(AND(A91&lt;&gt;"",NOT(ISNUMBER(H91)),NOT(ISNUMBER(J91)))," | Enter Sprint Start or Release Date","")&amp;IF(AND(ISNUMBER(F91),F91&lt;TODAY(),D91&lt;&gt;"Completed")," | One or more raise-by dates are in the past and not completed","")&amp;IF(AND(ISNUMBER(K91),K91-TODAY()&lt;SprintWarningDays,K91&gt;=TODAY(),OR(D91="Yet to start",D91="Blocked"))," | Sprint starts in under 10 days - raise access requests now","")&amp;IF(AND(ISNUMBER(BM91),BN91&lt;&gt;"Completed",BN91&lt;&gt;"N/A",BM91-TODAY()&lt;CodeReviewInviteCalendarDays)," | Code Review invite should be sent at least 4 days before Code Review","")="","",MID(IF(AND(ISNUMBER(J91),WEEKDAY(J91,2)&lt;&gt;2,WEEKDAY(J91,2)&lt;&gt;4)," | Release must be Tuesday or Thursday","")&amp;IF(AND(ISNUMBER(H91),WEEKDAY(H91,2)&lt;&gt;1)," | Sprint Start is not a Monday - dates still calculated from the date entered","")&amp;IF(AND(A91&lt;&gt;"",NOT(ISNUMBER(H91)),NOT(ISNUMBER(J91)))," | Enter Sprint Start or Release Date","")&amp;IF(AND(ISNUMBER(F91),F91&lt;TODAY(),D91&lt;&gt;"Completed")," | One or more raise-by dates are in the past and not completed","")&amp;IF(AND(ISNUMBER(K91),K91-TODAY()&lt;SprintWarningDays,K91&gt;=TODAY(),OR(D91="Yet to start",D91="Blocked"))," | Sprint starts in under 10 days - raise access requests now","")&amp;IF(AND(ISNUMBER(BM91),BN91&lt;&gt;"Completed",BN91&lt;&gt;"N/A",BM91-TODAY()&lt;CodeReviewInviteCalendarDays)," | Code Review invite should be sent at least 4 days before Code Review",""),4,500)))</f>
        <v/>
      </c>
      <c r="BQ91" s="85" t="str">
        <f>IF(AND(ISNUMBER(Q91),S91&lt;&gt;"Completed",S91&lt;&gt;"N/A"),Q91,"")</f>
        <v/>
      </c>
      <c r="BR91" s="85" t="str">
        <f>IF(AND(ISNUMBER(T91),V91&lt;&gt;"Completed",V91&lt;&gt;"N/A"),T91,"")</f>
        <v/>
      </c>
      <c r="BS91" s="85" t="str">
        <f>IF(AND(ISNUMBER(W91),Y91&lt;&gt;"Completed",Y91&lt;&gt;"N/A"),W91,"")</f>
        <v/>
      </c>
      <c r="BT91" s="85" t="str">
        <f>IF(AND(ISNUMBER(AA91),AC91&lt;&gt;"Completed",AC91&lt;&gt;"N/A"),AA91,"")</f>
        <v/>
      </c>
      <c r="BU91" s="85" t="str">
        <f>IF(AND(ISNUMBER(AG91),AI91&lt;&gt;"Completed",AI91&lt;&gt;"N/A"),AG91,"")</f>
        <v/>
      </c>
      <c r="BV91" s="85" t="str">
        <f>IF(AND(ISNUMBER(AJ91),AL91&lt;&gt;"Completed",AL91&lt;&gt;"N/A"),AJ91,"")</f>
        <v/>
      </c>
      <c r="BW91" s="85" t="str">
        <f>IF(AND(ISNUMBER(AM91),AO91&lt;&gt;"Completed",AO91&lt;&gt;"N/A"),AM91,"")</f>
        <v/>
      </c>
      <c r="BX91" s="85" t="str">
        <f>IF(AND(ISNUMBER(AP91),AR91&lt;&gt;"Completed",AR91&lt;&gt;"N/A"),AP91,"")</f>
        <v/>
      </c>
      <c r="BY91" s="85" t="str">
        <f>IF(AND(ISNUMBER(AU91),AW91&lt;&gt;"Completed",AW91&lt;&gt;"N/A"),AU91,"")</f>
        <v/>
      </c>
      <c r="BZ91" s="85" t="str">
        <f>IF(AND(ISNUMBER(AX91),AZ91&lt;&gt;"Completed",AZ91&lt;&gt;"N/A"),AX91,"")</f>
        <v/>
      </c>
      <c r="CA91" s="85" t="str">
        <f>IF(AND(ISNUMBER(BA91),BC91&lt;&gt;"Completed",BC91&lt;&gt;"N/A"),BA91,"")</f>
        <v/>
      </c>
      <c r="CB91" s="85" t="str">
        <f>IF(AND(ISNUMBER(BD91),BF91&lt;&gt;"Completed",BF91&lt;&gt;"N/A"),BD91,"")</f>
        <v/>
      </c>
      <c r="CC91" s="85" t="str">
        <f>IF(AND(ISNUMBER(O91),P91&lt;&gt;"Completed",P91&lt;&gt;"N/A"),O91,"")</f>
        <v/>
      </c>
      <c r="CD91" s="85" t="str">
        <f>IF(AND(ISNUMBER(BM91),BN91&lt;&gt;"Completed",BN91&lt;&gt;"N/A"),BM91,"")</f>
        <v/>
      </c>
      <c r="CE91" s="85" t="str">
        <f>IF(AND(ISNUMBER(BK91),BL91&lt;&gt;"Completed",BL91&lt;&gt;"N/A"),BK91,"")</f>
        <v/>
      </c>
      <c r="CF91" s="85" t="str">
        <f>IF(AND(ISNUMBER(BI91),BJ91&lt;&gt;"Completed",BJ91&lt;&gt;"N/A"),BI91,"")</f>
        <v/>
      </c>
      <c r="CG91" s="85" t="str">
        <f ca="1">IF(OR(A91="",D91="Completed"),"",IF(N(G91)&gt;0,1/(N(G91)+ROW()/100000),IF(ISNUMBER(F91),1000+F91+ROW()/100000,TODAY()+400+ROW()/100000)))</f>
        <v/>
      </c>
    </row>
    <row r="92" spans="1:85">
      <c r="A92" s="17"/>
      <c r="B92" s="17"/>
      <c r="C92" s="17"/>
      <c r="D92" s="18" t="str">
        <f>IF(A92="","",IF(((S92="Blocked")+(V92="Blocked")+(Y92="Blocked")+(AC92="Blocked")+(AI92="Blocked")+(AL92="Blocked")+(AO92="Blocked")+(AR92="Blocked")+(AW92="Blocked")+(AZ92="Blocked")+(BC92="Blocked")+(BF92="Blocked")+(P92="Blocked")+(BJ92="Blocked")+(BL92="Blocked")+(BN92="Blocked")+(BO92="Blocked"))&gt;0,"Blocked",IF((ISNUMBER(Q92)+ISNUMBER(T92)+ISNUMBER(W92)+ISNUMBER(AA92)+ISNUMBER(AG92)+ISNUMBER(AJ92)+ISNUMBER(AM92)+ISNUMBER(AP92)+ISNUMBER(AU92)+ISNUMBER(AX92)+ISNUMBER(BA92)+ISNUMBER(BD92)+ISNUMBER(O92)+ISNUMBER(BI92)+ISNUMBER(BK92)+ISNUMBER(BM92))=0,"Yet to start",IF(AND(OR(NOT(ISNUMBER(Q92)),S92="Completed",S92="N/A"),OR(NOT(ISNUMBER(T92)),V92="Completed",V92="N/A"),OR(NOT(ISNUMBER(W92)),Y92="Completed",Y92="N/A"),OR(NOT(ISNUMBER(AA92)),AC92="Completed",AC92="N/A"),OR(NOT(ISNUMBER(AG92)),AI92="Completed",AI92="N/A"),OR(NOT(ISNUMBER(AJ92)),AL92="Completed",AL92="N/A"),OR(NOT(ISNUMBER(AM92)),AO92="Completed",AO92="N/A"),OR(NOT(ISNUMBER(AP92)),AR92="Completed",AR92="N/A"),OR(NOT(ISNUMBER(AU92)),AW92="Completed",AW92="N/A"),OR(NOT(ISNUMBER(AX92)),AZ92="Completed",AZ92="N/A"),OR(NOT(ISNUMBER(BA92)),BC92="Completed",BC92="N/A"),OR(NOT(ISNUMBER(BD92)),BF92="Completed",BF92="N/A"),OR(NOT(ISNUMBER(O92)),P92="Completed",P92="N/A"),OR(NOT(ISNUMBER(BI92)),BJ92="Completed",BJ92="N/A"),OR(NOT(ISNUMBER(BK92)),BL92="Completed",BL92="N/A"),OR(NOT(ISNUMBER(BM92)),BN92="Completed",BN92="N/A"),OR(BO92="Completed",BO92="N/A")),"Completed",IF(((S92="In Progress")+(V92="In Progress")+(Y92="In Progress")+(AC92="In Progress")+(AI92="In Progress")+(AL92="In Progress")+(AO92="In Progress")+(AR92="In Progress")+(AW92="In Progress")+(AZ92="In Progress")+(BC92="In Progress")+(BF92="In Progress")+(P92="In Progress")+(BJ92="In Progress")+(BL92="In Progress")+(BN92="In Progress")+(BO92="In Progress"))&gt;0,"In Progress","Yet to start")))))</f>
        <v/>
      </c>
      <c r="E92" s="18" t="str">
        <f>IF(A92="","",IF(F92="","All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Review","CAB"},MATCH(F92,BQ92:CF92,0))))</f>
        <v/>
      </c>
      <c r="F92" s="19" t="str">
        <f>IF(A92="","",IF(COUNT(BQ92:CF92)=0,"",MIN(BQ92:CF92)))</f>
        <v/>
      </c>
      <c r="G92" s="18" t="str">
        <f ca="1">IF(A92="","",MAX(0,IF(AND(ISNUMBER(Q92),S92&lt;&gt;"Completed",S92&lt;&gt;"N/A",Q92&lt;TODAY()),TODAY()-Q92,0),IF(AND(ISNUMBER(T92),V92&lt;&gt;"Completed",V92&lt;&gt;"N/A",T92&lt;TODAY()),TODAY()-T92,0),IF(AND(ISNUMBER(W92),Y92&lt;&gt;"Completed",Y92&lt;&gt;"N/A",W92&lt;TODAY()),TODAY()-W92,0),IF(AND(ISNUMBER(AA92),AC92&lt;&gt;"Completed",AC92&lt;&gt;"N/A",AA92&lt;TODAY()),TODAY()-AA92,0),IF(AND(ISNUMBER(AG92),AI92&lt;&gt;"Completed",AI92&lt;&gt;"N/A",AG92&lt;TODAY()),TODAY()-AG92,0),IF(AND(ISNUMBER(AJ92),AL92&lt;&gt;"Completed",AL92&lt;&gt;"N/A",AJ92&lt;TODAY()),TODAY()-AJ92,0),IF(AND(ISNUMBER(AM92),AO92&lt;&gt;"Completed",AO92&lt;&gt;"N/A",AM92&lt;TODAY()),TODAY()-AM92,0),IF(AND(ISNUMBER(AP92),AR92&lt;&gt;"Completed",AR92&lt;&gt;"N/A",AP92&lt;TODAY()),TODAY()-AP92,0),IF(AND(ISNUMBER(AU92),AW92&lt;&gt;"Completed",AW92&lt;&gt;"N/A",AU92&lt;TODAY()),TODAY()-AU92,0),IF(AND(ISNUMBER(AX92),AZ92&lt;&gt;"Completed",AZ92&lt;&gt;"N/A",AX92&lt;TODAY()),TODAY()-AX92,0),IF(AND(ISNUMBER(BA92),BC92&lt;&gt;"Completed",BC92&lt;&gt;"N/A",BA92&lt;TODAY()),TODAY()-BA92,0),IF(AND(ISNUMBER(BD92),BF92&lt;&gt;"Completed",BF92&lt;&gt;"N/A",BD92&lt;TODAY()),TODAY()-BD92,0),IF(AND(ISNUMBER(O92),P92&lt;&gt;"Completed",P92&lt;&gt;"N/A",O92&lt;TODAY()),TODAY()-O92,0),IF(AND(ISNUMBER(BM92),BN92&lt;&gt;"Completed",BN92&lt;&gt;"N/A",BM92&lt;TODAY()),TODAY()-BM92,0),IF(AND(ISNUMBER(BK92),BL92&lt;&gt;"Completed",BL92&lt;&gt;"N/A",BK92&lt;TODAY()),TODAY()-BK92,0),IF(AND(ISNUMBER(BI92),BJ92&lt;&gt;"Completed",BJ92&lt;&gt;"N/A",BI92&lt;TODAY()),TODAY()-BI92,0)))</f>
        <v/>
      </c>
      <c r="H92" s="17"/>
      <c r="I92" s="17"/>
      <c r="J92" s="17"/>
      <c r="K92" s="19" t="str">
        <f>IF(ISNUMBER(H92),H92,IF(ISNUMBER(M92),M92-WEEKDAY(M92,2)+1-7,""))</f>
        <v/>
      </c>
      <c r="L92" s="19" t="str">
        <f>IF(ISNUMBER(I92),I92,IF(ISNUMBER(H92),WORKDAY(H92,SprintWorkingDays-1),IF(ISNUMBER(K92),WORKDAY(K92,SprintWorkingDays-1),"")))</f>
        <v/>
      </c>
      <c r="M92" s="19" t="str">
        <f>IF(ISNUMBER(J92),J92,IF(ISNUMBER(I92),I92-IF(OR(WEEKDAY(I92,2)=2,WEEKDAY(I92,2)=4),0,IF(WEEKDAY(I92,2)=3,1,IF(WEEKDAY(I92,2)=1,4,WEEKDAY(I92,2)-4))),IF(ISNUMBER(H92),WORKDAY(H92,SprintWorkingDays-1)-IF(OR(WEEKDAY(WORKDAY(H92,SprintWorkingDays-1),2)=2,WEEKDAY(WORKDAY(H92,SprintWorkingDays-1),2)=4),0,IF(WEEKDAY(WORKDAY(H92,SprintWorkingDays-1),2)=3,1,IF(WEEKDAY(WORKDAY(H92,SprintWorkingDays-1),2)=1,4,WEEKDAY(WORKDAY(H92,SprintWorkingDays-1),2)-4))),"")))</f>
        <v/>
      </c>
      <c r="N92" s="19" t="str">
        <f>IF(NOT(ISNUMBER(K92)),"",WORKDAY(K92,ReadyOffsetWD))</f>
        <v/>
      </c>
      <c r="O92" s="19" t="str">
        <f>IF(NOT(ISNUMBER(K92)),"",WORKDAY(K92,SprintReadinessOffsetWD))</f>
        <v/>
      </c>
      <c r="P92" s="17"/>
      <c r="Q92" s="19" t="str">
        <f>IF(A92="","",IF(V92="N/A",IF(NOT(ISNUMBER(W92)),"",WORKDAY(W92,RTSKOffsetFromOUR_WD)),IF(NOT(ISNUMBER(T92)),"",WORKDAY(T92,RTSKOffsetFromOUR_WD))))</f>
        <v/>
      </c>
      <c r="R92" s="17"/>
      <c r="S92" s="17"/>
      <c r="T92" s="19" t="str">
        <f>IF(OR(A92="",V92="N/A"),"",IF(NOT(ISNUMBER(W92)),"",WORKDAY(W92,OUROffsetFromSR_WD)))</f>
        <v/>
      </c>
      <c r="U92" s="17"/>
      <c r="V92" s="17"/>
      <c r="W92" s="19" t="str">
        <f>IF(OR(A92="",NOT(ISNUMBER(K92))),"",WORKDAY(K92,SROffsetFromStartWD))</f>
        <v/>
      </c>
      <c r="X92" s="17"/>
      <c r="Y92" s="17"/>
      <c r="Z92" s="17"/>
      <c r="AA92" s="19" t="str">
        <f>IF(OR(Z92="",Z92="N/A"),"",IF(ISNUMBER(Q92),Q92,""))</f>
        <v/>
      </c>
      <c r="AB92" s="17"/>
      <c r="AC92" s="17"/>
      <c r="AD92" s="17"/>
      <c r="AE92" s="17"/>
      <c r="AF92" s="17" t="str">
        <f>IF(Z92="N/A","N/A","")</f>
        <v/>
      </c>
      <c r="AG92" s="19" t="str">
        <f>IF(NOT(ISNUMBER(Q92)),"",Q92)</f>
        <v/>
      </c>
      <c r="AH92" s="17"/>
      <c r="AI92" s="17"/>
      <c r="AJ92" s="19" t="str">
        <f>IF(OR(AL92="N/A",NOT(ISNUMBER(T92))),"",T92)</f>
        <v/>
      </c>
      <c r="AK92" s="17"/>
      <c r="AL92" s="17"/>
      <c r="AM92" s="19" t="str">
        <f>IF(NOT(ISNUMBER(W92)),"",W92)</f>
        <v/>
      </c>
      <c r="AN92" s="17"/>
      <c r="AO92" s="17"/>
      <c r="AP92" s="19" t="str">
        <f>IF(OR(Z92="",Z92="N/A"),"",IF(ISNUMBER(AG92),AG92,""))</f>
        <v/>
      </c>
      <c r="AQ92" s="17"/>
      <c r="AR92" s="17"/>
      <c r="AS92" s="17"/>
      <c r="AT92" s="17"/>
      <c r="AU92" s="19" t="str">
        <f>IF(NOT(ISNUMBER(Q92)),"",Q92)</f>
        <v/>
      </c>
      <c r="AV92" s="17"/>
      <c r="AW92" s="17"/>
      <c r="AX92" s="19" t="str">
        <f>IF(OR(AZ92="N/A",NOT(ISNUMBER(T92))),"",T92)</f>
        <v/>
      </c>
      <c r="AY92" s="17"/>
      <c r="AZ92" s="17"/>
      <c r="BA92" s="19" t="str">
        <f>IF(NOT(ISNUMBER(W92)),"",W92)</f>
        <v/>
      </c>
      <c r="BB92" s="17"/>
      <c r="BC92" s="17"/>
      <c r="BD92" s="19" t="str">
        <f>IF(OR(Z92="",Z92="N/A"),"",IF(ISNUMBER(AU92),AU92,""))</f>
        <v/>
      </c>
      <c r="BE92" s="17"/>
      <c r="BF92" s="17"/>
      <c r="BG92" s="17"/>
      <c r="BH92" s="17"/>
      <c r="BI92" s="89" t="e">
        <f>IF(OR(A92="",NOT(ISNUMBER(M92)),AND(WEEKDAY(M92,2)&lt;&gt;2,WEEKDAY(M92,2)&lt;&gt;4)),"",WORKDAY(M92,CABOffsetFromReleaseWD))</f>
        <v>#VALUE!</v>
      </c>
      <c r="BJ92" s="17"/>
      <c r="BK92" s="19" t="str">
        <f>IF(NOT(ISNUMBER(BI92)),"",IF(WEEKDAY(BI92-CodeReviewCalendarDays,2)&gt;5,BI92-CodeReviewCalendarDays-(WEEKDAY(BI92-CodeReviewCalendarDays,2)-5),BI92-CodeReviewCalendarDays))</f>
        <v/>
      </c>
      <c r="BL92" s="17"/>
      <c r="BM92" s="19" t="str">
        <f>IF(NOT(ISNUMBER(BK92)),"",IF(WEEKDAY(BK92-CodeReviewInviteCalendarDays,2)&gt;5,BK92-CodeReviewInviteCalendarDays-(WEEKDAY(BK92-CodeReviewInviteCalendarDays,2)-5),BK92-CodeReviewInviteCalendarDays))</f>
        <v/>
      </c>
      <c r="BN92" s="17"/>
      <c r="BO92" s="17"/>
      <c r="BP92" s="18" t="str">
        <f ca="1">IF(A92="","",IF(IF(AND(ISNUMBER(J92),WEEKDAY(J92,2)&lt;&gt;2,WEEKDAY(J92,2)&lt;&gt;4)," | Release must be Tuesday or Thursday","")&amp;IF(AND(ISNUMBER(H92),WEEKDAY(H92,2)&lt;&gt;1)," | Sprint Start is not a Monday - dates still calculated from the date entered","")&amp;IF(AND(A92&lt;&gt;"",NOT(ISNUMBER(H92)),NOT(ISNUMBER(J92)))," | Enter Sprint Start or Release Date","")&amp;IF(AND(ISNUMBER(F92),F92&lt;TODAY(),D92&lt;&gt;"Completed")," | One or more raise-by dates are in the past and not completed","")&amp;IF(AND(ISNUMBER(K92),K92-TODAY()&lt;SprintWarningDays,K92&gt;=TODAY(),OR(D92="Yet to start",D92="Blocked"))," | Sprint starts in under 10 days - raise access requests now","")&amp;IF(AND(ISNUMBER(BM92),BN92&lt;&gt;"Completed",BN92&lt;&gt;"N/A",BM92-TODAY()&lt;CodeReviewInviteCalendarDays)," | Code Review invite should be sent at least 4 days before Code Review","")="","",MID(IF(AND(ISNUMBER(J92),WEEKDAY(J92,2)&lt;&gt;2,WEEKDAY(J92,2)&lt;&gt;4)," | Release must be Tuesday or Thursday","")&amp;IF(AND(ISNUMBER(H92),WEEKDAY(H92,2)&lt;&gt;1)," | Sprint Start is not a Monday - dates still calculated from the date entered","")&amp;IF(AND(A92&lt;&gt;"",NOT(ISNUMBER(H92)),NOT(ISNUMBER(J92)))," | Enter Sprint Start or Release Date","")&amp;IF(AND(ISNUMBER(F92),F92&lt;TODAY(),D92&lt;&gt;"Completed")," | One or more raise-by dates are in the past and not completed","")&amp;IF(AND(ISNUMBER(K92),K92-TODAY()&lt;SprintWarningDays,K92&gt;=TODAY(),OR(D92="Yet to start",D92="Blocked"))," | Sprint starts in under 10 days - raise access requests now","")&amp;IF(AND(ISNUMBER(BM92),BN92&lt;&gt;"Completed",BN92&lt;&gt;"N/A",BM92-TODAY()&lt;CodeReviewInviteCalendarDays)," | Code Review invite should be sent at least 4 days before Code Review",""),4,500)))</f>
        <v/>
      </c>
      <c r="BQ92" s="85" t="str">
        <f>IF(AND(ISNUMBER(Q92),S92&lt;&gt;"Completed",S92&lt;&gt;"N/A"),Q92,"")</f>
        <v/>
      </c>
      <c r="BR92" s="85" t="str">
        <f>IF(AND(ISNUMBER(T92),V92&lt;&gt;"Completed",V92&lt;&gt;"N/A"),T92,"")</f>
        <v/>
      </c>
      <c r="BS92" s="85" t="str">
        <f>IF(AND(ISNUMBER(W92),Y92&lt;&gt;"Completed",Y92&lt;&gt;"N/A"),W92,"")</f>
        <v/>
      </c>
      <c r="BT92" s="85" t="str">
        <f>IF(AND(ISNUMBER(AA92),AC92&lt;&gt;"Completed",AC92&lt;&gt;"N/A"),AA92,"")</f>
        <v/>
      </c>
      <c r="BU92" s="85" t="str">
        <f>IF(AND(ISNUMBER(AG92),AI92&lt;&gt;"Completed",AI92&lt;&gt;"N/A"),AG92,"")</f>
        <v/>
      </c>
      <c r="BV92" s="85" t="str">
        <f>IF(AND(ISNUMBER(AJ92),AL92&lt;&gt;"Completed",AL92&lt;&gt;"N/A"),AJ92,"")</f>
        <v/>
      </c>
      <c r="BW92" s="85" t="str">
        <f>IF(AND(ISNUMBER(AM92),AO92&lt;&gt;"Completed",AO92&lt;&gt;"N/A"),AM92,"")</f>
        <v/>
      </c>
      <c r="BX92" s="85" t="str">
        <f>IF(AND(ISNUMBER(AP92),AR92&lt;&gt;"Completed",AR92&lt;&gt;"N/A"),AP92,"")</f>
        <v/>
      </c>
      <c r="BY92" s="85" t="str">
        <f>IF(AND(ISNUMBER(AU92),AW92&lt;&gt;"Completed",AW92&lt;&gt;"N/A"),AU92,"")</f>
        <v/>
      </c>
      <c r="BZ92" s="85" t="str">
        <f>IF(AND(ISNUMBER(AX92),AZ92&lt;&gt;"Completed",AZ92&lt;&gt;"N/A"),AX92,"")</f>
        <v/>
      </c>
      <c r="CA92" s="85" t="str">
        <f>IF(AND(ISNUMBER(BA92),BC92&lt;&gt;"Completed",BC92&lt;&gt;"N/A"),BA92,"")</f>
        <v/>
      </c>
      <c r="CB92" s="85" t="str">
        <f>IF(AND(ISNUMBER(BD92),BF92&lt;&gt;"Completed",BF92&lt;&gt;"N/A"),BD92,"")</f>
        <v/>
      </c>
      <c r="CC92" s="85" t="str">
        <f>IF(AND(ISNUMBER(O92),P92&lt;&gt;"Completed",P92&lt;&gt;"N/A"),O92,"")</f>
        <v/>
      </c>
      <c r="CD92" s="85" t="str">
        <f>IF(AND(ISNUMBER(BM92),BN92&lt;&gt;"Completed",BN92&lt;&gt;"N/A"),BM92,"")</f>
        <v/>
      </c>
      <c r="CE92" s="85" t="str">
        <f>IF(AND(ISNUMBER(BK92),BL92&lt;&gt;"Completed",BL92&lt;&gt;"N/A"),BK92,"")</f>
        <v/>
      </c>
      <c r="CF92" s="85" t="str">
        <f>IF(AND(ISNUMBER(BI92),BJ92&lt;&gt;"Completed",BJ92&lt;&gt;"N/A"),BI92,"")</f>
        <v/>
      </c>
      <c r="CG92" s="85" t="str">
        <f ca="1">IF(OR(A92="",D92="Completed"),"",IF(N(G92)&gt;0,1/(N(G92)+ROW()/100000),IF(ISNUMBER(F92),1000+F92+ROW()/100000,TODAY()+400+ROW()/100000)))</f>
        <v/>
      </c>
    </row>
    <row r="93" spans="1:85">
      <c r="A93" s="17"/>
      <c r="B93" s="17"/>
      <c r="C93" s="17"/>
      <c r="D93" s="18" t="str">
        <f>IF(A93="","",IF(((S93="Blocked")+(V93="Blocked")+(Y93="Blocked")+(AC93="Blocked")+(AI93="Blocked")+(AL93="Blocked")+(AO93="Blocked")+(AR93="Blocked")+(AW93="Blocked")+(AZ93="Blocked")+(BC93="Blocked")+(BF93="Blocked")+(P93="Blocked")+(BJ93="Blocked")+(BL93="Blocked")+(BN93="Blocked")+(BO93="Blocked"))&gt;0,"Blocked",IF((ISNUMBER(Q93)+ISNUMBER(T93)+ISNUMBER(W93)+ISNUMBER(AA93)+ISNUMBER(AG93)+ISNUMBER(AJ93)+ISNUMBER(AM93)+ISNUMBER(AP93)+ISNUMBER(AU93)+ISNUMBER(AX93)+ISNUMBER(BA93)+ISNUMBER(BD93)+ISNUMBER(O93)+ISNUMBER(BI93)+ISNUMBER(BK93)+ISNUMBER(BM93))=0,"Yet to start",IF(AND(OR(NOT(ISNUMBER(Q93)),S93="Completed",S93="N/A"),OR(NOT(ISNUMBER(T93)),V93="Completed",V93="N/A"),OR(NOT(ISNUMBER(W93)),Y93="Completed",Y93="N/A"),OR(NOT(ISNUMBER(AA93)),AC93="Completed",AC93="N/A"),OR(NOT(ISNUMBER(AG93)),AI93="Completed",AI93="N/A"),OR(NOT(ISNUMBER(AJ93)),AL93="Completed",AL93="N/A"),OR(NOT(ISNUMBER(AM93)),AO93="Completed",AO93="N/A"),OR(NOT(ISNUMBER(AP93)),AR93="Completed",AR93="N/A"),OR(NOT(ISNUMBER(AU93)),AW93="Completed",AW93="N/A"),OR(NOT(ISNUMBER(AX93)),AZ93="Completed",AZ93="N/A"),OR(NOT(ISNUMBER(BA93)),BC93="Completed",BC93="N/A"),OR(NOT(ISNUMBER(BD93)),BF93="Completed",BF93="N/A"),OR(NOT(ISNUMBER(O93)),P93="Completed",P93="N/A"),OR(NOT(ISNUMBER(BI93)),BJ93="Completed",BJ93="N/A"),OR(NOT(ISNUMBER(BK93)),BL93="Completed",BL93="N/A"),OR(NOT(ISNUMBER(BM93)),BN93="Completed",BN93="N/A"),OR(BO93="Completed",BO93="N/A")),"Completed",IF(((S93="In Progress")+(V93="In Progress")+(Y93="In Progress")+(AC93="In Progress")+(AI93="In Progress")+(AL93="In Progress")+(AO93="In Progress")+(AR93="In Progress")+(AW93="In Progress")+(AZ93="In Progress")+(BC93="In Progress")+(BF93="In Progress")+(P93="In Progress")+(BJ93="In Progress")+(BL93="In Progress")+(BN93="In Progress")+(BO93="In Progress"))&gt;0,"In Progress","Yet to start")))))</f>
        <v/>
      </c>
      <c r="E93" s="18" t="str">
        <f>IF(A93="","",IF(F93="","All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Review","CAB"},MATCH(F93,BQ93:CF93,0))))</f>
        <v/>
      </c>
      <c r="F93" s="19" t="str">
        <f>IF(A93="","",IF(COUNT(BQ93:CF93)=0,"",MIN(BQ93:CF93)))</f>
        <v/>
      </c>
      <c r="G93" s="18" t="str">
        <f ca="1">IF(A93="","",MAX(0,IF(AND(ISNUMBER(Q93),S93&lt;&gt;"Completed",S93&lt;&gt;"N/A",Q93&lt;TODAY()),TODAY()-Q93,0),IF(AND(ISNUMBER(T93),V93&lt;&gt;"Completed",V93&lt;&gt;"N/A",T93&lt;TODAY()),TODAY()-T93,0),IF(AND(ISNUMBER(W93),Y93&lt;&gt;"Completed",Y93&lt;&gt;"N/A",W93&lt;TODAY()),TODAY()-W93,0),IF(AND(ISNUMBER(AA93),AC93&lt;&gt;"Completed",AC93&lt;&gt;"N/A",AA93&lt;TODAY()),TODAY()-AA93,0),IF(AND(ISNUMBER(AG93),AI93&lt;&gt;"Completed",AI93&lt;&gt;"N/A",AG93&lt;TODAY()),TODAY()-AG93,0),IF(AND(ISNUMBER(AJ93),AL93&lt;&gt;"Completed",AL93&lt;&gt;"N/A",AJ93&lt;TODAY()),TODAY()-AJ93,0),IF(AND(ISNUMBER(AM93),AO93&lt;&gt;"Completed",AO93&lt;&gt;"N/A",AM93&lt;TODAY()),TODAY()-AM93,0),IF(AND(ISNUMBER(AP93),AR93&lt;&gt;"Completed",AR93&lt;&gt;"N/A",AP93&lt;TODAY()),TODAY()-AP93,0),IF(AND(ISNUMBER(AU93),AW93&lt;&gt;"Completed",AW93&lt;&gt;"N/A",AU93&lt;TODAY()),TODAY()-AU93,0),IF(AND(ISNUMBER(AX93),AZ93&lt;&gt;"Completed",AZ93&lt;&gt;"N/A",AX93&lt;TODAY()),TODAY()-AX93,0),IF(AND(ISNUMBER(BA93),BC93&lt;&gt;"Completed",BC93&lt;&gt;"N/A",BA93&lt;TODAY()),TODAY()-BA93,0),IF(AND(ISNUMBER(BD93),BF93&lt;&gt;"Completed",BF93&lt;&gt;"N/A",BD93&lt;TODAY()),TODAY()-BD93,0),IF(AND(ISNUMBER(O93),P93&lt;&gt;"Completed",P93&lt;&gt;"N/A",O93&lt;TODAY()),TODAY()-O93,0),IF(AND(ISNUMBER(BM93),BN93&lt;&gt;"Completed",BN93&lt;&gt;"N/A",BM93&lt;TODAY()),TODAY()-BM93,0),IF(AND(ISNUMBER(BK93),BL93&lt;&gt;"Completed",BL93&lt;&gt;"N/A",BK93&lt;TODAY()),TODAY()-BK93,0),IF(AND(ISNUMBER(BI93),BJ93&lt;&gt;"Completed",BJ93&lt;&gt;"N/A",BI93&lt;TODAY()),TODAY()-BI93,0)))</f>
        <v/>
      </c>
      <c r="H93" s="17"/>
      <c r="I93" s="17"/>
      <c r="J93" s="17"/>
      <c r="K93" s="19" t="str">
        <f>IF(ISNUMBER(H93),H93,IF(ISNUMBER(M93),M93-WEEKDAY(M93,2)+1-7,""))</f>
        <v/>
      </c>
      <c r="L93" s="19" t="str">
        <f>IF(ISNUMBER(I93),I93,IF(ISNUMBER(H93),WORKDAY(H93,SprintWorkingDays-1),IF(ISNUMBER(K93),WORKDAY(K93,SprintWorkingDays-1),"")))</f>
        <v/>
      </c>
      <c r="M93" s="19" t="str">
        <f>IF(ISNUMBER(J93),J93,IF(ISNUMBER(I93),I93-IF(OR(WEEKDAY(I93,2)=2,WEEKDAY(I93,2)=4),0,IF(WEEKDAY(I93,2)=3,1,IF(WEEKDAY(I93,2)=1,4,WEEKDAY(I93,2)-4))),IF(ISNUMBER(H93),WORKDAY(H93,SprintWorkingDays-1)-IF(OR(WEEKDAY(WORKDAY(H93,SprintWorkingDays-1),2)=2,WEEKDAY(WORKDAY(H93,SprintWorkingDays-1),2)=4),0,IF(WEEKDAY(WORKDAY(H93,SprintWorkingDays-1),2)=3,1,IF(WEEKDAY(WORKDAY(H93,SprintWorkingDays-1),2)=1,4,WEEKDAY(WORKDAY(H93,SprintWorkingDays-1),2)-4))),"")))</f>
        <v/>
      </c>
      <c r="N93" s="19" t="str">
        <f>IF(NOT(ISNUMBER(K93)),"",WORKDAY(K93,ReadyOffsetWD))</f>
        <v/>
      </c>
      <c r="O93" s="19" t="str">
        <f>IF(NOT(ISNUMBER(K93)),"",WORKDAY(K93,SprintReadinessOffsetWD))</f>
        <v/>
      </c>
      <c r="P93" s="17"/>
      <c r="Q93" s="19" t="str">
        <f>IF(A93="","",IF(V93="N/A",IF(NOT(ISNUMBER(W93)),"",WORKDAY(W93,RTSKOffsetFromOUR_WD)),IF(NOT(ISNUMBER(T93)),"",WORKDAY(T93,RTSKOffsetFromOUR_WD))))</f>
        <v/>
      </c>
      <c r="R93" s="17"/>
      <c r="S93" s="17"/>
      <c r="T93" s="19" t="str">
        <f>IF(OR(A93="",V93="N/A"),"",IF(NOT(ISNUMBER(W93)),"",WORKDAY(W93,OUROffsetFromSR_WD)))</f>
        <v/>
      </c>
      <c r="U93" s="17"/>
      <c r="V93" s="17"/>
      <c r="W93" s="19" t="str">
        <f>IF(OR(A93="",NOT(ISNUMBER(K93))),"",WORKDAY(K93,SROffsetFromStartWD))</f>
        <v/>
      </c>
      <c r="X93" s="17"/>
      <c r="Y93" s="17"/>
      <c r="Z93" s="17"/>
      <c r="AA93" s="19" t="str">
        <f>IF(OR(Z93="",Z93="N/A"),"",IF(ISNUMBER(Q93),Q93,""))</f>
        <v/>
      </c>
      <c r="AB93" s="17"/>
      <c r="AC93" s="17"/>
      <c r="AD93" s="17"/>
      <c r="AE93" s="17"/>
      <c r="AF93" s="17" t="str">
        <f>IF(Z93="N/A","N/A","")</f>
        <v/>
      </c>
      <c r="AG93" s="19" t="str">
        <f>IF(NOT(ISNUMBER(Q93)),"",Q93)</f>
        <v/>
      </c>
      <c r="AH93" s="17"/>
      <c r="AI93" s="17"/>
      <c r="AJ93" s="19" t="str">
        <f>IF(OR(AL93="N/A",NOT(ISNUMBER(T93))),"",T93)</f>
        <v/>
      </c>
      <c r="AK93" s="17"/>
      <c r="AL93" s="17"/>
      <c r="AM93" s="19" t="str">
        <f>IF(NOT(ISNUMBER(W93)),"",W93)</f>
        <v/>
      </c>
      <c r="AN93" s="17"/>
      <c r="AO93" s="17"/>
      <c r="AP93" s="19" t="str">
        <f>IF(OR(Z93="",Z93="N/A"),"",IF(ISNUMBER(AG93),AG93,""))</f>
        <v/>
      </c>
      <c r="AQ93" s="17"/>
      <c r="AR93" s="17"/>
      <c r="AS93" s="17"/>
      <c r="AT93" s="17"/>
      <c r="AU93" s="19" t="str">
        <f>IF(NOT(ISNUMBER(Q93)),"",Q93)</f>
        <v/>
      </c>
      <c r="AV93" s="17"/>
      <c r="AW93" s="17"/>
      <c r="AX93" s="19" t="str">
        <f>IF(OR(AZ93="N/A",NOT(ISNUMBER(T93))),"",T93)</f>
        <v/>
      </c>
      <c r="AY93" s="17"/>
      <c r="AZ93" s="17"/>
      <c r="BA93" s="19" t="str">
        <f>IF(NOT(ISNUMBER(W93)),"",W93)</f>
        <v/>
      </c>
      <c r="BB93" s="17"/>
      <c r="BC93" s="17"/>
      <c r="BD93" s="19" t="str">
        <f>IF(OR(Z93="",Z93="N/A"),"",IF(ISNUMBER(AU93),AU93,""))</f>
        <v/>
      </c>
      <c r="BE93" s="17"/>
      <c r="BF93" s="17"/>
      <c r="BG93" s="17"/>
      <c r="BH93" s="17"/>
      <c r="BI93" s="89" t="e">
        <f>IF(OR(A93="",NOT(ISNUMBER(M93)),AND(WEEKDAY(M93,2)&lt;&gt;2,WEEKDAY(M93,2)&lt;&gt;4)),"",WORKDAY(M93,CABOffsetFromReleaseWD))</f>
        <v>#VALUE!</v>
      </c>
      <c r="BJ93" s="17"/>
      <c r="BK93" s="19" t="str">
        <f>IF(NOT(ISNUMBER(BI93)),"",IF(WEEKDAY(BI93-CodeReviewCalendarDays,2)&gt;5,BI93-CodeReviewCalendarDays-(WEEKDAY(BI93-CodeReviewCalendarDays,2)-5),BI93-CodeReviewCalendarDays))</f>
        <v/>
      </c>
      <c r="BL93" s="17"/>
      <c r="BM93" s="19" t="str">
        <f>IF(NOT(ISNUMBER(BK93)),"",IF(WEEKDAY(BK93-CodeReviewInviteCalendarDays,2)&gt;5,BK93-CodeReviewInviteCalendarDays-(WEEKDAY(BK93-CodeReviewInviteCalendarDays,2)-5),BK93-CodeReviewInviteCalendarDays))</f>
        <v/>
      </c>
      <c r="BN93" s="17"/>
      <c r="BO93" s="17"/>
      <c r="BP93" s="18" t="str">
        <f ca="1">IF(A93="","",IF(IF(AND(ISNUMBER(J93),WEEKDAY(J93,2)&lt;&gt;2,WEEKDAY(J93,2)&lt;&gt;4)," | Release must be Tuesday or Thursday","")&amp;IF(AND(ISNUMBER(H93),WEEKDAY(H93,2)&lt;&gt;1)," | Sprint Start is not a Monday - dates still calculated from the date entered","")&amp;IF(AND(A93&lt;&gt;"",NOT(ISNUMBER(H93)),NOT(ISNUMBER(J93)))," | Enter Sprint Start or Release Date","")&amp;IF(AND(ISNUMBER(F93),F93&lt;TODAY(),D93&lt;&gt;"Completed")," | One or more raise-by dates are in the past and not completed","")&amp;IF(AND(ISNUMBER(K93),K93-TODAY()&lt;SprintWarningDays,K93&gt;=TODAY(),OR(D93="Yet to start",D93="Blocked"))," | Sprint starts in under 10 days - raise access requests now","")&amp;IF(AND(ISNUMBER(BM93),BN93&lt;&gt;"Completed",BN93&lt;&gt;"N/A",BM93-TODAY()&lt;CodeReviewInviteCalendarDays)," | Code Review invite should be sent at least 4 days before Code Review","")="","",MID(IF(AND(ISNUMBER(J93),WEEKDAY(J93,2)&lt;&gt;2,WEEKDAY(J93,2)&lt;&gt;4)," | Release must be Tuesday or Thursday","")&amp;IF(AND(ISNUMBER(H93),WEEKDAY(H93,2)&lt;&gt;1)," | Sprint Start is not a Monday - dates still calculated from the date entered","")&amp;IF(AND(A93&lt;&gt;"",NOT(ISNUMBER(H93)),NOT(ISNUMBER(J93)))," | Enter Sprint Start or Release Date","")&amp;IF(AND(ISNUMBER(F93),F93&lt;TODAY(),D93&lt;&gt;"Completed")," | One or more raise-by dates are in the past and not completed","")&amp;IF(AND(ISNUMBER(K93),K93-TODAY()&lt;SprintWarningDays,K93&gt;=TODAY(),OR(D93="Yet to start",D93="Blocked"))," | Sprint starts in under 10 days - raise access requests now","")&amp;IF(AND(ISNUMBER(BM93),BN93&lt;&gt;"Completed",BN93&lt;&gt;"N/A",BM93-TODAY()&lt;CodeReviewInviteCalendarDays)," | Code Review invite should be sent at least 4 days before Code Review",""),4,500)))</f>
        <v/>
      </c>
      <c r="BQ93" s="85" t="str">
        <f>IF(AND(ISNUMBER(Q93),S93&lt;&gt;"Completed",S93&lt;&gt;"N/A"),Q93,"")</f>
        <v/>
      </c>
      <c r="BR93" s="85" t="str">
        <f>IF(AND(ISNUMBER(T93),V93&lt;&gt;"Completed",V93&lt;&gt;"N/A"),T93,"")</f>
        <v/>
      </c>
      <c r="BS93" s="85" t="str">
        <f>IF(AND(ISNUMBER(W93),Y93&lt;&gt;"Completed",Y93&lt;&gt;"N/A"),W93,"")</f>
        <v/>
      </c>
      <c r="BT93" s="85" t="str">
        <f>IF(AND(ISNUMBER(AA93),AC93&lt;&gt;"Completed",AC93&lt;&gt;"N/A"),AA93,"")</f>
        <v/>
      </c>
      <c r="BU93" s="85" t="str">
        <f>IF(AND(ISNUMBER(AG93),AI93&lt;&gt;"Completed",AI93&lt;&gt;"N/A"),AG93,"")</f>
        <v/>
      </c>
      <c r="BV93" s="85" t="str">
        <f>IF(AND(ISNUMBER(AJ93),AL93&lt;&gt;"Completed",AL93&lt;&gt;"N/A"),AJ93,"")</f>
        <v/>
      </c>
      <c r="BW93" s="85" t="str">
        <f>IF(AND(ISNUMBER(AM93),AO93&lt;&gt;"Completed",AO93&lt;&gt;"N/A"),AM93,"")</f>
        <v/>
      </c>
      <c r="BX93" s="85" t="str">
        <f>IF(AND(ISNUMBER(AP93),AR93&lt;&gt;"Completed",AR93&lt;&gt;"N/A"),AP93,"")</f>
        <v/>
      </c>
      <c r="BY93" s="85" t="str">
        <f>IF(AND(ISNUMBER(AU93),AW93&lt;&gt;"Completed",AW93&lt;&gt;"N/A"),AU93,"")</f>
        <v/>
      </c>
      <c r="BZ93" s="85" t="str">
        <f>IF(AND(ISNUMBER(AX93),AZ93&lt;&gt;"Completed",AZ93&lt;&gt;"N/A"),AX93,"")</f>
        <v/>
      </c>
      <c r="CA93" s="85" t="str">
        <f>IF(AND(ISNUMBER(BA93),BC93&lt;&gt;"Completed",BC93&lt;&gt;"N/A"),BA93,"")</f>
        <v/>
      </c>
      <c r="CB93" s="85" t="str">
        <f>IF(AND(ISNUMBER(BD93),BF93&lt;&gt;"Completed",BF93&lt;&gt;"N/A"),BD93,"")</f>
        <v/>
      </c>
      <c r="CC93" s="85" t="str">
        <f>IF(AND(ISNUMBER(O93),P93&lt;&gt;"Completed",P93&lt;&gt;"N/A"),O93,"")</f>
        <v/>
      </c>
      <c r="CD93" s="85" t="str">
        <f>IF(AND(ISNUMBER(BM93),BN93&lt;&gt;"Completed",BN93&lt;&gt;"N/A"),BM93,"")</f>
        <v/>
      </c>
      <c r="CE93" s="85" t="str">
        <f>IF(AND(ISNUMBER(BK93),BL93&lt;&gt;"Completed",BL93&lt;&gt;"N/A"),BK93,"")</f>
        <v/>
      </c>
      <c r="CF93" s="85" t="str">
        <f>IF(AND(ISNUMBER(BI93),BJ93&lt;&gt;"Completed",BJ93&lt;&gt;"N/A"),BI93,"")</f>
        <v/>
      </c>
      <c r="CG93" s="85" t="str">
        <f ca="1">IF(OR(A93="",D93="Completed"),"",IF(N(G93)&gt;0,1/(N(G93)+ROW()/100000),IF(ISNUMBER(F93),1000+F93+ROW()/100000,TODAY()+400+ROW()/100000)))</f>
        <v/>
      </c>
    </row>
    <row r="94" spans="1:85">
      <c r="A94" s="17"/>
      <c r="B94" s="17"/>
      <c r="C94" s="17"/>
      <c r="D94" s="18" t="str">
        <f>IF(A94="","",IF(((S94="Blocked")+(V94="Blocked")+(Y94="Blocked")+(AC94="Blocked")+(AI94="Blocked")+(AL94="Blocked")+(AO94="Blocked")+(AR94="Blocked")+(AW94="Blocked")+(AZ94="Blocked")+(BC94="Blocked")+(BF94="Blocked")+(P94="Blocked")+(BJ94="Blocked")+(BL94="Blocked")+(BN94="Blocked")+(BO94="Blocked"))&gt;0,"Blocked",IF((ISNUMBER(Q94)+ISNUMBER(T94)+ISNUMBER(W94)+ISNUMBER(AA94)+ISNUMBER(AG94)+ISNUMBER(AJ94)+ISNUMBER(AM94)+ISNUMBER(AP94)+ISNUMBER(AU94)+ISNUMBER(AX94)+ISNUMBER(BA94)+ISNUMBER(BD94)+ISNUMBER(O94)+ISNUMBER(BI94)+ISNUMBER(BK94)+ISNUMBER(BM94))=0,"Yet to start",IF(AND(OR(NOT(ISNUMBER(Q94)),S94="Completed",S94="N/A"),OR(NOT(ISNUMBER(T94)),V94="Completed",V94="N/A"),OR(NOT(ISNUMBER(W94)),Y94="Completed",Y94="N/A"),OR(NOT(ISNUMBER(AA94)),AC94="Completed",AC94="N/A"),OR(NOT(ISNUMBER(AG94)),AI94="Completed",AI94="N/A"),OR(NOT(ISNUMBER(AJ94)),AL94="Completed",AL94="N/A"),OR(NOT(ISNUMBER(AM94)),AO94="Completed",AO94="N/A"),OR(NOT(ISNUMBER(AP94)),AR94="Completed",AR94="N/A"),OR(NOT(ISNUMBER(AU94)),AW94="Completed",AW94="N/A"),OR(NOT(ISNUMBER(AX94)),AZ94="Completed",AZ94="N/A"),OR(NOT(ISNUMBER(BA94)),BC94="Completed",BC94="N/A"),OR(NOT(ISNUMBER(BD94)),BF94="Completed",BF94="N/A"),OR(NOT(ISNUMBER(O94)),P94="Completed",P94="N/A"),OR(NOT(ISNUMBER(BI94)),BJ94="Completed",BJ94="N/A"),OR(NOT(ISNUMBER(BK94)),BL94="Completed",BL94="N/A"),OR(NOT(ISNUMBER(BM94)),BN94="Completed",BN94="N/A"),OR(BO94="Completed",BO94="N/A")),"Completed",IF(((S94="In Progress")+(V94="In Progress")+(Y94="In Progress")+(AC94="In Progress")+(AI94="In Progress")+(AL94="In Progress")+(AO94="In Progress")+(AR94="In Progress")+(AW94="In Progress")+(AZ94="In Progress")+(BC94="In Progress")+(BF94="In Progress")+(P94="In Progress")+(BJ94="In Progress")+(BL94="In Progress")+(BN94="In Progress")+(BO94="In Progress"))&gt;0,"In Progress","Yet to start")))))</f>
        <v/>
      </c>
      <c r="E94" s="18" t="str">
        <f>IF(A94="","",IF(F94="","All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Review","CAB"},MATCH(F94,BQ94:CF94,0))))</f>
        <v/>
      </c>
      <c r="F94" s="19" t="str">
        <f>IF(A94="","",IF(COUNT(BQ94:CF94)=0,"",MIN(BQ94:CF94)))</f>
        <v/>
      </c>
      <c r="G94" s="18" t="str">
        <f ca="1">IF(A94="","",MAX(0,IF(AND(ISNUMBER(Q94),S94&lt;&gt;"Completed",S94&lt;&gt;"N/A",Q94&lt;TODAY()),TODAY()-Q94,0),IF(AND(ISNUMBER(T94),V94&lt;&gt;"Completed",V94&lt;&gt;"N/A",T94&lt;TODAY()),TODAY()-T94,0),IF(AND(ISNUMBER(W94),Y94&lt;&gt;"Completed",Y94&lt;&gt;"N/A",W94&lt;TODAY()),TODAY()-W94,0),IF(AND(ISNUMBER(AA94),AC94&lt;&gt;"Completed",AC94&lt;&gt;"N/A",AA94&lt;TODAY()),TODAY()-AA94,0),IF(AND(ISNUMBER(AG94),AI94&lt;&gt;"Completed",AI94&lt;&gt;"N/A",AG94&lt;TODAY()),TODAY()-AG94,0),IF(AND(ISNUMBER(AJ94),AL94&lt;&gt;"Completed",AL94&lt;&gt;"N/A",AJ94&lt;TODAY()),TODAY()-AJ94,0),IF(AND(ISNUMBER(AM94),AO94&lt;&gt;"Completed",AO94&lt;&gt;"N/A",AM94&lt;TODAY()),TODAY()-AM94,0),IF(AND(ISNUMBER(AP94),AR94&lt;&gt;"Completed",AR94&lt;&gt;"N/A",AP94&lt;TODAY()),TODAY()-AP94,0),IF(AND(ISNUMBER(AU94),AW94&lt;&gt;"Completed",AW94&lt;&gt;"N/A",AU94&lt;TODAY()),TODAY()-AU94,0),IF(AND(ISNUMBER(AX94),AZ94&lt;&gt;"Completed",AZ94&lt;&gt;"N/A",AX94&lt;TODAY()),TODAY()-AX94,0),IF(AND(ISNUMBER(BA94),BC94&lt;&gt;"Completed",BC94&lt;&gt;"N/A",BA94&lt;TODAY()),TODAY()-BA94,0),IF(AND(ISNUMBER(BD94),BF94&lt;&gt;"Completed",BF94&lt;&gt;"N/A",BD94&lt;TODAY()),TODAY()-BD94,0),IF(AND(ISNUMBER(O94),P94&lt;&gt;"Completed",P94&lt;&gt;"N/A",O94&lt;TODAY()),TODAY()-O94,0),IF(AND(ISNUMBER(BM94),BN94&lt;&gt;"Completed",BN94&lt;&gt;"N/A",BM94&lt;TODAY()),TODAY()-BM94,0),IF(AND(ISNUMBER(BK94),BL94&lt;&gt;"Completed",BL94&lt;&gt;"N/A",BK94&lt;TODAY()),TODAY()-BK94,0),IF(AND(ISNUMBER(BI94),BJ94&lt;&gt;"Completed",BJ94&lt;&gt;"N/A",BI94&lt;TODAY()),TODAY()-BI94,0)))</f>
        <v/>
      </c>
      <c r="H94" s="17"/>
      <c r="I94" s="17"/>
      <c r="J94" s="17"/>
      <c r="K94" s="19" t="str">
        <f>IF(ISNUMBER(H94),H94,IF(ISNUMBER(M94),M94-WEEKDAY(M94,2)+1-7,""))</f>
        <v/>
      </c>
      <c r="L94" s="19" t="str">
        <f>IF(ISNUMBER(I94),I94,IF(ISNUMBER(H94),WORKDAY(H94,SprintWorkingDays-1),IF(ISNUMBER(K94),WORKDAY(K94,SprintWorkingDays-1),"")))</f>
        <v/>
      </c>
      <c r="M94" s="19" t="str">
        <f>IF(ISNUMBER(J94),J94,IF(ISNUMBER(I94),I94-IF(OR(WEEKDAY(I94,2)=2,WEEKDAY(I94,2)=4),0,IF(WEEKDAY(I94,2)=3,1,IF(WEEKDAY(I94,2)=1,4,WEEKDAY(I94,2)-4))),IF(ISNUMBER(H94),WORKDAY(H94,SprintWorkingDays-1)-IF(OR(WEEKDAY(WORKDAY(H94,SprintWorkingDays-1),2)=2,WEEKDAY(WORKDAY(H94,SprintWorkingDays-1),2)=4),0,IF(WEEKDAY(WORKDAY(H94,SprintWorkingDays-1),2)=3,1,IF(WEEKDAY(WORKDAY(H94,SprintWorkingDays-1),2)=1,4,WEEKDAY(WORKDAY(H94,SprintWorkingDays-1),2)-4))),"")))</f>
        <v/>
      </c>
      <c r="N94" s="19" t="str">
        <f>IF(NOT(ISNUMBER(K94)),"",WORKDAY(K94,ReadyOffsetWD))</f>
        <v/>
      </c>
      <c r="O94" s="19" t="str">
        <f>IF(NOT(ISNUMBER(K94)),"",WORKDAY(K94,SprintReadinessOffsetWD))</f>
        <v/>
      </c>
      <c r="P94" s="17"/>
      <c r="Q94" s="19" t="str">
        <f>IF(A94="","",IF(V94="N/A",IF(NOT(ISNUMBER(W94)),"",WORKDAY(W94,RTSKOffsetFromOUR_WD)),IF(NOT(ISNUMBER(T94)),"",WORKDAY(T94,RTSKOffsetFromOUR_WD))))</f>
        <v/>
      </c>
      <c r="R94" s="17"/>
      <c r="S94" s="17"/>
      <c r="T94" s="19" t="str">
        <f>IF(OR(A94="",V94="N/A"),"",IF(NOT(ISNUMBER(W94)),"",WORKDAY(W94,OUROffsetFromSR_WD)))</f>
        <v/>
      </c>
      <c r="U94" s="17"/>
      <c r="V94" s="17"/>
      <c r="W94" s="19" t="str">
        <f>IF(OR(A94="",NOT(ISNUMBER(K94))),"",WORKDAY(K94,SROffsetFromStartWD))</f>
        <v/>
      </c>
      <c r="X94" s="17"/>
      <c r="Y94" s="17"/>
      <c r="Z94" s="17"/>
      <c r="AA94" s="19" t="str">
        <f>IF(OR(Z94="",Z94="N/A"),"",IF(ISNUMBER(Q94),Q94,""))</f>
        <v/>
      </c>
      <c r="AB94" s="17"/>
      <c r="AC94" s="17"/>
      <c r="AD94" s="17"/>
      <c r="AE94" s="17"/>
      <c r="AF94" s="17" t="str">
        <f>IF(Z94="N/A","N/A","")</f>
        <v/>
      </c>
      <c r="AG94" s="19" t="str">
        <f>IF(NOT(ISNUMBER(Q94)),"",Q94)</f>
        <v/>
      </c>
      <c r="AH94" s="17"/>
      <c r="AI94" s="17"/>
      <c r="AJ94" s="19" t="str">
        <f>IF(OR(AL94="N/A",NOT(ISNUMBER(T94))),"",T94)</f>
        <v/>
      </c>
      <c r="AK94" s="17"/>
      <c r="AL94" s="17"/>
      <c r="AM94" s="19" t="str">
        <f>IF(NOT(ISNUMBER(W94)),"",W94)</f>
        <v/>
      </c>
      <c r="AN94" s="17"/>
      <c r="AO94" s="17"/>
      <c r="AP94" s="19" t="str">
        <f>IF(OR(Z94="",Z94="N/A"),"",IF(ISNUMBER(AG94),AG94,""))</f>
        <v/>
      </c>
      <c r="AQ94" s="17"/>
      <c r="AR94" s="17"/>
      <c r="AS94" s="17"/>
      <c r="AT94" s="17"/>
      <c r="AU94" s="19" t="str">
        <f>IF(NOT(ISNUMBER(Q94)),"",Q94)</f>
        <v/>
      </c>
      <c r="AV94" s="17"/>
      <c r="AW94" s="17"/>
      <c r="AX94" s="19" t="str">
        <f>IF(OR(AZ94="N/A",NOT(ISNUMBER(T94))),"",T94)</f>
        <v/>
      </c>
      <c r="AY94" s="17"/>
      <c r="AZ94" s="17"/>
      <c r="BA94" s="19" t="str">
        <f>IF(NOT(ISNUMBER(W94)),"",W94)</f>
        <v/>
      </c>
      <c r="BB94" s="17"/>
      <c r="BC94" s="17"/>
      <c r="BD94" s="19" t="str">
        <f>IF(OR(Z94="",Z94="N/A"),"",IF(ISNUMBER(AU94),AU94,""))</f>
        <v/>
      </c>
      <c r="BE94" s="17"/>
      <c r="BF94" s="17"/>
      <c r="BG94" s="17"/>
      <c r="BH94" s="17"/>
      <c r="BI94" s="89" t="e">
        <f>IF(OR(A94="",NOT(ISNUMBER(M94)),AND(WEEKDAY(M94,2)&lt;&gt;2,WEEKDAY(M94,2)&lt;&gt;4)),"",WORKDAY(M94,CABOffsetFromReleaseWD))</f>
        <v>#VALUE!</v>
      </c>
      <c r="BJ94" s="17"/>
      <c r="BK94" s="19" t="str">
        <f>IF(NOT(ISNUMBER(BI94)),"",IF(WEEKDAY(BI94-CodeReviewCalendarDays,2)&gt;5,BI94-CodeReviewCalendarDays-(WEEKDAY(BI94-CodeReviewCalendarDays,2)-5),BI94-CodeReviewCalendarDays))</f>
        <v/>
      </c>
      <c r="BL94" s="17"/>
      <c r="BM94" s="19" t="str">
        <f>IF(NOT(ISNUMBER(BK94)),"",IF(WEEKDAY(BK94-CodeReviewInviteCalendarDays,2)&gt;5,BK94-CodeReviewInviteCalendarDays-(WEEKDAY(BK94-CodeReviewInviteCalendarDays,2)-5),BK94-CodeReviewInviteCalendarDays))</f>
        <v/>
      </c>
      <c r="BN94" s="17"/>
      <c r="BO94" s="17"/>
      <c r="BP94" s="18" t="str">
        <f ca="1">IF(A94="","",IF(IF(AND(ISNUMBER(J94),WEEKDAY(J94,2)&lt;&gt;2,WEEKDAY(J94,2)&lt;&gt;4)," | Release must be Tuesday or Thursday","")&amp;IF(AND(ISNUMBER(H94),WEEKDAY(H94,2)&lt;&gt;1)," | Sprint Start is not a Monday - dates still calculated from the date entered","")&amp;IF(AND(A94&lt;&gt;"",NOT(ISNUMBER(H94)),NOT(ISNUMBER(J94)))," | Enter Sprint Start or Release Date","")&amp;IF(AND(ISNUMBER(F94),F94&lt;TODAY(),D94&lt;&gt;"Completed")," | One or more raise-by dates are in the past and not completed","")&amp;IF(AND(ISNUMBER(K94),K94-TODAY()&lt;SprintWarningDays,K94&gt;=TODAY(),OR(D94="Yet to start",D94="Blocked"))," | Sprint starts in under 10 days - raise access requests now","")&amp;IF(AND(ISNUMBER(BM94),BN94&lt;&gt;"Completed",BN94&lt;&gt;"N/A",BM94-TODAY()&lt;CodeReviewInviteCalendarDays)," | Code Review invite should be sent at least 4 days before Code Review","")="","",MID(IF(AND(ISNUMBER(J94),WEEKDAY(J94,2)&lt;&gt;2,WEEKDAY(J94,2)&lt;&gt;4)," | Release must be Tuesday or Thursday","")&amp;IF(AND(ISNUMBER(H94),WEEKDAY(H94,2)&lt;&gt;1)," | Sprint Start is not a Monday - dates still calculated from the date entered","")&amp;IF(AND(A94&lt;&gt;"",NOT(ISNUMBER(H94)),NOT(ISNUMBER(J94)))," | Enter Sprint Start or Release Date","")&amp;IF(AND(ISNUMBER(F94),F94&lt;TODAY(),D94&lt;&gt;"Completed")," | One or more raise-by dates are in the past and not completed","")&amp;IF(AND(ISNUMBER(K94),K94-TODAY()&lt;SprintWarningDays,K94&gt;=TODAY(),OR(D94="Yet to start",D94="Blocked"))," | Sprint starts in under 10 days - raise access requests now","")&amp;IF(AND(ISNUMBER(BM94),BN94&lt;&gt;"Completed",BN94&lt;&gt;"N/A",BM94-TODAY()&lt;CodeReviewInviteCalendarDays)," | Code Review invite should be sent at least 4 days before Code Review",""),4,500)))</f>
        <v/>
      </c>
      <c r="BQ94" s="85" t="str">
        <f>IF(AND(ISNUMBER(Q94),S94&lt;&gt;"Completed",S94&lt;&gt;"N/A"),Q94,"")</f>
        <v/>
      </c>
      <c r="BR94" s="85" t="str">
        <f>IF(AND(ISNUMBER(T94),V94&lt;&gt;"Completed",V94&lt;&gt;"N/A"),T94,"")</f>
        <v/>
      </c>
      <c r="BS94" s="85" t="str">
        <f>IF(AND(ISNUMBER(W94),Y94&lt;&gt;"Completed",Y94&lt;&gt;"N/A"),W94,"")</f>
        <v/>
      </c>
      <c r="BT94" s="85" t="str">
        <f>IF(AND(ISNUMBER(AA94),AC94&lt;&gt;"Completed",AC94&lt;&gt;"N/A"),AA94,"")</f>
        <v/>
      </c>
      <c r="BU94" s="85" t="str">
        <f>IF(AND(ISNUMBER(AG94),AI94&lt;&gt;"Completed",AI94&lt;&gt;"N/A"),AG94,"")</f>
        <v/>
      </c>
      <c r="BV94" s="85" t="str">
        <f>IF(AND(ISNUMBER(AJ94),AL94&lt;&gt;"Completed",AL94&lt;&gt;"N/A"),AJ94,"")</f>
        <v/>
      </c>
      <c r="BW94" s="85" t="str">
        <f>IF(AND(ISNUMBER(AM94),AO94&lt;&gt;"Completed",AO94&lt;&gt;"N/A"),AM94,"")</f>
        <v/>
      </c>
      <c r="BX94" s="85" t="str">
        <f>IF(AND(ISNUMBER(AP94),AR94&lt;&gt;"Completed",AR94&lt;&gt;"N/A"),AP94,"")</f>
        <v/>
      </c>
      <c r="BY94" s="85" t="str">
        <f>IF(AND(ISNUMBER(AU94),AW94&lt;&gt;"Completed",AW94&lt;&gt;"N/A"),AU94,"")</f>
        <v/>
      </c>
      <c r="BZ94" s="85" t="str">
        <f>IF(AND(ISNUMBER(AX94),AZ94&lt;&gt;"Completed",AZ94&lt;&gt;"N/A"),AX94,"")</f>
        <v/>
      </c>
      <c r="CA94" s="85" t="str">
        <f>IF(AND(ISNUMBER(BA94),BC94&lt;&gt;"Completed",BC94&lt;&gt;"N/A"),BA94,"")</f>
        <v/>
      </c>
      <c r="CB94" s="85" t="str">
        <f>IF(AND(ISNUMBER(BD94),BF94&lt;&gt;"Completed",BF94&lt;&gt;"N/A"),BD94,"")</f>
        <v/>
      </c>
      <c r="CC94" s="85" t="str">
        <f>IF(AND(ISNUMBER(O94),P94&lt;&gt;"Completed",P94&lt;&gt;"N/A"),O94,"")</f>
        <v/>
      </c>
      <c r="CD94" s="85" t="str">
        <f>IF(AND(ISNUMBER(BM94),BN94&lt;&gt;"Completed",BN94&lt;&gt;"N/A"),BM94,"")</f>
        <v/>
      </c>
      <c r="CE94" s="85" t="str">
        <f>IF(AND(ISNUMBER(BK94),BL94&lt;&gt;"Completed",BL94&lt;&gt;"N/A"),BK94,"")</f>
        <v/>
      </c>
      <c r="CF94" s="85" t="str">
        <f>IF(AND(ISNUMBER(BI94),BJ94&lt;&gt;"Completed",BJ94&lt;&gt;"N/A"),BI94,"")</f>
        <v/>
      </c>
      <c r="CG94" s="85" t="str">
        <f ca="1">IF(OR(A94="",D94="Completed"),"",IF(N(G94)&gt;0,1/(N(G94)+ROW()/100000),IF(ISNUMBER(F94),1000+F94+ROW()/100000,TODAY()+400+ROW()/100000)))</f>
        <v/>
      </c>
    </row>
    <row r="95" spans="1:85">
      <c r="A95" s="17"/>
      <c r="B95" s="17"/>
      <c r="C95" s="17"/>
      <c r="D95" s="18" t="str">
        <f>IF(A95="","",IF(((S95="Blocked")+(V95="Blocked")+(Y95="Blocked")+(AC95="Blocked")+(AI95="Blocked")+(AL95="Blocked")+(AO95="Blocked")+(AR95="Blocked")+(AW95="Blocked")+(AZ95="Blocked")+(BC95="Blocked")+(BF95="Blocked")+(P95="Blocked")+(BJ95="Blocked")+(BL95="Blocked")+(BN95="Blocked")+(BO95="Blocked"))&gt;0,"Blocked",IF((ISNUMBER(Q95)+ISNUMBER(T95)+ISNUMBER(W95)+ISNUMBER(AA95)+ISNUMBER(AG95)+ISNUMBER(AJ95)+ISNUMBER(AM95)+ISNUMBER(AP95)+ISNUMBER(AU95)+ISNUMBER(AX95)+ISNUMBER(BA95)+ISNUMBER(BD95)+ISNUMBER(O95)+ISNUMBER(BI95)+ISNUMBER(BK95)+ISNUMBER(BM95))=0,"Yet to start",IF(AND(OR(NOT(ISNUMBER(Q95)),S95="Completed",S95="N/A"),OR(NOT(ISNUMBER(T95)),V95="Completed",V95="N/A"),OR(NOT(ISNUMBER(W95)),Y95="Completed",Y95="N/A"),OR(NOT(ISNUMBER(AA95)),AC95="Completed",AC95="N/A"),OR(NOT(ISNUMBER(AG95)),AI95="Completed",AI95="N/A"),OR(NOT(ISNUMBER(AJ95)),AL95="Completed",AL95="N/A"),OR(NOT(ISNUMBER(AM95)),AO95="Completed",AO95="N/A"),OR(NOT(ISNUMBER(AP95)),AR95="Completed",AR95="N/A"),OR(NOT(ISNUMBER(AU95)),AW95="Completed",AW95="N/A"),OR(NOT(ISNUMBER(AX95)),AZ95="Completed",AZ95="N/A"),OR(NOT(ISNUMBER(BA95)),BC95="Completed",BC95="N/A"),OR(NOT(ISNUMBER(BD95)),BF95="Completed",BF95="N/A"),OR(NOT(ISNUMBER(O95)),P95="Completed",P95="N/A"),OR(NOT(ISNUMBER(BI95)),BJ95="Completed",BJ95="N/A"),OR(NOT(ISNUMBER(BK95)),BL95="Completed",BL95="N/A"),OR(NOT(ISNUMBER(BM95)),BN95="Completed",BN95="N/A"),OR(BO95="Completed",BO95="N/A")),"Completed",IF(((S95="In Progress")+(V95="In Progress")+(Y95="In Progress")+(AC95="In Progress")+(AI95="In Progress")+(AL95="In Progress")+(AO95="In Progress")+(AR95="In Progress")+(AW95="In Progress")+(AZ95="In Progress")+(BC95="In Progress")+(BF95="In Progress")+(P95="In Progress")+(BJ95="In Progress")+(BL95="In Progress")+(BN95="In Progress")+(BO95="In Progress"))&gt;0,"In Progress","Yet to start")))))</f>
        <v/>
      </c>
      <c r="E95" s="18" t="str">
        <f>IF(A95="","",IF(F95="","All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Review","CAB"},MATCH(F95,BQ95:CF95,0))))</f>
        <v/>
      </c>
      <c r="F95" s="19" t="str">
        <f>IF(A95="","",IF(COUNT(BQ95:CF95)=0,"",MIN(BQ95:CF95)))</f>
        <v/>
      </c>
      <c r="G95" s="18" t="str">
        <f ca="1">IF(A95="","",MAX(0,IF(AND(ISNUMBER(Q95),S95&lt;&gt;"Completed",S95&lt;&gt;"N/A",Q95&lt;TODAY()),TODAY()-Q95,0),IF(AND(ISNUMBER(T95),V95&lt;&gt;"Completed",V95&lt;&gt;"N/A",T95&lt;TODAY()),TODAY()-T95,0),IF(AND(ISNUMBER(W95),Y95&lt;&gt;"Completed",Y95&lt;&gt;"N/A",W95&lt;TODAY()),TODAY()-W95,0),IF(AND(ISNUMBER(AA95),AC95&lt;&gt;"Completed",AC95&lt;&gt;"N/A",AA95&lt;TODAY()),TODAY()-AA95,0),IF(AND(ISNUMBER(AG95),AI95&lt;&gt;"Completed",AI95&lt;&gt;"N/A",AG95&lt;TODAY()),TODAY()-AG95,0),IF(AND(ISNUMBER(AJ95),AL95&lt;&gt;"Completed",AL95&lt;&gt;"N/A",AJ95&lt;TODAY()),TODAY()-AJ95,0),IF(AND(ISNUMBER(AM95),AO95&lt;&gt;"Completed",AO95&lt;&gt;"N/A",AM95&lt;TODAY()),TODAY()-AM95,0),IF(AND(ISNUMBER(AP95),AR95&lt;&gt;"Completed",AR95&lt;&gt;"N/A",AP95&lt;TODAY()),TODAY()-AP95,0),IF(AND(ISNUMBER(AU95),AW95&lt;&gt;"Completed",AW95&lt;&gt;"N/A",AU95&lt;TODAY()),TODAY()-AU95,0),IF(AND(ISNUMBER(AX95),AZ95&lt;&gt;"Completed",AZ95&lt;&gt;"N/A",AX95&lt;TODAY()),TODAY()-AX95,0),IF(AND(ISNUMBER(BA95),BC95&lt;&gt;"Completed",BC95&lt;&gt;"N/A",BA95&lt;TODAY()),TODAY()-BA95,0),IF(AND(ISNUMBER(BD95),BF95&lt;&gt;"Completed",BF95&lt;&gt;"N/A",BD95&lt;TODAY()),TODAY()-BD95,0),IF(AND(ISNUMBER(O95),P95&lt;&gt;"Completed",P95&lt;&gt;"N/A",O95&lt;TODAY()),TODAY()-O95,0),IF(AND(ISNUMBER(BM95),BN95&lt;&gt;"Completed",BN95&lt;&gt;"N/A",BM95&lt;TODAY()),TODAY()-BM95,0),IF(AND(ISNUMBER(BK95),BL95&lt;&gt;"Completed",BL95&lt;&gt;"N/A",BK95&lt;TODAY()),TODAY()-BK95,0),IF(AND(ISNUMBER(BI95),BJ95&lt;&gt;"Completed",BJ95&lt;&gt;"N/A",BI95&lt;TODAY()),TODAY()-BI95,0)))</f>
        <v/>
      </c>
      <c r="H95" s="17"/>
      <c r="I95" s="17"/>
      <c r="J95" s="17"/>
      <c r="K95" s="19" t="str">
        <f>IF(ISNUMBER(H95),H95,IF(ISNUMBER(M95),M95-WEEKDAY(M95,2)+1-7,""))</f>
        <v/>
      </c>
      <c r="L95" s="19" t="str">
        <f>IF(ISNUMBER(I95),I95,IF(ISNUMBER(H95),WORKDAY(H95,SprintWorkingDays-1),IF(ISNUMBER(K95),WORKDAY(K95,SprintWorkingDays-1),"")))</f>
        <v/>
      </c>
      <c r="M95" s="19" t="str">
        <f>IF(ISNUMBER(J95),J95,IF(ISNUMBER(I95),I95-IF(OR(WEEKDAY(I95,2)=2,WEEKDAY(I95,2)=4),0,IF(WEEKDAY(I95,2)=3,1,IF(WEEKDAY(I95,2)=1,4,WEEKDAY(I95,2)-4))),IF(ISNUMBER(H95),WORKDAY(H95,SprintWorkingDays-1)-IF(OR(WEEKDAY(WORKDAY(H95,SprintWorkingDays-1),2)=2,WEEKDAY(WORKDAY(H95,SprintWorkingDays-1),2)=4),0,IF(WEEKDAY(WORKDAY(H95,SprintWorkingDays-1),2)=3,1,IF(WEEKDAY(WORKDAY(H95,SprintWorkingDays-1),2)=1,4,WEEKDAY(WORKDAY(H95,SprintWorkingDays-1),2)-4))),"")))</f>
        <v/>
      </c>
      <c r="N95" s="19" t="str">
        <f>IF(NOT(ISNUMBER(K95)),"",WORKDAY(K95,ReadyOffsetWD))</f>
        <v/>
      </c>
      <c r="O95" s="19" t="str">
        <f>IF(NOT(ISNUMBER(K95)),"",WORKDAY(K95,SprintReadinessOffsetWD))</f>
        <v/>
      </c>
      <c r="P95" s="17"/>
      <c r="Q95" s="19" t="str">
        <f>IF(A95="","",IF(V95="N/A",IF(NOT(ISNUMBER(W95)),"",WORKDAY(W95,RTSKOffsetFromOUR_WD)),IF(NOT(ISNUMBER(T95)),"",WORKDAY(T95,RTSKOffsetFromOUR_WD))))</f>
        <v/>
      </c>
      <c r="R95" s="17"/>
      <c r="S95" s="17"/>
      <c r="T95" s="19" t="str">
        <f>IF(OR(A95="",V95="N/A"),"",IF(NOT(ISNUMBER(W95)),"",WORKDAY(W95,OUROffsetFromSR_WD)))</f>
        <v/>
      </c>
      <c r="U95" s="17"/>
      <c r="V95" s="17"/>
      <c r="W95" s="19" t="str">
        <f>IF(OR(A95="",NOT(ISNUMBER(K95))),"",WORKDAY(K95,SROffsetFromStartWD))</f>
        <v/>
      </c>
      <c r="X95" s="17"/>
      <c r="Y95" s="17"/>
      <c r="Z95" s="17"/>
      <c r="AA95" s="19" t="str">
        <f>IF(OR(Z95="",Z95="N/A"),"",IF(ISNUMBER(Q95),Q95,""))</f>
        <v/>
      </c>
      <c r="AB95" s="17"/>
      <c r="AC95" s="17"/>
      <c r="AD95" s="17"/>
      <c r="AE95" s="17"/>
      <c r="AF95" s="17" t="str">
        <f>IF(Z95="N/A","N/A","")</f>
        <v/>
      </c>
      <c r="AG95" s="19" t="str">
        <f>IF(NOT(ISNUMBER(Q95)),"",Q95)</f>
        <v/>
      </c>
      <c r="AH95" s="17"/>
      <c r="AI95" s="17"/>
      <c r="AJ95" s="19" t="str">
        <f>IF(OR(AL95="N/A",NOT(ISNUMBER(T95))),"",T95)</f>
        <v/>
      </c>
      <c r="AK95" s="17"/>
      <c r="AL95" s="17"/>
      <c r="AM95" s="19" t="str">
        <f>IF(NOT(ISNUMBER(W95)),"",W95)</f>
        <v/>
      </c>
      <c r="AN95" s="17"/>
      <c r="AO95" s="17"/>
      <c r="AP95" s="19" t="str">
        <f>IF(OR(Z95="",Z95="N/A"),"",IF(ISNUMBER(AG95),AG95,""))</f>
        <v/>
      </c>
      <c r="AQ95" s="17"/>
      <c r="AR95" s="17"/>
      <c r="AS95" s="17"/>
      <c r="AT95" s="17"/>
      <c r="AU95" s="19" t="str">
        <f>IF(NOT(ISNUMBER(Q95)),"",Q95)</f>
        <v/>
      </c>
      <c r="AV95" s="17"/>
      <c r="AW95" s="17"/>
      <c r="AX95" s="19" t="str">
        <f>IF(OR(AZ95="N/A",NOT(ISNUMBER(T95))),"",T95)</f>
        <v/>
      </c>
      <c r="AY95" s="17"/>
      <c r="AZ95" s="17"/>
      <c r="BA95" s="19" t="str">
        <f>IF(NOT(ISNUMBER(W95)),"",W95)</f>
        <v/>
      </c>
      <c r="BB95" s="17"/>
      <c r="BC95" s="17"/>
      <c r="BD95" s="19" t="str">
        <f>IF(OR(Z95="",Z95="N/A"),"",IF(ISNUMBER(AU95),AU95,""))</f>
        <v/>
      </c>
      <c r="BE95" s="17"/>
      <c r="BF95" s="17"/>
      <c r="BG95" s="17"/>
      <c r="BH95" s="17"/>
      <c r="BI95" s="89" t="e">
        <f>IF(OR(A95="",NOT(ISNUMBER(M95)),AND(WEEKDAY(M95,2)&lt;&gt;2,WEEKDAY(M95,2)&lt;&gt;4)),"",WORKDAY(M95,CABOffsetFromReleaseWD))</f>
        <v>#VALUE!</v>
      </c>
      <c r="BJ95" s="17"/>
      <c r="BK95" s="19" t="str">
        <f>IF(NOT(ISNUMBER(BI95)),"",IF(WEEKDAY(BI95-CodeReviewCalendarDays,2)&gt;5,BI95-CodeReviewCalendarDays-(WEEKDAY(BI95-CodeReviewCalendarDays,2)-5),BI95-CodeReviewCalendarDays))</f>
        <v/>
      </c>
      <c r="BL95" s="17"/>
      <c r="BM95" s="19" t="str">
        <f>IF(NOT(ISNUMBER(BK95)),"",IF(WEEKDAY(BK95-CodeReviewInviteCalendarDays,2)&gt;5,BK95-CodeReviewInviteCalendarDays-(WEEKDAY(BK95-CodeReviewInviteCalendarDays,2)-5),BK95-CodeReviewInviteCalendarDays))</f>
        <v/>
      </c>
      <c r="BN95" s="17"/>
      <c r="BO95" s="17"/>
      <c r="BP95" s="18" t="str">
        <f ca="1">IF(A95="","",IF(IF(AND(ISNUMBER(J95),WEEKDAY(J95,2)&lt;&gt;2,WEEKDAY(J95,2)&lt;&gt;4)," | Release must be Tuesday or Thursday","")&amp;IF(AND(ISNUMBER(H95),WEEKDAY(H95,2)&lt;&gt;1)," | Sprint Start is not a Monday - dates still calculated from the date entered","")&amp;IF(AND(A95&lt;&gt;"",NOT(ISNUMBER(H95)),NOT(ISNUMBER(J95)))," | Enter Sprint Start or Release Date","")&amp;IF(AND(ISNUMBER(F95),F95&lt;TODAY(),D95&lt;&gt;"Completed")," | One or more raise-by dates are in the past and not completed","")&amp;IF(AND(ISNUMBER(K95),K95-TODAY()&lt;SprintWarningDays,K95&gt;=TODAY(),OR(D95="Yet to start",D95="Blocked"))," | Sprint starts in under 10 days - raise access requests now","")&amp;IF(AND(ISNUMBER(BM95),BN95&lt;&gt;"Completed",BN95&lt;&gt;"N/A",BM95-TODAY()&lt;CodeReviewInviteCalendarDays)," | Code Review invite should be sent at least 4 days before Code Review","")="","",MID(IF(AND(ISNUMBER(J95),WEEKDAY(J95,2)&lt;&gt;2,WEEKDAY(J95,2)&lt;&gt;4)," | Release must be Tuesday or Thursday","")&amp;IF(AND(ISNUMBER(H95),WEEKDAY(H95,2)&lt;&gt;1)," | Sprint Start is not a Monday - dates still calculated from the date entered","")&amp;IF(AND(A95&lt;&gt;"",NOT(ISNUMBER(H95)),NOT(ISNUMBER(J95)))," | Enter Sprint Start or Release Date","")&amp;IF(AND(ISNUMBER(F95),F95&lt;TODAY(),D95&lt;&gt;"Completed")," | One or more raise-by dates are in the past and not completed","")&amp;IF(AND(ISNUMBER(K95),K95-TODAY()&lt;SprintWarningDays,K95&gt;=TODAY(),OR(D95="Yet to start",D95="Blocked"))," | Sprint starts in under 10 days - raise access requests now","")&amp;IF(AND(ISNUMBER(BM95),BN95&lt;&gt;"Completed",BN95&lt;&gt;"N/A",BM95-TODAY()&lt;CodeReviewInviteCalendarDays)," | Code Review invite should be sent at least 4 days before Code Review",""),4,500)))</f>
        <v/>
      </c>
      <c r="BQ95" s="85" t="str">
        <f>IF(AND(ISNUMBER(Q95),S95&lt;&gt;"Completed",S95&lt;&gt;"N/A"),Q95,"")</f>
        <v/>
      </c>
      <c r="BR95" s="85" t="str">
        <f>IF(AND(ISNUMBER(T95),V95&lt;&gt;"Completed",V95&lt;&gt;"N/A"),T95,"")</f>
        <v/>
      </c>
      <c r="BS95" s="85" t="str">
        <f>IF(AND(ISNUMBER(W95),Y95&lt;&gt;"Completed",Y95&lt;&gt;"N/A"),W95,"")</f>
        <v/>
      </c>
      <c r="BT95" s="85" t="str">
        <f>IF(AND(ISNUMBER(AA95),AC95&lt;&gt;"Completed",AC95&lt;&gt;"N/A"),AA95,"")</f>
        <v/>
      </c>
      <c r="BU95" s="85" t="str">
        <f>IF(AND(ISNUMBER(AG95),AI95&lt;&gt;"Completed",AI95&lt;&gt;"N/A"),AG95,"")</f>
        <v/>
      </c>
      <c r="BV95" s="85" t="str">
        <f>IF(AND(ISNUMBER(AJ95),AL95&lt;&gt;"Completed",AL95&lt;&gt;"N/A"),AJ95,"")</f>
        <v/>
      </c>
      <c r="BW95" s="85" t="str">
        <f>IF(AND(ISNUMBER(AM95),AO95&lt;&gt;"Completed",AO95&lt;&gt;"N/A"),AM95,"")</f>
        <v/>
      </c>
      <c r="BX95" s="85" t="str">
        <f>IF(AND(ISNUMBER(AP95),AR95&lt;&gt;"Completed",AR95&lt;&gt;"N/A"),AP95,"")</f>
        <v/>
      </c>
      <c r="BY95" s="85" t="str">
        <f>IF(AND(ISNUMBER(AU95),AW95&lt;&gt;"Completed",AW95&lt;&gt;"N/A"),AU95,"")</f>
        <v/>
      </c>
      <c r="BZ95" s="85" t="str">
        <f>IF(AND(ISNUMBER(AX95),AZ95&lt;&gt;"Completed",AZ95&lt;&gt;"N/A"),AX95,"")</f>
        <v/>
      </c>
      <c r="CA95" s="85" t="str">
        <f>IF(AND(ISNUMBER(BA95),BC95&lt;&gt;"Completed",BC95&lt;&gt;"N/A"),BA95,"")</f>
        <v/>
      </c>
      <c r="CB95" s="85" t="str">
        <f>IF(AND(ISNUMBER(BD95),BF95&lt;&gt;"Completed",BF95&lt;&gt;"N/A"),BD95,"")</f>
        <v/>
      </c>
      <c r="CC95" s="85" t="str">
        <f>IF(AND(ISNUMBER(O95),P95&lt;&gt;"Completed",P95&lt;&gt;"N/A"),O95,"")</f>
        <v/>
      </c>
      <c r="CD95" s="85" t="str">
        <f>IF(AND(ISNUMBER(BM95),BN95&lt;&gt;"Completed",BN95&lt;&gt;"N/A"),BM95,"")</f>
        <v/>
      </c>
      <c r="CE95" s="85" t="str">
        <f>IF(AND(ISNUMBER(BK95),BL95&lt;&gt;"Completed",BL95&lt;&gt;"N/A"),BK95,"")</f>
        <v/>
      </c>
      <c r="CF95" s="85" t="str">
        <f>IF(AND(ISNUMBER(BI95),BJ95&lt;&gt;"Completed",BJ95&lt;&gt;"N/A"),BI95,"")</f>
        <v/>
      </c>
      <c r="CG95" s="85" t="str">
        <f ca="1">IF(OR(A95="",D95="Completed"),"",IF(N(G95)&gt;0,1/(N(G95)+ROW()/100000),IF(ISNUMBER(F95),1000+F95+ROW()/100000,TODAY()+400+ROW()/100000)))</f>
        <v/>
      </c>
    </row>
    <row r="96" spans="1:85">
      <c r="A96" s="17"/>
      <c r="B96" s="17"/>
      <c r="C96" s="17"/>
      <c r="D96" s="18" t="str">
        <f>IF(A96="","",IF(((S96="Blocked")+(V96="Blocked")+(Y96="Blocked")+(AC96="Blocked")+(AI96="Blocked")+(AL96="Blocked")+(AO96="Blocked")+(AR96="Blocked")+(AW96="Blocked")+(AZ96="Blocked")+(BC96="Blocked")+(BF96="Blocked")+(P96="Blocked")+(BJ96="Blocked")+(BL96="Blocked")+(BN96="Blocked")+(BO96="Blocked"))&gt;0,"Blocked",IF((ISNUMBER(Q96)+ISNUMBER(T96)+ISNUMBER(W96)+ISNUMBER(AA96)+ISNUMBER(AG96)+ISNUMBER(AJ96)+ISNUMBER(AM96)+ISNUMBER(AP96)+ISNUMBER(AU96)+ISNUMBER(AX96)+ISNUMBER(BA96)+ISNUMBER(BD96)+ISNUMBER(O96)+ISNUMBER(BI96)+ISNUMBER(BK96)+ISNUMBER(BM96))=0,"Yet to start",IF(AND(OR(NOT(ISNUMBER(Q96)),S96="Completed",S96="N/A"),OR(NOT(ISNUMBER(T96)),V96="Completed",V96="N/A"),OR(NOT(ISNUMBER(W96)),Y96="Completed",Y96="N/A"),OR(NOT(ISNUMBER(AA96)),AC96="Completed",AC96="N/A"),OR(NOT(ISNUMBER(AG96)),AI96="Completed",AI96="N/A"),OR(NOT(ISNUMBER(AJ96)),AL96="Completed",AL96="N/A"),OR(NOT(ISNUMBER(AM96)),AO96="Completed",AO96="N/A"),OR(NOT(ISNUMBER(AP96)),AR96="Completed",AR96="N/A"),OR(NOT(ISNUMBER(AU96)),AW96="Completed",AW96="N/A"),OR(NOT(ISNUMBER(AX96)),AZ96="Completed",AZ96="N/A"),OR(NOT(ISNUMBER(BA96)),BC96="Completed",BC96="N/A"),OR(NOT(ISNUMBER(BD96)),BF96="Completed",BF96="N/A"),OR(NOT(ISNUMBER(O96)),P96="Completed",P96="N/A"),OR(NOT(ISNUMBER(BI96)),BJ96="Completed",BJ96="N/A"),OR(NOT(ISNUMBER(BK96)),BL96="Completed",BL96="N/A"),OR(NOT(ISNUMBER(BM96)),BN96="Completed",BN96="N/A"),OR(BO96="Completed",BO96="N/A")),"Completed",IF(((S96="In Progress")+(V96="In Progress")+(Y96="In Progress")+(AC96="In Progress")+(AI96="In Progress")+(AL96="In Progress")+(AO96="In Progress")+(AR96="In Progress")+(AW96="In Progress")+(AZ96="In Progress")+(BC96="In Progress")+(BF96="In Progress")+(P96="In Progress")+(BJ96="In Progress")+(BL96="In Progress")+(BN96="In Progress")+(BO96="In Progress"))&gt;0,"In Progress","Yet to start")))))</f>
        <v/>
      </c>
      <c r="E96" s="18" t="str">
        <f>IF(A96="","",IF(F96="","All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Review","CAB"},MATCH(F96,BQ96:CF96,0))))</f>
        <v/>
      </c>
      <c r="F96" s="19" t="str">
        <f>IF(A96="","",IF(COUNT(BQ96:CF96)=0,"",MIN(BQ96:CF96)))</f>
        <v/>
      </c>
      <c r="G96" s="18" t="str">
        <f ca="1">IF(A96="","",MAX(0,IF(AND(ISNUMBER(Q96),S96&lt;&gt;"Completed",S96&lt;&gt;"N/A",Q96&lt;TODAY()),TODAY()-Q96,0),IF(AND(ISNUMBER(T96),V96&lt;&gt;"Completed",V96&lt;&gt;"N/A",T96&lt;TODAY()),TODAY()-T96,0),IF(AND(ISNUMBER(W96),Y96&lt;&gt;"Completed",Y96&lt;&gt;"N/A",W96&lt;TODAY()),TODAY()-W96,0),IF(AND(ISNUMBER(AA96),AC96&lt;&gt;"Completed",AC96&lt;&gt;"N/A",AA96&lt;TODAY()),TODAY()-AA96,0),IF(AND(ISNUMBER(AG96),AI96&lt;&gt;"Completed",AI96&lt;&gt;"N/A",AG96&lt;TODAY()),TODAY()-AG96,0),IF(AND(ISNUMBER(AJ96),AL96&lt;&gt;"Completed",AL96&lt;&gt;"N/A",AJ96&lt;TODAY()),TODAY()-AJ96,0),IF(AND(ISNUMBER(AM96),AO96&lt;&gt;"Completed",AO96&lt;&gt;"N/A",AM96&lt;TODAY()),TODAY()-AM96,0),IF(AND(ISNUMBER(AP96),AR96&lt;&gt;"Completed",AR96&lt;&gt;"N/A",AP96&lt;TODAY()),TODAY()-AP96,0),IF(AND(ISNUMBER(AU96),AW96&lt;&gt;"Completed",AW96&lt;&gt;"N/A",AU96&lt;TODAY()),TODAY()-AU96,0),IF(AND(ISNUMBER(AX96),AZ96&lt;&gt;"Completed",AZ96&lt;&gt;"N/A",AX96&lt;TODAY()),TODAY()-AX96,0),IF(AND(ISNUMBER(BA96),BC96&lt;&gt;"Completed",BC96&lt;&gt;"N/A",BA96&lt;TODAY()),TODAY()-BA96,0),IF(AND(ISNUMBER(BD96),BF96&lt;&gt;"Completed",BF96&lt;&gt;"N/A",BD96&lt;TODAY()),TODAY()-BD96,0),IF(AND(ISNUMBER(O96),P96&lt;&gt;"Completed",P96&lt;&gt;"N/A",O96&lt;TODAY()),TODAY()-O96,0),IF(AND(ISNUMBER(BM96),BN96&lt;&gt;"Completed",BN96&lt;&gt;"N/A",BM96&lt;TODAY()),TODAY()-BM96,0),IF(AND(ISNUMBER(BK96),BL96&lt;&gt;"Completed",BL96&lt;&gt;"N/A",BK96&lt;TODAY()),TODAY()-BK96,0),IF(AND(ISNUMBER(BI96),BJ96&lt;&gt;"Completed",BJ96&lt;&gt;"N/A",BI96&lt;TODAY()),TODAY()-BI96,0)))</f>
        <v/>
      </c>
      <c r="H96" s="17"/>
      <c r="I96" s="17"/>
      <c r="J96" s="17"/>
      <c r="K96" s="19" t="str">
        <f>IF(ISNUMBER(H96),H96,IF(ISNUMBER(M96),M96-WEEKDAY(M96,2)+1-7,""))</f>
        <v/>
      </c>
      <c r="L96" s="19" t="str">
        <f>IF(ISNUMBER(I96),I96,IF(ISNUMBER(H96),WORKDAY(H96,SprintWorkingDays-1),IF(ISNUMBER(K96),WORKDAY(K96,SprintWorkingDays-1),"")))</f>
        <v/>
      </c>
      <c r="M96" s="19" t="str">
        <f>IF(ISNUMBER(J96),J96,IF(ISNUMBER(I96),I96-IF(OR(WEEKDAY(I96,2)=2,WEEKDAY(I96,2)=4),0,IF(WEEKDAY(I96,2)=3,1,IF(WEEKDAY(I96,2)=1,4,WEEKDAY(I96,2)-4))),IF(ISNUMBER(H96),WORKDAY(H96,SprintWorkingDays-1)-IF(OR(WEEKDAY(WORKDAY(H96,SprintWorkingDays-1),2)=2,WEEKDAY(WORKDAY(H96,SprintWorkingDays-1),2)=4),0,IF(WEEKDAY(WORKDAY(H96,SprintWorkingDays-1),2)=3,1,IF(WEEKDAY(WORKDAY(H96,SprintWorkingDays-1),2)=1,4,WEEKDAY(WORKDAY(H96,SprintWorkingDays-1),2)-4))),"")))</f>
        <v/>
      </c>
      <c r="N96" s="19" t="str">
        <f>IF(NOT(ISNUMBER(K96)),"",WORKDAY(K96,ReadyOffsetWD))</f>
        <v/>
      </c>
      <c r="O96" s="19" t="str">
        <f>IF(NOT(ISNUMBER(K96)),"",WORKDAY(K96,SprintReadinessOffsetWD))</f>
        <v/>
      </c>
      <c r="P96" s="17"/>
      <c r="Q96" s="19" t="str">
        <f>IF(A96="","",IF(V96="N/A",IF(NOT(ISNUMBER(W96)),"",WORKDAY(W96,RTSKOffsetFromOUR_WD)),IF(NOT(ISNUMBER(T96)),"",WORKDAY(T96,RTSKOffsetFromOUR_WD))))</f>
        <v/>
      </c>
      <c r="R96" s="17"/>
      <c r="S96" s="17"/>
      <c r="T96" s="19" t="str">
        <f>IF(OR(A96="",V96="N/A"),"",IF(NOT(ISNUMBER(W96)),"",WORKDAY(W96,OUROffsetFromSR_WD)))</f>
        <v/>
      </c>
      <c r="U96" s="17"/>
      <c r="V96" s="17"/>
      <c r="W96" s="19" t="str">
        <f>IF(OR(A96="",NOT(ISNUMBER(K96))),"",WORKDAY(K96,SROffsetFromStartWD))</f>
        <v/>
      </c>
      <c r="X96" s="17"/>
      <c r="Y96" s="17"/>
      <c r="Z96" s="17"/>
      <c r="AA96" s="19" t="str">
        <f>IF(OR(Z96="",Z96="N/A"),"",IF(ISNUMBER(Q96),Q96,""))</f>
        <v/>
      </c>
      <c r="AB96" s="17"/>
      <c r="AC96" s="17"/>
      <c r="AD96" s="17"/>
      <c r="AE96" s="17"/>
      <c r="AF96" s="17" t="str">
        <f>IF(Z96="N/A","N/A","")</f>
        <v/>
      </c>
      <c r="AG96" s="19" t="str">
        <f>IF(NOT(ISNUMBER(Q96)),"",Q96)</f>
        <v/>
      </c>
      <c r="AH96" s="17"/>
      <c r="AI96" s="17"/>
      <c r="AJ96" s="19" t="str">
        <f>IF(OR(AL96="N/A",NOT(ISNUMBER(T96))),"",T96)</f>
        <v/>
      </c>
      <c r="AK96" s="17"/>
      <c r="AL96" s="17"/>
      <c r="AM96" s="19" t="str">
        <f>IF(NOT(ISNUMBER(W96)),"",W96)</f>
        <v/>
      </c>
      <c r="AN96" s="17"/>
      <c r="AO96" s="17"/>
      <c r="AP96" s="19" t="str">
        <f>IF(OR(Z96="",Z96="N/A"),"",IF(ISNUMBER(AG96),AG96,""))</f>
        <v/>
      </c>
      <c r="AQ96" s="17"/>
      <c r="AR96" s="17"/>
      <c r="AS96" s="17"/>
      <c r="AT96" s="17"/>
      <c r="AU96" s="19" t="str">
        <f>IF(NOT(ISNUMBER(Q96)),"",Q96)</f>
        <v/>
      </c>
      <c r="AV96" s="17"/>
      <c r="AW96" s="17"/>
      <c r="AX96" s="19" t="str">
        <f>IF(OR(AZ96="N/A",NOT(ISNUMBER(T96))),"",T96)</f>
        <v/>
      </c>
      <c r="AY96" s="17"/>
      <c r="AZ96" s="17"/>
      <c r="BA96" s="19" t="str">
        <f>IF(NOT(ISNUMBER(W96)),"",W96)</f>
        <v/>
      </c>
      <c r="BB96" s="17"/>
      <c r="BC96" s="17"/>
      <c r="BD96" s="19" t="str">
        <f>IF(OR(Z96="",Z96="N/A"),"",IF(ISNUMBER(AU96),AU96,""))</f>
        <v/>
      </c>
      <c r="BE96" s="17"/>
      <c r="BF96" s="17"/>
      <c r="BG96" s="17"/>
      <c r="BH96" s="17"/>
      <c r="BI96" s="89" t="e">
        <f>IF(OR(A96="",NOT(ISNUMBER(M96)),AND(WEEKDAY(M96,2)&lt;&gt;2,WEEKDAY(M96,2)&lt;&gt;4)),"",WORKDAY(M96,CABOffsetFromReleaseWD))</f>
        <v>#VALUE!</v>
      </c>
      <c r="BJ96" s="17"/>
      <c r="BK96" s="19" t="str">
        <f>IF(NOT(ISNUMBER(BI96)),"",IF(WEEKDAY(BI96-CodeReviewCalendarDays,2)&gt;5,BI96-CodeReviewCalendarDays-(WEEKDAY(BI96-CodeReviewCalendarDays,2)-5),BI96-CodeReviewCalendarDays))</f>
        <v/>
      </c>
      <c r="BL96" s="17"/>
      <c r="BM96" s="19" t="str">
        <f>IF(NOT(ISNUMBER(BK96)),"",IF(WEEKDAY(BK96-CodeReviewInviteCalendarDays,2)&gt;5,BK96-CodeReviewInviteCalendarDays-(WEEKDAY(BK96-CodeReviewInviteCalendarDays,2)-5),BK96-CodeReviewInviteCalendarDays))</f>
        <v/>
      </c>
      <c r="BN96" s="17"/>
      <c r="BO96" s="17"/>
      <c r="BP96" s="18" t="str">
        <f ca="1">IF(A96="","",IF(IF(AND(ISNUMBER(J96),WEEKDAY(J96,2)&lt;&gt;2,WEEKDAY(J96,2)&lt;&gt;4)," | Release must be Tuesday or Thursday","")&amp;IF(AND(ISNUMBER(H96),WEEKDAY(H96,2)&lt;&gt;1)," | Sprint Start is not a Monday - dates still calculated from the date entered","")&amp;IF(AND(A96&lt;&gt;"",NOT(ISNUMBER(H96)),NOT(ISNUMBER(J96)))," | Enter Sprint Start or Release Date","")&amp;IF(AND(ISNUMBER(F96),F96&lt;TODAY(),D96&lt;&gt;"Completed")," | One or more raise-by dates are in the past and not completed","")&amp;IF(AND(ISNUMBER(K96),K96-TODAY()&lt;SprintWarningDays,K96&gt;=TODAY(),OR(D96="Yet to start",D96="Blocked"))," | Sprint starts in under 10 days - raise access requests now","")&amp;IF(AND(ISNUMBER(BM96),BN96&lt;&gt;"Completed",BN96&lt;&gt;"N/A",BM96-TODAY()&lt;CodeReviewInviteCalendarDays)," | Code Review invite should be sent at least 4 days before Code Review","")="","",MID(IF(AND(ISNUMBER(J96),WEEKDAY(J96,2)&lt;&gt;2,WEEKDAY(J96,2)&lt;&gt;4)," | Release must be Tuesday or Thursday","")&amp;IF(AND(ISNUMBER(H96),WEEKDAY(H96,2)&lt;&gt;1)," | Sprint Start is not a Monday - dates still calculated from the date entered","")&amp;IF(AND(A96&lt;&gt;"",NOT(ISNUMBER(H96)),NOT(ISNUMBER(J96)))," | Enter Sprint Start or Release Date","")&amp;IF(AND(ISNUMBER(F96),F96&lt;TODAY(),D96&lt;&gt;"Completed")," | One or more raise-by dates are in the past and not completed","")&amp;IF(AND(ISNUMBER(K96),K96-TODAY()&lt;SprintWarningDays,K96&gt;=TODAY(),OR(D96="Yet to start",D96="Blocked"))," | Sprint starts in under 10 days - raise access requests now","")&amp;IF(AND(ISNUMBER(BM96),BN96&lt;&gt;"Completed",BN96&lt;&gt;"N/A",BM96-TODAY()&lt;CodeReviewInviteCalendarDays)," | Code Review invite should be sent at least 4 days before Code Review",""),4,500)))</f>
        <v/>
      </c>
      <c r="BQ96" s="85" t="str">
        <f>IF(AND(ISNUMBER(Q96),S96&lt;&gt;"Completed",S96&lt;&gt;"N/A"),Q96,"")</f>
        <v/>
      </c>
      <c r="BR96" s="85" t="str">
        <f>IF(AND(ISNUMBER(T96),V96&lt;&gt;"Completed",V96&lt;&gt;"N/A"),T96,"")</f>
        <v/>
      </c>
      <c r="BS96" s="85" t="str">
        <f>IF(AND(ISNUMBER(W96),Y96&lt;&gt;"Completed",Y96&lt;&gt;"N/A"),W96,"")</f>
        <v/>
      </c>
      <c r="BT96" s="85" t="str">
        <f>IF(AND(ISNUMBER(AA96),AC96&lt;&gt;"Completed",AC96&lt;&gt;"N/A"),AA96,"")</f>
        <v/>
      </c>
      <c r="BU96" s="85" t="str">
        <f>IF(AND(ISNUMBER(AG96),AI96&lt;&gt;"Completed",AI96&lt;&gt;"N/A"),AG96,"")</f>
        <v/>
      </c>
      <c r="BV96" s="85" t="str">
        <f>IF(AND(ISNUMBER(AJ96),AL96&lt;&gt;"Completed",AL96&lt;&gt;"N/A"),AJ96,"")</f>
        <v/>
      </c>
      <c r="BW96" s="85" t="str">
        <f>IF(AND(ISNUMBER(AM96),AO96&lt;&gt;"Completed",AO96&lt;&gt;"N/A"),AM96,"")</f>
        <v/>
      </c>
      <c r="BX96" s="85" t="str">
        <f>IF(AND(ISNUMBER(AP96),AR96&lt;&gt;"Completed",AR96&lt;&gt;"N/A"),AP96,"")</f>
        <v/>
      </c>
      <c r="BY96" s="85" t="str">
        <f>IF(AND(ISNUMBER(AU96),AW96&lt;&gt;"Completed",AW96&lt;&gt;"N/A"),AU96,"")</f>
        <v/>
      </c>
      <c r="BZ96" s="85" t="str">
        <f>IF(AND(ISNUMBER(AX96),AZ96&lt;&gt;"Completed",AZ96&lt;&gt;"N/A"),AX96,"")</f>
        <v/>
      </c>
      <c r="CA96" s="85" t="str">
        <f>IF(AND(ISNUMBER(BA96),BC96&lt;&gt;"Completed",BC96&lt;&gt;"N/A"),BA96,"")</f>
        <v/>
      </c>
      <c r="CB96" s="85" t="str">
        <f>IF(AND(ISNUMBER(BD96),BF96&lt;&gt;"Completed",BF96&lt;&gt;"N/A"),BD96,"")</f>
        <v/>
      </c>
      <c r="CC96" s="85" t="str">
        <f>IF(AND(ISNUMBER(O96),P96&lt;&gt;"Completed",P96&lt;&gt;"N/A"),O96,"")</f>
        <v/>
      </c>
      <c r="CD96" s="85" t="str">
        <f>IF(AND(ISNUMBER(BM96),BN96&lt;&gt;"Completed",BN96&lt;&gt;"N/A"),BM96,"")</f>
        <v/>
      </c>
      <c r="CE96" s="85" t="str">
        <f>IF(AND(ISNUMBER(BK96),BL96&lt;&gt;"Completed",BL96&lt;&gt;"N/A"),BK96,"")</f>
        <v/>
      </c>
      <c r="CF96" s="85" t="str">
        <f>IF(AND(ISNUMBER(BI96),BJ96&lt;&gt;"Completed",BJ96&lt;&gt;"N/A"),BI96,"")</f>
        <v/>
      </c>
      <c r="CG96" s="85" t="str">
        <f ca="1">IF(OR(A96="",D96="Completed"),"",IF(N(G96)&gt;0,1/(N(G96)+ROW()/100000),IF(ISNUMBER(F96),1000+F96+ROW()/100000,TODAY()+400+ROW()/100000)))</f>
        <v/>
      </c>
    </row>
    <row r="97" spans="1:85">
      <c r="A97" s="17"/>
      <c r="B97" s="17"/>
      <c r="C97" s="17"/>
      <c r="D97" s="18" t="str">
        <f>IF(A97="","",IF(((S97="Blocked")+(V97="Blocked")+(Y97="Blocked")+(AC97="Blocked")+(AI97="Blocked")+(AL97="Blocked")+(AO97="Blocked")+(AR97="Blocked")+(AW97="Blocked")+(AZ97="Blocked")+(BC97="Blocked")+(BF97="Blocked")+(P97="Blocked")+(BJ97="Blocked")+(BL97="Blocked")+(BN97="Blocked")+(BO97="Blocked"))&gt;0,"Blocked",IF((ISNUMBER(Q97)+ISNUMBER(T97)+ISNUMBER(W97)+ISNUMBER(AA97)+ISNUMBER(AG97)+ISNUMBER(AJ97)+ISNUMBER(AM97)+ISNUMBER(AP97)+ISNUMBER(AU97)+ISNUMBER(AX97)+ISNUMBER(BA97)+ISNUMBER(BD97)+ISNUMBER(O97)+ISNUMBER(BI97)+ISNUMBER(BK97)+ISNUMBER(BM97))=0,"Yet to start",IF(AND(OR(NOT(ISNUMBER(Q97)),S97="Completed",S97="N/A"),OR(NOT(ISNUMBER(T97)),V97="Completed",V97="N/A"),OR(NOT(ISNUMBER(W97)),Y97="Completed",Y97="N/A"),OR(NOT(ISNUMBER(AA97)),AC97="Completed",AC97="N/A"),OR(NOT(ISNUMBER(AG97)),AI97="Completed",AI97="N/A"),OR(NOT(ISNUMBER(AJ97)),AL97="Completed",AL97="N/A"),OR(NOT(ISNUMBER(AM97)),AO97="Completed",AO97="N/A"),OR(NOT(ISNUMBER(AP97)),AR97="Completed",AR97="N/A"),OR(NOT(ISNUMBER(AU97)),AW97="Completed",AW97="N/A"),OR(NOT(ISNUMBER(AX97)),AZ97="Completed",AZ97="N/A"),OR(NOT(ISNUMBER(BA97)),BC97="Completed",BC97="N/A"),OR(NOT(ISNUMBER(BD97)),BF97="Completed",BF97="N/A"),OR(NOT(ISNUMBER(O97)),P97="Completed",P97="N/A"),OR(NOT(ISNUMBER(BI97)),BJ97="Completed",BJ97="N/A"),OR(NOT(ISNUMBER(BK97)),BL97="Completed",BL97="N/A"),OR(NOT(ISNUMBER(BM97)),BN97="Completed",BN97="N/A"),OR(BO97="Completed",BO97="N/A")),"Completed",IF(((S97="In Progress")+(V97="In Progress")+(Y97="In Progress")+(AC97="In Progress")+(AI97="In Progress")+(AL97="In Progress")+(AO97="In Progress")+(AR97="In Progress")+(AW97="In Progress")+(AZ97="In Progress")+(BC97="In Progress")+(BF97="In Progress")+(P97="In Progress")+(BJ97="In Progress")+(BL97="In Progress")+(BN97="In Progress")+(BO97="In Progress"))&gt;0,"In Progress","Yet to start")))))</f>
        <v/>
      </c>
      <c r="E97" s="18" t="str">
        <f>IF(A97="","",IF(F97="","All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Review","CAB"},MATCH(F97,BQ97:CF97,0))))</f>
        <v/>
      </c>
      <c r="F97" s="19" t="str">
        <f>IF(A97="","",IF(COUNT(BQ97:CF97)=0,"",MIN(BQ97:CF97)))</f>
        <v/>
      </c>
      <c r="G97" s="18" t="str">
        <f ca="1">IF(A97="","",MAX(0,IF(AND(ISNUMBER(Q97),S97&lt;&gt;"Completed",S97&lt;&gt;"N/A",Q97&lt;TODAY()),TODAY()-Q97,0),IF(AND(ISNUMBER(T97),V97&lt;&gt;"Completed",V97&lt;&gt;"N/A",T97&lt;TODAY()),TODAY()-T97,0),IF(AND(ISNUMBER(W97),Y97&lt;&gt;"Completed",Y97&lt;&gt;"N/A",W97&lt;TODAY()),TODAY()-W97,0),IF(AND(ISNUMBER(AA97),AC97&lt;&gt;"Completed",AC97&lt;&gt;"N/A",AA97&lt;TODAY()),TODAY()-AA97,0),IF(AND(ISNUMBER(AG97),AI97&lt;&gt;"Completed",AI97&lt;&gt;"N/A",AG97&lt;TODAY()),TODAY()-AG97,0),IF(AND(ISNUMBER(AJ97),AL97&lt;&gt;"Completed",AL97&lt;&gt;"N/A",AJ97&lt;TODAY()),TODAY()-AJ97,0),IF(AND(ISNUMBER(AM97),AO97&lt;&gt;"Completed",AO97&lt;&gt;"N/A",AM97&lt;TODAY()),TODAY()-AM97,0),IF(AND(ISNUMBER(AP97),AR97&lt;&gt;"Completed",AR97&lt;&gt;"N/A",AP97&lt;TODAY()),TODAY()-AP97,0),IF(AND(ISNUMBER(AU97),AW97&lt;&gt;"Completed",AW97&lt;&gt;"N/A",AU97&lt;TODAY()),TODAY()-AU97,0),IF(AND(ISNUMBER(AX97),AZ97&lt;&gt;"Completed",AZ97&lt;&gt;"N/A",AX97&lt;TODAY()),TODAY()-AX97,0),IF(AND(ISNUMBER(BA97),BC97&lt;&gt;"Completed",BC97&lt;&gt;"N/A",BA97&lt;TODAY()),TODAY()-BA97,0),IF(AND(ISNUMBER(BD97),BF97&lt;&gt;"Completed",BF97&lt;&gt;"N/A",BD97&lt;TODAY()),TODAY()-BD97,0),IF(AND(ISNUMBER(O97),P97&lt;&gt;"Completed",P97&lt;&gt;"N/A",O97&lt;TODAY()),TODAY()-O97,0),IF(AND(ISNUMBER(BM97),BN97&lt;&gt;"Completed",BN97&lt;&gt;"N/A",BM97&lt;TODAY()),TODAY()-BM97,0),IF(AND(ISNUMBER(BK97),BL97&lt;&gt;"Completed",BL97&lt;&gt;"N/A",BK97&lt;TODAY()),TODAY()-BK97,0),IF(AND(ISNUMBER(BI97),BJ97&lt;&gt;"Completed",BJ97&lt;&gt;"N/A",BI97&lt;TODAY()),TODAY()-BI97,0)))</f>
        <v/>
      </c>
      <c r="H97" s="17"/>
      <c r="I97" s="17"/>
      <c r="J97" s="17"/>
      <c r="K97" s="19" t="str">
        <f>IF(ISNUMBER(H97),H97,IF(ISNUMBER(M97),M97-WEEKDAY(M97,2)+1-7,""))</f>
        <v/>
      </c>
      <c r="L97" s="19" t="str">
        <f>IF(ISNUMBER(I97),I97,IF(ISNUMBER(H97),WORKDAY(H97,SprintWorkingDays-1),IF(ISNUMBER(K97),WORKDAY(K97,SprintWorkingDays-1),"")))</f>
        <v/>
      </c>
      <c r="M97" s="19" t="str">
        <f>IF(ISNUMBER(J97),J97,IF(ISNUMBER(I97),I97-IF(OR(WEEKDAY(I97,2)=2,WEEKDAY(I97,2)=4),0,IF(WEEKDAY(I97,2)=3,1,IF(WEEKDAY(I97,2)=1,4,WEEKDAY(I97,2)-4))),IF(ISNUMBER(H97),WORKDAY(H97,SprintWorkingDays-1)-IF(OR(WEEKDAY(WORKDAY(H97,SprintWorkingDays-1),2)=2,WEEKDAY(WORKDAY(H97,SprintWorkingDays-1),2)=4),0,IF(WEEKDAY(WORKDAY(H97,SprintWorkingDays-1),2)=3,1,IF(WEEKDAY(WORKDAY(H97,SprintWorkingDays-1),2)=1,4,WEEKDAY(WORKDAY(H97,SprintWorkingDays-1),2)-4))),"")))</f>
        <v/>
      </c>
      <c r="N97" s="19" t="str">
        <f>IF(NOT(ISNUMBER(K97)),"",WORKDAY(K97,ReadyOffsetWD))</f>
        <v/>
      </c>
      <c r="O97" s="19" t="str">
        <f>IF(NOT(ISNUMBER(K97)),"",WORKDAY(K97,SprintReadinessOffsetWD))</f>
        <v/>
      </c>
      <c r="P97" s="17"/>
      <c r="Q97" s="19" t="str">
        <f>IF(A97="","",IF(V97="N/A",IF(NOT(ISNUMBER(W97)),"",WORKDAY(W97,RTSKOffsetFromOUR_WD)),IF(NOT(ISNUMBER(T97)),"",WORKDAY(T97,RTSKOffsetFromOUR_WD))))</f>
        <v/>
      </c>
      <c r="R97" s="17"/>
      <c r="S97" s="17"/>
      <c r="T97" s="19" t="str">
        <f>IF(OR(A97="",V97="N/A"),"",IF(NOT(ISNUMBER(W97)),"",WORKDAY(W97,OUROffsetFromSR_WD)))</f>
        <v/>
      </c>
      <c r="U97" s="17"/>
      <c r="V97" s="17"/>
      <c r="W97" s="19" t="str">
        <f>IF(OR(A97="",NOT(ISNUMBER(K97))),"",WORKDAY(K97,SROffsetFromStartWD))</f>
        <v/>
      </c>
      <c r="X97" s="17"/>
      <c r="Y97" s="17"/>
      <c r="Z97" s="17"/>
      <c r="AA97" s="19" t="str">
        <f>IF(OR(Z97="",Z97="N/A"),"",IF(ISNUMBER(Q97),Q97,""))</f>
        <v/>
      </c>
      <c r="AB97" s="17"/>
      <c r="AC97" s="17"/>
      <c r="AD97" s="17"/>
      <c r="AE97" s="17"/>
      <c r="AF97" s="17" t="str">
        <f>IF(Z97="N/A","N/A","")</f>
        <v/>
      </c>
      <c r="AG97" s="19" t="str">
        <f>IF(NOT(ISNUMBER(Q97)),"",Q97)</f>
        <v/>
      </c>
      <c r="AH97" s="17"/>
      <c r="AI97" s="17"/>
      <c r="AJ97" s="19" t="str">
        <f>IF(OR(AL97="N/A",NOT(ISNUMBER(T97))),"",T97)</f>
        <v/>
      </c>
      <c r="AK97" s="17"/>
      <c r="AL97" s="17"/>
      <c r="AM97" s="19" t="str">
        <f>IF(NOT(ISNUMBER(W97)),"",W97)</f>
        <v/>
      </c>
      <c r="AN97" s="17"/>
      <c r="AO97" s="17"/>
      <c r="AP97" s="19" t="str">
        <f>IF(OR(Z97="",Z97="N/A"),"",IF(ISNUMBER(AG97),AG97,""))</f>
        <v/>
      </c>
      <c r="AQ97" s="17"/>
      <c r="AR97" s="17"/>
      <c r="AS97" s="17"/>
      <c r="AT97" s="17"/>
      <c r="AU97" s="19" t="str">
        <f>IF(NOT(ISNUMBER(Q97)),"",Q97)</f>
        <v/>
      </c>
      <c r="AV97" s="17"/>
      <c r="AW97" s="17"/>
      <c r="AX97" s="19" t="str">
        <f>IF(OR(AZ97="N/A",NOT(ISNUMBER(T97))),"",T97)</f>
        <v/>
      </c>
      <c r="AY97" s="17"/>
      <c r="AZ97" s="17"/>
      <c r="BA97" s="19" t="str">
        <f>IF(NOT(ISNUMBER(W97)),"",W97)</f>
        <v/>
      </c>
      <c r="BB97" s="17"/>
      <c r="BC97" s="17"/>
      <c r="BD97" s="19" t="str">
        <f>IF(OR(Z97="",Z97="N/A"),"",IF(ISNUMBER(AU97),AU97,""))</f>
        <v/>
      </c>
      <c r="BE97" s="17"/>
      <c r="BF97" s="17"/>
      <c r="BG97" s="17"/>
      <c r="BH97" s="17"/>
      <c r="BI97" s="89" t="e">
        <f>IF(OR(A97="",NOT(ISNUMBER(M97)),AND(WEEKDAY(M97,2)&lt;&gt;2,WEEKDAY(M97,2)&lt;&gt;4)),"",WORKDAY(M97,CABOffsetFromReleaseWD))</f>
        <v>#VALUE!</v>
      </c>
      <c r="BJ97" s="17"/>
      <c r="BK97" s="19" t="str">
        <f>IF(NOT(ISNUMBER(BI97)),"",IF(WEEKDAY(BI97-CodeReviewCalendarDays,2)&gt;5,BI97-CodeReviewCalendarDays-(WEEKDAY(BI97-CodeReviewCalendarDays,2)-5),BI97-CodeReviewCalendarDays))</f>
        <v/>
      </c>
      <c r="BL97" s="17"/>
      <c r="BM97" s="19" t="str">
        <f>IF(NOT(ISNUMBER(BK97)),"",IF(WEEKDAY(BK97-CodeReviewInviteCalendarDays,2)&gt;5,BK97-CodeReviewInviteCalendarDays-(WEEKDAY(BK97-CodeReviewInviteCalendarDays,2)-5),BK97-CodeReviewInviteCalendarDays))</f>
        <v/>
      </c>
      <c r="BN97" s="17"/>
      <c r="BO97" s="17"/>
      <c r="BP97" s="18" t="str">
        <f ca="1">IF(A97="","",IF(IF(AND(ISNUMBER(J97),WEEKDAY(J97,2)&lt;&gt;2,WEEKDAY(J97,2)&lt;&gt;4)," | Release must be Tuesday or Thursday","")&amp;IF(AND(ISNUMBER(H97),WEEKDAY(H97,2)&lt;&gt;1)," | Sprint Start is not a Monday - dates still calculated from the date entered","")&amp;IF(AND(A97&lt;&gt;"",NOT(ISNUMBER(H97)),NOT(ISNUMBER(J97)))," | Enter Sprint Start or Release Date","")&amp;IF(AND(ISNUMBER(F97),F97&lt;TODAY(),D97&lt;&gt;"Completed")," | One or more raise-by dates are in the past and not completed","")&amp;IF(AND(ISNUMBER(K97),K97-TODAY()&lt;SprintWarningDays,K97&gt;=TODAY(),OR(D97="Yet to start",D97="Blocked"))," | Sprint starts in under 10 days - raise access requests now","")&amp;IF(AND(ISNUMBER(BM97),BN97&lt;&gt;"Completed",BN97&lt;&gt;"N/A",BM97-TODAY()&lt;CodeReviewInviteCalendarDays)," | Code Review invite should be sent at least 4 days before Code Review","")="","",MID(IF(AND(ISNUMBER(J97),WEEKDAY(J97,2)&lt;&gt;2,WEEKDAY(J97,2)&lt;&gt;4)," | Release must be Tuesday or Thursday","")&amp;IF(AND(ISNUMBER(H97),WEEKDAY(H97,2)&lt;&gt;1)," | Sprint Start is not a Monday - dates still calculated from the date entered","")&amp;IF(AND(A97&lt;&gt;"",NOT(ISNUMBER(H97)),NOT(ISNUMBER(J97)))," | Enter Sprint Start or Release Date","")&amp;IF(AND(ISNUMBER(F97),F97&lt;TODAY(),D97&lt;&gt;"Completed")," | One or more raise-by dates are in the past and not completed","")&amp;IF(AND(ISNUMBER(K97),K97-TODAY()&lt;SprintWarningDays,K97&gt;=TODAY(),OR(D97="Yet to start",D97="Blocked"))," | Sprint starts in under 10 days - raise access requests now","")&amp;IF(AND(ISNUMBER(BM97),BN97&lt;&gt;"Completed",BN97&lt;&gt;"N/A",BM97-TODAY()&lt;CodeReviewInviteCalendarDays)," | Code Review invite should be sent at least 4 days before Code Review",""),4,500)))</f>
        <v/>
      </c>
      <c r="BQ97" s="85" t="str">
        <f>IF(AND(ISNUMBER(Q97),S97&lt;&gt;"Completed",S97&lt;&gt;"N/A"),Q97,"")</f>
        <v/>
      </c>
      <c r="BR97" s="85" t="str">
        <f>IF(AND(ISNUMBER(T97),V97&lt;&gt;"Completed",V97&lt;&gt;"N/A"),T97,"")</f>
        <v/>
      </c>
      <c r="BS97" s="85" t="str">
        <f>IF(AND(ISNUMBER(W97),Y97&lt;&gt;"Completed",Y97&lt;&gt;"N/A"),W97,"")</f>
        <v/>
      </c>
      <c r="BT97" s="85" t="str">
        <f>IF(AND(ISNUMBER(AA97),AC97&lt;&gt;"Completed",AC97&lt;&gt;"N/A"),AA97,"")</f>
        <v/>
      </c>
      <c r="BU97" s="85" t="str">
        <f>IF(AND(ISNUMBER(AG97),AI97&lt;&gt;"Completed",AI97&lt;&gt;"N/A"),AG97,"")</f>
        <v/>
      </c>
      <c r="BV97" s="85" t="str">
        <f>IF(AND(ISNUMBER(AJ97),AL97&lt;&gt;"Completed",AL97&lt;&gt;"N/A"),AJ97,"")</f>
        <v/>
      </c>
      <c r="BW97" s="85" t="str">
        <f>IF(AND(ISNUMBER(AM97),AO97&lt;&gt;"Completed",AO97&lt;&gt;"N/A"),AM97,"")</f>
        <v/>
      </c>
      <c r="BX97" s="85" t="str">
        <f>IF(AND(ISNUMBER(AP97),AR97&lt;&gt;"Completed",AR97&lt;&gt;"N/A"),AP97,"")</f>
        <v/>
      </c>
      <c r="BY97" s="85" t="str">
        <f>IF(AND(ISNUMBER(AU97),AW97&lt;&gt;"Completed",AW97&lt;&gt;"N/A"),AU97,"")</f>
        <v/>
      </c>
      <c r="BZ97" s="85" t="str">
        <f>IF(AND(ISNUMBER(AX97),AZ97&lt;&gt;"Completed",AZ97&lt;&gt;"N/A"),AX97,"")</f>
        <v/>
      </c>
      <c r="CA97" s="85" t="str">
        <f>IF(AND(ISNUMBER(BA97),BC97&lt;&gt;"Completed",BC97&lt;&gt;"N/A"),BA97,"")</f>
        <v/>
      </c>
      <c r="CB97" s="85" t="str">
        <f>IF(AND(ISNUMBER(BD97),BF97&lt;&gt;"Completed",BF97&lt;&gt;"N/A"),BD97,"")</f>
        <v/>
      </c>
      <c r="CC97" s="85" t="str">
        <f>IF(AND(ISNUMBER(O97),P97&lt;&gt;"Completed",P97&lt;&gt;"N/A"),O97,"")</f>
        <v/>
      </c>
      <c r="CD97" s="85" t="str">
        <f>IF(AND(ISNUMBER(BM97),BN97&lt;&gt;"Completed",BN97&lt;&gt;"N/A"),BM97,"")</f>
        <v/>
      </c>
      <c r="CE97" s="85" t="str">
        <f>IF(AND(ISNUMBER(BK97),BL97&lt;&gt;"Completed",BL97&lt;&gt;"N/A"),BK97,"")</f>
        <v/>
      </c>
      <c r="CF97" s="85" t="str">
        <f>IF(AND(ISNUMBER(BI97),BJ97&lt;&gt;"Completed",BJ97&lt;&gt;"N/A"),BI97,"")</f>
        <v/>
      </c>
      <c r="CG97" s="85" t="str">
        <f ca="1">IF(OR(A97="",D97="Completed"),"",IF(N(G97)&gt;0,1/(N(G97)+ROW()/100000),IF(ISNUMBER(F97),1000+F97+ROW()/100000,TODAY()+400+ROW()/100000)))</f>
        <v/>
      </c>
    </row>
    <row r="98" spans="1:85">
      <c r="A98" s="17"/>
      <c r="B98" s="17"/>
      <c r="C98" s="17"/>
      <c r="D98" s="18" t="str">
        <f>IF(A98="","",IF(((S98="Blocked")+(V98="Blocked")+(Y98="Blocked")+(AC98="Blocked")+(AI98="Blocked")+(AL98="Blocked")+(AO98="Blocked")+(AR98="Blocked")+(AW98="Blocked")+(AZ98="Blocked")+(BC98="Blocked")+(BF98="Blocked")+(P98="Blocked")+(BJ98="Blocked")+(BL98="Blocked")+(BN98="Blocked")+(BO98="Blocked"))&gt;0,"Blocked",IF((ISNUMBER(Q98)+ISNUMBER(T98)+ISNUMBER(W98)+ISNUMBER(AA98)+ISNUMBER(AG98)+ISNUMBER(AJ98)+ISNUMBER(AM98)+ISNUMBER(AP98)+ISNUMBER(AU98)+ISNUMBER(AX98)+ISNUMBER(BA98)+ISNUMBER(BD98)+ISNUMBER(O98)+ISNUMBER(BI98)+ISNUMBER(BK98)+ISNUMBER(BM98))=0,"Yet to start",IF(AND(OR(NOT(ISNUMBER(Q98)),S98="Completed",S98="N/A"),OR(NOT(ISNUMBER(T98)),V98="Completed",V98="N/A"),OR(NOT(ISNUMBER(W98)),Y98="Completed",Y98="N/A"),OR(NOT(ISNUMBER(AA98)),AC98="Completed",AC98="N/A"),OR(NOT(ISNUMBER(AG98)),AI98="Completed",AI98="N/A"),OR(NOT(ISNUMBER(AJ98)),AL98="Completed",AL98="N/A"),OR(NOT(ISNUMBER(AM98)),AO98="Completed",AO98="N/A"),OR(NOT(ISNUMBER(AP98)),AR98="Completed",AR98="N/A"),OR(NOT(ISNUMBER(AU98)),AW98="Completed",AW98="N/A"),OR(NOT(ISNUMBER(AX98)),AZ98="Completed",AZ98="N/A"),OR(NOT(ISNUMBER(BA98)),BC98="Completed",BC98="N/A"),OR(NOT(ISNUMBER(BD98)),BF98="Completed",BF98="N/A"),OR(NOT(ISNUMBER(O98)),P98="Completed",P98="N/A"),OR(NOT(ISNUMBER(BI98)),BJ98="Completed",BJ98="N/A"),OR(NOT(ISNUMBER(BK98)),BL98="Completed",BL98="N/A"),OR(NOT(ISNUMBER(BM98)),BN98="Completed",BN98="N/A"),OR(BO98="Completed",BO98="N/A")),"Completed",IF(((S98="In Progress")+(V98="In Progress")+(Y98="In Progress")+(AC98="In Progress")+(AI98="In Progress")+(AL98="In Progress")+(AO98="In Progress")+(AR98="In Progress")+(AW98="In Progress")+(AZ98="In Progress")+(BC98="In Progress")+(BF98="In Progress")+(P98="In Progress")+(BJ98="In Progress")+(BL98="In Progress")+(BN98="In Progress")+(BO98="In Progress"))&gt;0,"In Progress","Yet to start")))))</f>
        <v/>
      </c>
      <c r="E98" s="18" t="str">
        <f>IF(A98="","",IF(F98="","All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Review","CAB"},MATCH(F98,BQ98:CF98,0))))</f>
        <v/>
      </c>
      <c r="F98" s="19" t="str">
        <f>IF(A98="","",IF(COUNT(BQ98:CF98)=0,"",MIN(BQ98:CF98)))</f>
        <v/>
      </c>
      <c r="G98" s="18" t="str">
        <f ca="1">IF(A98="","",MAX(0,IF(AND(ISNUMBER(Q98),S98&lt;&gt;"Completed",S98&lt;&gt;"N/A",Q98&lt;TODAY()),TODAY()-Q98,0),IF(AND(ISNUMBER(T98),V98&lt;&gt;"Completed",V98&lt;&gt;"N/A",T98&lt;TODAY()),TODAY()-T98,0),IF(AND(ISNUMBER(W98),Y98&lt;&gt;"Completed",Y98&lt;&gt;"N/A",W98&lt;TODAY()),TODAY()-W98,0),IF(AND(ISNUMBER(AA98),AC98&lt;&gt;"Completed",AC98&lt;&gt;"N/A",AA98&lt;TODAY()),TODAY()-AA98,0),IF(AND(ISNUMBER(AG98),AI98&lt;&gt;"Completed",AI98&lt;&gt;"N/A",AG98&lt;TODAY()),TODAY()-AG98,0),IF(AND(ISNUMBER(AJ98),AL98&lt;&gt;"Completed",AL98&lt;&gt;"N/A",AJ98&lt;TODAY()),TODAY()-AJ98,0),IF(AND(ISNUMBER(AM98),AO98&lt;&gt;"Completed",AO98&lt;&gt;"N/A",AM98&lt;TODAY()),TODAY()-AM98,0),IF(AND(ISNUMBER(AP98),AR98&lt;&gt;"Completed",AR98&lt;&gt;"N/A",AP98&lt;TODAY()),TODAY()-AP98,0),IF(AND(ISNUMBER(AU98),AW98&lt;&gt;"Completed",AW98&lt;&gt;"N/A",AU98&lt;TODAY()),TODAY()-AU98,0),IF(AND(ISNUMBER(AX98),AZ98&lt;&gt;"Completed",AZ98&lt;&gt;"N/A",AX98&lt;TODAY()),TODAY()-AX98,0),IF(AND(ISNUMBER(BA98),BC98&lt;&gt;"Completed",BC98&lt;&gt;"N/A",BA98&lt;TODAY()),TODAY()-BA98,0),IF(AND(ISNUMBER(BD98),BF98&lt;&gt;"Completed",BF98&lt;&gt;"N/A",BD98&lt;TODAY()),TODAY()-BD98,0),IF(AND(ISNUMBER(O98),P98&lt;&gt;"Completed",P98&lt;&gt;"N/A",O98&lt;TODAY()),TODAY()-O98,0),IF(AND(ISNUMBER(BM98),BN98&lt;&gt;"Completed",BN98&lt;&gt;"N/A",BM98&lt;TODAY()),TODAY()-BM98,0),IF(AND(ISNUMBER(BK98),BL98&lt;&gt;"Completed",BL98&lt;&gt;"N/A",BK98&lt;TODAY()),TODAY()-BK98,0),IF(AND(ISNUMBER(BI98),BJ98&lt;&gt;"Completed",BJ98&lt;&gt;"N/A",BI98&lt;TODAY()),TODAY()-BI98,0)))</f>
        <v/>
      </c>
      <c r="H98" s="17"/>
      <c r="I98" s="17"/>
      <c r="J98" s="17"/>
      <c r="K98" s="19" t="str">
        <f>IF(ISNUMBER(H98),H98,IF(ISNUMBER(M98),M98-WEEKDAY(M98,2)+1-7,""))</f>
        <v/>
      </c>
      <c r="L98" s="19" t="str">
        <f>IF(ISNUMBER(I98),I98,IF(ISNUMBER(H98),WORKDAY(H98,SprintWorkingDays-1),IF(ISNUMBER(K98),WORKDAY(K98,SprintWorkingDays-1),"")))</f>
        <v/>
      </c>
      <c r="M98" s="19" t="str">
        <f>IF(ISNUMBER(J98),J98,IF(ISNUMBER(I98),I98-IF(OR(WEEKDAY(I98,2)=2,WEEKDAY(I98,2)=4),0,IF(WEEKDAY(I98,2)=3,1,IF(WEEKDAY(I98,2)=1,4,WEEKDAY(I98,2)-4))),IF(ISNUMBER(H98),WORKDAY(H98,SprintWorkingDays-1)-IF(OR(WEEKDAY(WORKDAY(H98,SprintWorkingDays-1),2)=2,WEEKDAY(WORKDAY(H98,SprintWorkingDays-1),2)=4),0,IF(WEEKDAY(WORKDAY(H98,SprintWorkingDays-1),2)=3,1,IF(WEEKDAY(WORKDAY(H98,SprintWorkingDays-1),2)=1,4,WEEKDAY(WORKDAY(H98,SprintWorkingDays-1),2)-4))),"")))</f>
        <v/>
      </c>
      <c r="N98" s="19" t="str">
        <f>IF(NOT(ISNUMBER(K98)),"",WORKDAY(K98,ReadyOffsetWD))</f>
        <v/>
      </c>
      <c r="O98" s="19" t="str">
        <f>IF(NOT(ISNUMBER(K98)),"",WORKDAY(K98,SprintReadinessOffsetWD))</f>
        <v/>
      </c>
      <c r="P98" s="17"/>
      <c r="Q98" s="19" t="str">
        <f>IF(A98="","",IF(V98="N/A",IF(NOT(ISNUMBER(W98)),"",WORKDAY(W98,RTSKOffsetFromOUR_WD)),IF(NOT(ISNUMBER(T98)),"",WORKDAY(T98,RTSKOffsetFromOUR_WD))))</f>
        <v/>
      </c>
      <c r="R98" s="17"/>
      <c r="S98" s="17"/>
      <c r="T98" s="19" t="str">
        <f>IF(OR(A98="",V98="N/A"),"",IF(NOT(ISNUMBER(W98)),"",WORKDAY(W98,OUROffsetFromSR_WD)))</f>
        <v/>
      </c>
      <c r="U98" s="17"/>
      <c r="V98" s="17"/>
      <c r="W98" s="19" t="str">
        <f>IF(OR(A98="",NOT(ISNUMBER(K98))),"",WORKDAY(K98,SROffsetFromStartWD))</f>
        <v/>
      </c>
      <c r="X98" s="17"/>
      <c r="Y98" s="17"/>
      <c r="Z98" s="17"/>
      <c r="AA98" s="19" t="str">
        <f>IF(OR(Z98="",Z98="N/A"),"",IF(ISNUMBER(Q98),Q98,""))</f>
        <v/>
      </c>
      <c r="AB98" s="17"/>
      <c r="AC98" s="17"/>
      <c r="AD98" s="17"/>
      <c r="AE98" s="17"/>
      <c r="AF98" s="17" t="str">
        <f>IF(Z98="N/A","N/A","")</f>
        <v/>
      </c>
      <c r="AG98" s="19" t="str">
        <f>IF(NOT(ISNUMBER(Q98)),"",Q98)</f>
        <v/>
      </c>
      <c r="AH98" s="17"/>
      <c r="AI98" s="17"/>
      <c r="AJ98" s="19" t="str">
        <f>IF(OR(AL98="N/A",NOT(ISNUMBER(T98))),"",T98)</f>
        <v/>
      </c>
      <c r="AK98" s="17"/>
      <c r="AL98" s="17"/>
      <c r="AM98" s="19" t="str">
        <f>IF(NOT(ISNUMBER(W98)),"",W98)</f>
        <v/>
      </c>
      <c r="AN98" s="17"/>
      <c r="AO98" s="17"/>
      <c r="AP98" s="19" t="str">
        <f>IF(OR(Z98="",Z98="N/A"),"",IF(ISNUMBER(AG98),AG98,""))</f>
        <v/>
      </c>
      <c r="AQ98" s="17"/>
      <c r="AR98" s="17"/>
      <c r="AS98" s="17"/>
      <c r="AT98" s="17"/>
      <c r="AU98" s="19" t="str">
        <f>IF(NOT(ISNUMBER(Q98)),"",Q98)</f>
        <v/>
      </c>
      <c r="AV98" s="17"/>
      <c r="AW98" s="17"/>
      <c r="AX98" s="19" t="str">
        <f>IF(OR(AZ98="N/A",NOT(ISNUMBER(T98))),"",T98)</f>
        <v/>
      </c>
      <c r="AY98" s="17"/>
      <c r="AZ98" s="17"/>
      <c r="BA98" s="19" t="str">
        <f>IF(NOT(ISNUMBER(W98)),"",W98)</f>
        <v/>
      </c>
      <c r="BB98" s="17"/>
      <c r="BC98" s="17"/>
      <c r="BD98" s="19" t="str">
        <f>IF(OR(Z98="",Z98="N/A"),"",IF(ISNUMBER(AU98),AU98,""))</f>
        <v/>
      </c>
      <c r="BE98" s="17"/>
      <c r="BF98" s="17"/>
      <c r="BG98" s="17"/>
      <c r="BH98" s="17"/>
      <c r="BI98" s="89" t="e">
        <f>IF(OR(A98="",NOT(ISNUMBER(M98)),AND(WEEKDAY(M98,2)&lt;&gt;2,WEEKDAY(M98,2)&lt;&gt;4)),"",WORKDAY(M98,CABOffsetFromReleaseWD))</f>
        <v>#VALUE!</v>
      </c>
      <c r="BJ98" s="17"/>
      <c r="BK98" s="19" t="str">
        <f>IF(NOT(ISNUMBER(BI98)),"",IF(WEEKDAY(BI98-CodeReviewCalendarDays,2)&gt;5,BI98-CodeReviewCalendarDays-(WEEKDAY(BI98-CodeReviewCalendarDays,2)-5),BI98-CodeReviewCalendarDays))</f>
        <v/>
      </c>
      <c r="BL98" s="17"/>
      <c r="BM98" s="19" t="str">
        <f>IF(NOT(ISNUMBER(BK98)),"",IF(WEEKDAY(BK98-CodeReviewInviteCalendarDays,2)&gt;5,BK98-CodeReviewInviteCalendarDays-(WEEKDAY(BK98-CodeReviewInviteCalendarDays,2)-5),BK98-CodeReviewInviteCalendarDays))</f>
        <v/>
      </c>
      <c r="BN98" s="17"/>
      <c r="BO98" s="17"/>
      <c r="BP98" s="18" t="str">
        <f ca="1">IF(A98="","",IF(IF(AND(ISNUMBER(J98),WEEKDAY(J98,2)&lt;&gt;2,WEEKDAY(J98,2)&lt;&gt;4)," | Release must be Tuesday or Thursday","")&amp;IF(AND(ISNUMBER(H98),WEEKDAY(H98,2)&lt;&gt;1)," | Sprint Start is not a Monday - dates still calculated from the date entered","")&amp;IF(AND(A98&lt;&gt;"",NOT(ISNUMBER(H98)),NOT(ISNUMBER(J98)))," | Enter Sprint Start or Release Date","")&amp;IF(AND(ISNUMBER(F98),F98&lt;TODAY(),D98&lt;&gt;"Completed")," | One or more raise-by dates are in the past and not completed","")&amp;IF(AND(ISNUMBER(K98),K98-TODAY()&lt;SprintWarningDays,K98&gt;=TODAY(),OR(D98="Yet to start",D98="Blocked"))," | Sprint starts in under 10 days - raise access requests now","")&amp;IF(AND(ISNUMBER(BM98),BN98&lt;&gt;"Completed",BN98&lt;&gt;"N/A",BM98-TODAY()&lt;CodeReviewInviteCalendarDays)," | Code Review invite should be sent at least 4 days before Code Review","")="","",MID(IF(AND(ISNUMBER(J98),WEEKDAY(J98,2)&lt;&gt;2,WEEKDAY(J98,2)&lt;&gt;4)," | Release must be Tuesday or Thursday","")&amp;IF(AND(ISNUMBER(H98),WEEKDAY(H98,2)&lt;&gt;1)," | Sprint Start is not a Monday - dates still calculated from the date entered","")&amp;IF(AND(A98&lt;&gt;"",NOT(ISNUMBER(H98)),NOT(ISNUMBER(J98)))," | Enter Sprint Start or Release Date","")&amp;IF(AND(ISNUMBER(F98),F98&lt;TODAY(),D98&lt;&gt;"Completed")," | One or more raise-by dates are in the past and not completed","")&amp;IF(AND(ISNUMBER(K98),K98-TODAY()&lt;SprintWarningDays,K98&gt;=TODAY(),OR(D98="Yet to start",D98="Blocked"))," | Sprint starts in under 10 days - raise access requests now","")&amp;IF(AND(ISNUMBER(BM98),BN98&lt;&gt;"Completed",BN98&lt;&gt;"N/A",BM98-TODAY()&lt;CodeReviewInviteCalendarDays)," | Code Review invite should be sent at least 4 days before Code Review",""),4,500)))</f>
        <v/>
      </c>
      <c r="BQ98" s="85" t="str">
        <f>IF(AND(ISNUMBER(Q98),S98&lt;&gt;"Completed",S98&lt;&gt;"N/A"),Q98,"")</f>
        <v/>
      </c>
      <c r="BR98" s="85" t="str">
        <f>IF(AND(ISNUMBER(T98),V98&lt;&gt;"Completed",V98&lt;&gt;"N/A"),T98,"")</f>
        <v/>
      </c>
      <c r="BS98" s="85" t="str">
        <f>IF(AND(ISNUMBER(W98),Y98&lt;&gt;"Completed",Y98&lt;&gt;"N/A"),W98,"")</f>
        <v/>
      </c>
      <c r="BT98" s="85" t="str">
        <f>IF(AND(ISNUMBER(AA98),AC98&lt;&gt;"Completed",AC98&lt;&gt;"N/A"),AA98,"")</f>
        <v/>
      </c>
      <c r="BU98" s="85" t="str">
        <f>IF(AND(ISNUMBER(AG98),AI98&lt;&gt;"Completed",AI98&lt;&gt;"N/A"),AG98,"")</f>
        <v/>
      </c>
      <c r="BV98" s="85" t="str">
        <f>IF(AND(ISNUMBER(AJ98),AL98&lt;&gt;"Completed",AL98&lt;&gt;"N/A"),AJ98,"")</f>
        <v/>
      </c>
      <c r="BW98" s="85" t="str">
        <f>IF(AND(ISNUMBER(AM98),AO98&lt;&gt;"Completed",AO98&lt;&gt;"N/A"),AM98,"")</f>
        <v/>
      </c>
      <c r="BX98" s="85" t="str">
        <f>IF(AND(ISNUMBER(AP98),AR98&lt;&gt;"Completed",AR98&lt;&gt;"N/A"),AP98,"")</f>
        <v/>
      </c>
      <c r="BY98" s="85" t="str">
        <f>IF(AND(ISNUMBER(AU98),AW98&lt;&gt;"Completed",AW98&lt;&gt;"N/A"),AU98,"")</f>
        <v/>
      </c>
      <c r="BZ98" s="85" t="str">
        <f>IF(AND(ISNUMBER(AX98),AZ98&lt;&gt;"Completed",AZ98&lt;&gt;"N/A"),AX98,"")</f>
        <v/>
      </c>
      <c r="CA98" s="85" t="str">
        <f>IF(AND(ISNUMBER(BA98),BC98&lt;&gt;"Completed",BC98&lt;&gt;"N/A"),BA98,"")</f>
        <v/>
      </c>
      <c r="CB98" s="85" t="str">
        <f>IF(AND(ISNUMBER(BD98),BF98&lt;&gt;"Completed",BF98&lt;&gt;"N/A"),BD98,"")</f>
        <v/>
      </c>
      <c r="CC98" s="85" t="str">
        <f>IF(AND(ISNUMBER(O98),P98&lt;&gt;"Completed",P98&lt;&gt;"N/A"),O98,"")</f>
        <v/>
      </c>
      <c r="CD98" s="85" t="str">
        <f>IF(AND(ISNUMBER(BM98),BN98&lt;&gt;"Completed",BN98&lt;&gt;"N/A"),BM98,"")</f>
        <v/>
      </c>
      <c r="CE98" s="85" t="str">
        <f>IF(AND(ISNUMBER(BK98),BL98&lt;&gt;"Completed",BL98&lt;&gt;"N/A"),BK98,"")</f>
        <v/>
      </c>
      <c r="CF98" s="85" t="str">
        <f>IF(AND(ISNUMBER(BI98),BJ98&lt;&gt;"Completed",BJ98&lt;&gt;"N/A"),BI98,"")</f>
        <v/>
      </c>
      <c r="CG98" s="85" t="str">
        <f ca="1">IF(OR(A98="",D98="Completed"),"",IF(N(G98)&gt;0,1/(N(G98)+ROW()/100000),IF(ISNUMBER(F98),1000+F98+ROW()/100000,TODAY()+400+ROW()/100000)))</f>
        <v/>
      </c>
    </row>
    <row r="99" spans="1:85">
      <c r="A99" s="17"/>
      <c r="B99" s="17"/>
      <c r="C99" s="17"/>
      <c r="D99" s="18" t="str">
        <f>IF(A99="","",IF(((S99="Blocked")+(V99="Blocked")+(Y99="Blocked")+(AC99="Blocked")+(AI99="Blocked")+(AL99="Blocked")+(AO99="Blocked")+(AR99="Blocked")+(AW99="Blocked")+(AZ99="Blocked")+(BC99="Blocked")+(BF99="Blocked")+(P99="Blocked")+(BJ99="Blocked")+(BL99="Blocked")+(BN99="Blocked")+(BO99="Blocked"))&gt;0,"Blocked",IF((ISNUMBER(Q99)+ISNUMBER(T99)+ISNUMBER(W99)+ISNUMBER(AA99)+ISNUMBER(AG99)+ISNUMBER(AJ99)+ISNUMBER(AM99)+ISNUMBER(AP99)+ISNUMBER(AU99)+ISNUMBER(AX99)+ISNUMBER(BA99)+ISNUMBER(BD99)+ISNUMBER(O99)+ISNUMBER(BI99)+ISNUMBER(BK99)+ISNUMBER(BM99))=0,"Yet to start",IF(AND(OR(NOT(ISNUMBER(Q99)),S99="Completed",S99="N/A"),OR(NOT(ISNUMBER(T99)),V99="Completed",V99="N/A"),OR(NOT(ISNUMBER(W99)),Y99="Completed",Y99="N/A"),OR(NOT(ISNUMBER(AA99)),AC99="Completed",AC99="N/A"),OR(NOT(ISNUMBER(AG99)),AI99="Completed",AI99="N/A"),OR(NOT(ISNUMBER(AJ99)),AL99="Completed",AL99="N/A"),OR(NOT(ISNUMBER(AM99)),AO99="Completed",AO99="N/A"),OR(NOT(ISNUMBER(AP99)),AR99="Completed",AR99="N/A"),OR(NOT(ISNUMBER(AU99)),AW99="Completed",AW99="N/A"),OR(NOT(ISNUMBER(AX99)),AZ99="Completed",AZ99="N/A"),OR(NOT(ISNUMBER(BA99)),BC99="Completed",BC99="N/A"),OR(NOT(ISNUMBER(BD99)),BF99="Completed",BF99="N/A"),OR(NOT(ISNUMBER(O99)),P99="Completed",P99="N/A"),OR(NOT(ISNUMBER(BI99)),BJ99="Completed",BJ99="N/A"),OR(NOT(ISNUMBER(BK99)),BL99="Completed",BL99="N/A"),OR(NOT(ISNUMBER(BM99)),BN99="Completed",BN99="N/A"),OR(BO99="Completed",BO99="N/A")),"Completed",IF(((S99="In Progress")+(V99="In Progress")+(Y99="In Progress")+(AC99="In Progress")+(AI99="In Progress")+(AL99="In Progress")+(AO99="In Progress")+(AR99="In Progress")+(AW99="In Progress")+(AZ99="In Progress")+(BC99="In Progress")+(BF99="In Progress")+(P99="In Progress")+(BJ99="In Progress")+(BL99="In Progress")+(BN99="In Progress")+(BO99="In Progress"))&gt;0,"In Progress","Yet to start")))))</f>
        <v/>
      </c>
      <c r="E99" s="18" t="str">
        <f>IF(A99="","",IF(F99="","All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Review","CAB"},MATCH(F99,BQ99:CF99,0))))</f>
        <v/>
      </c>
      <c r="F99" s="19" t="str">
        <f>IF(A99="","",IF(COUNT(BQ99:CF99)=0,"",MIN(BQ99:CF99)))</f>
        <v/>
      </c>
      <c r="G99" s="18" t="str">
        <f ca="1">IF(A99="","",MAX(0,IF(AND(ISNUMBER(Q99),S99&lt;&gt;"Completed",S99&lt;&gt;"N/A",Q99&lt;TODAY()),TODAY()-Q99,0),IF(AND(ISNUMBER(T99),V99&lt;&gt;"Completed",V99&lt;&gt;"N/A",T99&lt;TODAY()),TODAY()-T99,0),IF(AND(ISNUMBER(W99),Y99&lt;&gt;"Completed",Y99&lt;&gt;"N/A",W99&lt;TODAY()),TODAY()-W99,0),IF(AND(ISNUMBER(AA99),AC99&lt;&gt;"Completed",AC99&lt;&gt;"N/A",AA99&lt;TODAY()),TODAY()-AA99,0),IF(AND(ISNUMBER(AG99),AI99&lt;&gt;"Completed",AI99&lt;&gt;"N/A",AG99&lt;TODAY()),TODAY()-AG99,0),IF(AND(ISNUMBER(AJ99),AL99&lt;&gt;"Completed",AL99&lt;&gt;"N/A",AJ99&lt;TODAY()),TODAY()-AJ99,0),IF(AND(ISNUMBER(AM99),AO99&lt;&gt;"Completed",AO99&lt;&gt;"N/A",AM99&lt;TODAY()),TODAY()-AM99,0),IF(AND(ISNUMBER(AP99),AR99&lt;&gt;"Completed",AR99&lt;&gt;"N/A",AP99&lt;TODAY()),TODAY()-AP99,0),IF(AND(ISNUMBER(AU99),AW99&lt;&gt;"Completed",AW99&lt;&gt;"N/A",AU99&lt;TODAY()),TODAY()-AU99,0),IF(AND(ISNUMBER(AX99),AZ99&lt;&gt;"Completed",AZ99&lt;&gt;"N/A",AX99&lt;TODAY()),TODAY()-AX99,0),IF(AND(ISNUMBER(BA99),BC99&lt;&gt;"Completed",BC99&lt;&gt;"N/A",BA99&lt;TODAY()),TODAY()-BA99,0),IF(AND(ISNUMBER(BD99),BF99&lt;&gt;"Completed",BF99&lt;&gt;"N/A",BD99&lt;TODAY()),TODAY()-BD99,0),IF(AND(ISNUMBER(O99),P99&lt;&gt;"Completed",P99&lt;&gt;"N/A",O99&lt;TODAY()),TODAY()-O99,0),IF(AND(ISNUMBER(BM99),BN99&lt;&gt;"Completed",BN99&lt;&gt;"N/A",BM99&lt;TODAY()),TODAY()-BM99,0),IF(AND(ISNUMBER(BK99),BL99&lt;&gt;"Completed",BL99&lt;&gt;"N/A",BK99&lt;TODAY()),TODAY()-BK99,0),IF(AND(ISNUMBER(BI99),BJ99&lt;&gt;"Completed",BJ99&lt;&gt;"N/A",BI99&lt;TODAY()),TODAY()-BI99,0)))</f>
        <v/>
      </c>
      <c r="H99" s="17"/>
      <c r="I99" s="17"/>
      <c r="J99" s="17"/>
      <c r="K99" s="19" t="str">
        <f>IF(ISNUMBER(H99),H99,IF(ISNUMBER(M99),M99-WEEKDAY(M99,2)+1-7,""))</f>
        <v/>
      </c>
      <c r="L99" s="19" t="str">
        <f>IF(ISNUMBER(I99),I99,IF(ISNUMBER(H99),WORKDAY(H99,SprintWorkingDays-1),IF(ISNUMBER(K99),WORKDAY(K99,SprintWorkingDays-1),"")))</f>
        <v/>
      </c>
      <c r="M99" s="19" t="str">
        <f>IF(ISNUMBER(J99),J99,IF(ISNUMBER(I99),I99-IF(OR(WEEKDAY(I99,2)=2,WEEKDAY(I99,2)=4),0,IF(WEEKDAY(I99,2)=3,1,IF(WEEKDAY(I99,2)=1,4,WEEKDAY(I99,2)-4))),IF(ISNUMBER(H99),WORKDAY(H99,SprintWorkingDays-1)-IF(OR(WEEKDAY(WORKDAY(H99,SprintWorkingDays-1),2)=2,WEEKDAY(WORKDAY(H99,SprintWorkingDays-1),2)=4),0,IF(WEEKDAY(WORKDAY(H99,SprintWorkingDays-1),2)=3,1,IF(WEEKDAY(WORKDAY(H99,SprintWorkingDays-1),2)=1,4,WEEKDAY(WORKDAY(H99,SprintWorkingDays-1),2)-4))),"")))</f>
        <v/>
      </c>
      <c r="N99" s="19" t="str">
        <f>IF(NOT(ISNUMBER(K99)),"",WORKDAY(K99,ReadyOffsetWD))</f>
        <v/>
      </c>
      <c r="O99" s="19" t="str">
        <f>IF(NOT(ISNUMBER(K99)),"",WORKDAY(K99,SprintReadinessOffsetWD))</f>
        <v/>
      </c>
      <c r="P99" s="17"/>
      <c r="Q99" s="19" t="str">
        <f>IF(A99="","",IF(V99="N/A",IF(NOT(ISNUMBER(W99)),"",WORKDAY(W99,RTSKOffsetFromOUR_WD)),IF(NOT(ISNUMBER(T99)),"",WORKDAY(T99,RTSKOffsetFromOUR_WD))))</f>
        <v/>
      </c>
      <c r="R99" s="17"/>
      <c r="S99" s="17"/>
      <c r="T99" s="19" t="str">
        <f>IF(OR(A99="",V99="N/A"),"",IF(NOT(ISNUMBER(W99)),"",WORKDAY(W99,OUROffsetFromSR_WD)))</f>
        <v/>
      </c>
      <c r="U99" s="17"/>
      <c r="V99" s="17"/>
      <c r="W99" s="19" t="str">
        <f>IF(OR(A99="",NOT(ISNUMBER(K99))),"",WORKDAY(K99,SROffsetFromStartWD))</f>
        <v/>
      </c>
      <c r="X99" s="17"/>
      <c r="Y99" s="17"/>
      <c r="Z99" s="17"/>
      <c r="AA99" s="19" t="str">
        <f>IF(OR(Z99="",Z99="N/A"),"",IF(ISNUMBER(Q99),Q99,""))</f>
        <v/>
      </c>
      <c r="AB99" s="17"/>
      <c r="AC99" s="17"/>
      <c r="AD99" s="17"/>
      <c r="AE99" s="17"/>
      <c r="AF99" s="17" t="str">
        <f>IF(Z99="N/A","N/A","")</f>
        <v/>
      </c>
      <c r="AG99" s="19" t="str">
        <f>IF(NOT(ISNUMBER(Q99)),"",Q99)</f>
        <v/>
      </c>
      <c r="AH99" s="17"/>
      <c r="AI99" s="17"/>
      <c r="AJ99" s="19" t="str">
        <f>IF(OR(AL99="N/A",NOT(ISNUMBER(T99))),"",T99)</f>
        <v/>
      </c>
      <c r="AK99" s="17"/>
      <c r="AL99" s="17"/>
      <c r="AM99" s="19" t="str">
        <f>IF(NOT(ISNUMBER(W99)),"",W99)</f>
        <v/>
      </c>
      <c r="AN99" s="17"/>
      <c r="AO99" s="17"/>
      <c r="AP99" s="19" t="str">
        <f>IF(OR(Z99="",Z99="N/A"),"",IF(ISNUMBER(AG99),AG99,""))</f>
        <v/>
      </c>
      <c r="AQ99" s="17"/>
      <c r="AR99" s="17"/>
      <c r="AS99" s="17"/>
      <c r="AT99" s="17"/>
      <c r="AU99" s="19" t="str">
        <f>IF(NOT(ISNUMBER(Q99)),"",Q99)</f>
        <v/>
      </c>
      <c r="AV99" s="17"/>
      <c r="AW99" s="17"/>
      <c r="AX99" s="19" t="str">
        <f>IF(OR(AZ99="N/A",NOT(ISNUMBER(T99))),"",T99)</f>
        <v/>
      </c>
      <c r="AY99" s="17"/>
      <c r="AZ99" s="17"/>
      <c r="BA99" s="19" t="str">
        <f>IF(NOT(ISNUMBER(W99)),"",W99)</f>
        <v/>
      </c>
      <c r="BB99" s="17"/>
      <c r="BC99" s="17"/>
      <c r="BD99" s="19" t="str">
        <f>IF(OR(Z99="",Z99="N/A"),"",IF(ISNUMBER(AU99),AU99,""))</f>
        <v/>
      </c>
      <c r="BE99" s="17"/>
      <c r="BF99" s="17"/>
      <c r="BG99" s="17"/>
      <c r="BH99" s="17"/>
      <c r="BI99" s="89" t="e">
        <f>IF(OR(A99="",NOT(ISNUMBER(M99)),AND(WEEKDAY(M99,2)&lt;&gt;2,WEEKDAY(M99,2)&lt;&gt;4)),"",WORKDAY(M99,CABOffsetFromReleaseWD))</f>
        <v>#VALUE!</v>
      </c>
      <c r="BJ99" s="17"/>
      <c r="BK99" s="19" t="str">
        <f>IF(NOT(ISNUMBER(BI99)),"",IF(WEEKDAY(BI99-CodeReviewCalendarDays,2)&gt;5,BI99-CodeReviewCalendarDays-(WEEKDAY(BI99-CodeReviewCalendarDays,2)-5),BI99-CodeReviewCalendarDays))</f>
        <v/>
      </c>
      <c r="BL99" s="17"/>
      <c r="BM99" s="19" t="str">
        <f>IF(NOT(ISNUMBER(BK99)),"",IF(WEEKDAY(BK99-CodeReviewInviteCalendarDays,2)&gt;5,BK99-CodeReviewInviteCalendarDays-(WEEKDAY(BK99-CodeReviewInviteCalendarDays,2)-5),BK99-CodeReviewInviteCalendarDays))</f>
        <v/>
      </c>
      <c r="BN99" s="17"/>
      <c r="BO99" s="17"/>
      <c r="BP99" s="18" t="str">
        <f ca="1">IF(A99="","",IF(IF(AND(ISNUMBER(J99),WEEKDAY(J99,2)&lt;&gt;2,WEEKDAY(J99,2)&lt;&gt;4)," | Release must be Tuesday or Thursday","")&amp;IF(AND(ISNUMBER(H99),WEEKDAY(H99,2)&lt;&gt;1)," | Sprint Start is not a Monday - dates still calculated from the date entered","")&amp;IF(AND(A99&lt;&gt;"",NOT(ISNUMBER(H99)),NOT(ISNUMBER(J99)))," | Enter Sprint Start or Release Date","")&amp;IF(AND(ISNUMBER(F99),F99&lt;TODAY(),D99&lt;&gt;"Completed")," | One or more raise-by dates are in the past and not completed","")&amp;IF(AND(ISNUMBER(K99),K99-TODAY()&lt;SprintWarningDays,K99&gt;=TODAY(),OR(D99="Yet to start",D99="Blocked"))," | Sprint starts in under 10 days - raise access requests now","")&amp;IF(AND(ISNUMBER(BM99),BN99&lt;&gt;"Completed",BN99&lt;&gt;"N/A",BM99-TODAY()&lt;CodeReviewInviteCalendarDays)," | Code Review invite should be sent at least 4 days before Code Review","")="","",MID(IF(AND(ISNUMBER(J99),WEEKDAY(J99,2)&lt;&gt;2,WEEKDAY(J99,2)&lt;&gt;4)," | Release must be Tuesday or Thursday","")&amp;IF(AND(ISNUMBER(H99),WEEKDAY(H99,2)&lt;&gt;1)," | Sprint Start is not a Monday - dates still calculated from the date entered","")&amp;IF(AND(A99&lt;&gt;"",NOT(ISNUMBER(H99)),NOT(ISNUMBER(J99)))," | Enter Sprint Start or Release Date","")&amp;IF(AND(ISNUMBER(F99),F99&lt;TODAY(),D99&lt;&gt;"Completed")," | One or more raise-by dates are in the past and not completed","")&amp;IF(AND(ISNUMBER(K99),K99-TODAY()&lt;SprintWarningDays,K99&gt;=TODAY(),OR(D99="Yet to start",D99="Blocked"))," | Sprint starts in under 10 days - raise access requests now","")&amp;IF(AND(ISNUMBER(BM99),BN99&lt;&gt;"Completed",BN99&lt;&gt;"N/A",BM99-TODAY()&lt;CodeReviewInviteCalendarDays)," | Code Review invite should be sent at least 4 days before Code Review",""),4,500)))</f>
        <v/>
      </c>
      <c r="BQ99" s="85" t="str">
        <f>IF(AND(ISNUMBER(Q99),S99&lt;&gt;"Completed",S99&lt;&gt;"N/A"),Q99,"")</f>
        <v/>
      </c>
      <c r="BR99" s="85" t="str">
        <f>IF(AND(ISNUMBER(T99),V99&lt;&gt;"Completed",V99&lt;&gt;"N/A"),T99,"")</f>
        <v/>
      </c>
      <c r="BS99" s="85" t="str">
        <f>IF(AND(ISNUMBER(W99),Y99&lt;&gt;"Completed",Y99&lt;&gt;"N/A"),W99,"")</f>
        <v/>
      </c>
      <c r="BT99" s="85" t="str">
        <f>IF(AND(ISNUMBER(AA99),AC99&lt;&gt;"Completed",AC99&lt;&gt;"N/A"),AA99,"")</f>
        <v/>
      </c>
      <c r="BU99" s="85" t="str">
        <f>IF(AND(ISNUMBER(AG99),AI99&lt;&gt;"Completed",AI99&lt;&gt;"N/A"),AG99,"")</f>
        <v/>
      </c>
      <c r="BV99" s="85" t="str">
        <f>IF(AND(ISNUMBER(AJ99),AL99&lt;&gt;"Completed",AL99&lt;&gt;"N/A"),AJ99,"")</f>
        <v/>
      </c>
      <c r="BW99" s="85" t="str">
        <f>IF(AND(ISNUMBER(AM99),AO99&lt;&gt;"Completed",AO99&lt;&gt;"N/A"),AM99,"")</f>
        <v/>
      </c>
      <c r="BX99" s="85" t="str">
        <f>IF(AND(ISNUMBER(AP99),AR99&lt;&gt;"Completed",AR99&lt;&gt;"N/A"),AP99,"")</f>
        <v/>
      </c>
      <c r="BY99" s="85" t="str">
        <f>IF(AND(ISNUMBER(AU99),AW99&lt;&gt;"Completed",AW99&lt;&gt;"N/A"),AU99,"")</f>
        <v/>
      </c>
      <c r="BZ99" s="85" t="str">
        <f>IF(AND(ISNUMBER(AX99),AZ99&lt;&gt;"Completed",AZ99&lt;&gt;"N/A"),AX99,"")</f>
        <v/>
      </c>
      <c r="CA99" s="85" t="str">
        <f>IF(AND(ISNUMBER(BA99),BC99&lt;&gt;"Completed",BC99&lt;&gt;"N/A"),BA99,"")</f>
        <v/>
      </c>
      <c r="CB99" s="85" t="str">
        <f>IF(AND(ISNUMBER(BD99),BF99&lt;&gt;"Completed",BF99&lt;&gt;"N/A"),BD99,"")</f>
        <v/>
      </c>
      <c r="CC99" s="85" t="str">
        <f>IF(AND(ISNUMBER(O99),P99&lt;&gt;"Completed",P99&lt;&gt;"N/A"),O99,"")</f>
        <v/>
      </c>
      <c r="CD99" s="85" t="str">
        <f>IF(AND(ISNUMBER(BM99),BN99&lt;&gt;"Completed",BN99&lt;&gt;"N/A"),BM99,"")</f>
        <v/>
      </c>
      <c r="CE99" s="85" t="str">
        <f>IF(AND(ISNUMBER(BK99),BL99&lt;&gt;"Completed",BL99&lt;&gt;"N/A"),BK99,"")</f>
        <v/>
      </c>
      <c r="CF99" s="85" t="str">
        <f>IF(AND(ISNUMBER(BI99),BJ99&lt;&gt;"Completed",BJ99&lt;&gt;"N/A"),BI99,"")</f>
        <v/>
      </c>
      <c r="CG99" s="85" t="str">
        <f ca="1">IF(OR(A99="",D99="Completed"),"",IF(N(G99)&gt;0,1/(N(G99)+ROW()/100000),IF(ISNUMBER(F99),1000+F99+ROW()/100000,TODAY()+400+ROW()/100000)))</f>
        <v/>
      </c>
    </row>
    <row r="100" spans="1:85">
      <c r="A100" s="17"/>
      <c r="B100" s="17"/>
      <c r="C100" s="17"/>
      <c r="D100" s="18" t="str">
        <f>IF(A100="","",IF(((S100="Blocked")+(V100="Blocked")+(Y100="Blocked")+(AC100="Blocked")+(AI100="Blocked")+(AL100="Blocked")+(AO100="Blocked")+(AR100="Blocked")+(AW100="Blocked")+(AZ100="Blocked")+(BC100="Blocked")+(BF100="Blocked")+(P100="Blocked")+(BJ100="Blocked")+(BL100="Blocked")+(BN100="Blocked")+(BO100="Blocked"))&gt;0,"Blocked",IF((ISNUMBER(Q100)+ISNUMBER(T100)+ISNUMBER(W100)+ISNUMBER(AA100)+ISNUMBER(AG100)+ISNUMBER(AJ100)+ISNUMBER(AM100)+ISNUMBER(AP100)+ISNUMBER(AU100)+ISNUMBER(AX100)+ISNUMBER(BA100)+ISNUMBER(BD100)+ISNUMBER(O100)+ISNUMBER(BI100)+ISNUMBER(BK100)+ISNUMBER(BM100))=0,"Yet to start",IF(AND(OR(NOT(ISNUMBER(Q100)),S100="Completed",S100="N/A"),OR(NOT(ISNUMBER(T100)),V100="Completed",V100="N/A"),OR(NOT(ISNUMBER(W100)),Y100="Completed",Y100="N/A"),OR(NOT(ISNUMBER(AA100)),AC100="Completed",AC100="N/A"),OR(NOT(ISNUMBER(AG100)),AI100="Completed",AI100="N/A"),OR(NOT(ISNUMBER(AJ100)),AL100="Completed",AL100="N/A"),OR(NOT(ISNUMBER(AM100)),AO100="Completed",AO100="N/A"),OR(NOT(ISNUMBER(AP100)),AR100="Completed",AR100="N/A"),OR(NOT(ISNUMBER(AU100)),AW100="Completed",AW100="N/A"),OR(NOT(ISNUMBER(AX100)),AZ100="Completed",AZ100="N/A"),OR(NOT(ISNUMBER(BA100)),BC100="Completed",BC100="N/A"),OR(NOT(ISNUMBER(BD100)),BF100="Completed",BF100="N/A"),OR(NOT(ISNUMBER(O100)),P100="Completed",P100="N/A"),OR(NOT(ISNUMBER(BI100)),BJ100="Completed",BJ100="N/A"),OR(NOT(ISNUMBER(BK100)),BL100="Completed",BL100="N/A"),OR(NOT(ISNUMBER(BM100)),BN100="Completed",BN100="N/A"),OR(BO100="Completed",BO100="N/A")),"Completed",IF(((S100="In Progress")+(V100="In Progress")+(Y100="In Progress")+(AC100="In Progress")+(AI100="In Progress")+(AL100="In Progress")+(AO100="In Progress")+(AR100="In Progress")+(AW100="In Progress")+(AZ100="In Progress")+(BC100="In Progress")+(BF100="In Progress")+(P100="In Progress")+(BJ100="In Progress")+(BL100="In Progress")+(BN100="In Progress")+(BO100="In Progress"))&gt;0,"In Progress","Yet to start")))))</f>
        <v/>
      </c>
      <c r="E100" s="18" t="str">
        <f>IF(A100="","",IF(F100="","All complete",INDEX({"Dev R-Task","Dev OUR","Dev Service Request","Dev File R-Task","QA R-Task","QA OUR","QA Service Request","QA File R-Task","Prod R-Task","Prod OUR","Prod Service Request","Prod File R-Task","Sprint Readiness","Code Review Invite","Code Review","CAB"},MATCH(F100,BQ100:CF100,0))))</f>
        <v/>
      </c>
      <c r="F100" s="19" t="str">
        <f>IF(A100="","",IF(COUNT(BQ100:CF100)=0,"",MIN(BQ100:CF100)))</f>
        <v/>
      </c>
      <c r="G100" s="18" t="str">
        <f ca="1">IF(A100="","",MAX(0,IF(AND(ISNUMBER(Q100),S100&lt;&gt;"Completed",S100&lt;&gt;"N/A",Q100&lt;TODAY()),TODAY()-Q100,0),IF(AND(ISNUMBER(T100),V100&lt;&gt;"Completed",V100&lt;&gt;"N/A",T100&lt;TODAY()),TODAY()-T100,0),IF(AND(ISNUMBER(W100),Y100&lt;&gt;"Completed",Y100&lt;&gt;"N/A",W100&lt;TODAY()),TODAY()-W100,0),IF(AND(ISNUMBER(AA100),AC100&lt;&gt;"Completed",AC100&lt;&gt;"N/A",AA100&lt;TODAY()),TODAY()-AA100,0),IF(AND(ISNUMBER(AG100),AI100&lt;&gt;"Completed",AI100&lt;&gt;"N/A",AG100&lt;TODAY()),TODAY()-AG100,0),IF(AND(ISNUMBER(AJ100),AL100&lt;&gt;"Completed",AL100&lt;&gt;"N/A",AJ100&lt;TODAY()),TODAY()-AJ100,0),IF(AND(ISNUMBER(AM100),AO100&lt;&gt;"Completed",AO100&lt;&gt;"N/A",AM100&lt;TODAY()),TODAY()-AM100,0),IF(AND(ISNUMBER(AP100),AR100&lt;&gt;"Completed",AR100&lt;&gt;"N/A",AP100&lt;TODAY()),TODAY()-AP100,0),IF(AND(ISNUMBER(AU100),AW100&lt;&gt;"Completed",AW100&lt;&gt;"N/A",AU100&lt;TODAY()),TODAY()-AU100,0),IF(AND(ISNUMBER(AX100),AZ100&lt;&gt;"Completed",AZ100&lt;&gt;"N/A",AX100&lt;TODAY()),TODAY()-AX100,0),IF(AND(ISNUMBER(BA100),BC100&lt;&gt;"Completed",BC100&lt;&gt;"N/A",BA100&lt;TODAY()),TODAY()-BA100,0),IF(AND(ISNUMBER(BD100),BF100&lt;&gt;"Completed",BF100&lt;&gt;"N/A",BD100&lt;TODAY()),TODAY()-BD100,0),IF(AND(ISNUMBER(O100),P100&lt;&gt;"Completed",P100&lt;&gt;"N/A",O100&lt;TODAY()),TODAY()-O100,0),IF(AND(ISNUMBER(BM100),BN100&lt;&gt;"Completed",BN100&lt;&gt;"N/A",BM100&lt;TODAY()),TODAY()-BM100,0),IF(AND(ISNUMBER(BK100),BL100&lt;&gt;"Completed",BL100&lt;&gt;"N/A",BK100&lt;TODAY()),TODAY()-BK100,0),IF(AND(ISNUMBER(BI100),BJ100&lt;&gt;"Completed",BJ100&lt;&gt;"N/A",BI100&lt;TODAY()),TODAY()-BI100,0)))</f>
        <v/>
      </c>
      <c r="H100" s="17"/>
      <c r="I100" s="17"/>
      <c r="J100" s="17"/>
      <c r="K100" s="19" t="str">
        <f>IF(ISNUMBER(H100),H100,IF(ISNUMBER(M100),M100-WEEKDAY(M100,2)+1-7,""))</f>
        <v/>
      </c>
      <c r="L100" s="19" t="str">
        <f>IF(ISNUMBER(I100),I100,IF(ISNUMBER(H100),WORKDAY(H100,SprintWorkingDays-1),IF(ISNUMBER(K100),WORKDAY(K100,SprintWorkingDays-1),"")))</f>
        <v/>
      </c>
      <c r="M100" s="19" t="str">
        <f>IF(ISNUMBER(J100),J100,IF(ISNUMBER(I100),I100-IF(OR(WEEKDAY(I100,2)=2,WEEKDAY(I100,2)=4),0,IF(WEEKDAY(I100,2)=3,1,IF(WEEKDAY(I100,2)=1,4,WEEKDAY(I100,2)-4))),IF(ISNUMBER(H100),WORKDAY(H100,SprintWorkingDays-1)-IF(OR(WEEKDAY(WORKDAY(H100,SprintWorkingDays-1),2)=2,WEEKDAY(WORKDAY(H100,SprintWorkingDays-1),2)=4),0,IF(WEEKDAY(WORKDAY(H100,SprintWorkingDays-1),2)=3,1,IF(WEEKDAY(WORKDAY(H100,SprintWorkingDays-1),2)=1,4,WEEKDAY(WORKDAY(H100,SprintWorkingDays-1),2)-4))),"")))</f>
        <v/>
      </c>
      <c r="N100" s="19" t="str">
        <f>IF(NOT(ISNUMBER(K100)),"",WORKDAY(K100,ReadyOffsetWD))</f>
        <v/>
      </c>
      <c r="O100" s="19" t="str">
        <f>IF(NOT(ISNUMBER(K100)),"",WORKDAY(K100,SprintReadinessOffsetWD))</f>
        <v/>
      </c>
      <c r="P100" s="17"/>
      <c r="Q100" s="19" t="str">
        <f>IF(A100="","",IF(V100="N/A",IF(NOT(ISNUMBER(W100)),"",WORKDAY(W100,RTSKOffsetFromOUR_WD)),IF(NOT(ISNUMBER(T100)),"",WORKDAY(T100,RTSKOffsetFromOUR_WD))))</f>
        <v/>
      </c>
      <c r="R100" s="17"/>
      <c r="S100" s="17"/>
      <c r="T100" s="19" t="str">
        <f>IF(OR(A100="",V100="N/A"),"",IF(NOT(ISNUMBER(W100)),"",WORKDAY(W100,OUROffsetFromSR_WD)))</f>
        <v/>
      </c>
      <c r="U100" s="17"/>
      <c r="V100" s="17"/>
      <c r="W100" s="19" t="str">
        <f>IF(OR(A100="",NOT(ISNUMBER(K100))),"",WORKDAY(K100,SROffsetFromStartWD))</f>
        <v/>
      </c>
      <c r="X100" s="17"/>
      <c r="Y100" s="17"/>
      <c r="Z100" s="17"/>
      <c r="AA100" s="19" t="str">
        <f>IF(OR(Z100="",Z100="N/A"),"",IF(ISNUMBER(Q100),Q100,""))</f>
        <v/>
      </c>
      <c r="AB100" s="17"/>
      <c r="AC100" s="17"/>
      <c r="AD100" s="17"/>
      <c r="AE100" s="17"/>
      <c r="AF100" s="17" t="str">
        <f>IF(Z100="N/A","N/A","")</f>
        <v/>
      </c>
      <c r="AG100" s="19" t="str">
        <f>IF(NOT(ISNUMBER(Q100)),"",Q100)</f>
        <v/>
      </c>
      <c r="AH100" s="17"/>
      <c r="AI100" s="17"/>
      <c r="AJ100" s="19" t="str">
        <f>IF(OR(AL100="N/A",NOT(ISNUMBER(T100))),"",T100)</f>
        <v/>
      </c>
      <c r="AK100" s="17"/>
      <c r="AL100" s="17"/>
      <c r="AM100" s="19" t="str">
        <f>IF(NOT(ISNUMBER(W100)),"",W100)</f>
        <v/>
      </c>
      <c r="AN100" s="17"/>
      <c r="AO100" s="17"/>
      <c r="AP100" s="19" t="str">
        <f>IF(OR(Z100="",Z100="N/A"),"",IF(ISNUMBER(AG100),AG100,""))</f>
        <v/>
      </c>
      <c r="AQ100" s="17"/>
      <c r="AR100" s="17"/>
      <c r="AS100" s="17"/>
      <c r="AT100" s="17"/>
      <c r="AU100" s="19" t="str">
        <f>IF(NOT(ISNUMBER(Q100)),"",Q100)</f>
        <v/>
      </c>
      <c r="AV100" s="17"/>
      <c r="AW100" s="17"/>
      <c r="AX100" s="19" t="str">
        <f>IF(OR(AZ100="N/A",NOT(ISNUMBER(T100))),"",T100)</f>
        <v/>
      </c>
      <c r="AY100" s="17"/>
      <c r="AZ100" s="17"/>
      <c r="BA100" s="19" t="str">
        <f>IF(NOT(ISNUMBER(W100)),"",W100)</f>
        <v/>
      </c>
      <c r="BB100" s="17"/>
      <c r="BC100" s="17"/>
      <c r="BD100" s="19" t="str">
        <f>IF(OR(Z100="",Z100="N/A"),"",IF(ISNUMBER(AU100),AU100,""))</f>
        <v/>
      </c>
      <c r="BE100" s="17"/>
      <c r="BF100" s="17"/>
      <c r="BG100" s="17"/>
      <c r="BH100" s="17"/>
      <c r="BI100" s="89" t="e">
        <f>IF(OR(A100="",NOT(ISNUMBER(M100)),AND(WEEKDAY(M100,2)&lt;&gt;2,WEEKDAY(M100,2)&lt;&gt;4)),"",WORKDAY(M100,CABOffsetFromReleaseWD))</f>
        <v>#VALUE!</v>
      </c>
      <c r="BJ100" s="17"/>
      <c r="BK100" s="19" t="str">
        <f>IF(NOT(ISNUMBER(BI100)),"",IF(WEEKDAY(BI100-CodeReviewCalendarDays,2)&gt;5,BI100-CodeReviewCalendarDays-(WEEKDAY(BI100-CodeReviewCalendarDays,2)-5),BI100-CodeReviewCalendarDays))</f>
        <v/>
      </c>
      <c r="BL100" s="17"/>
      <c r="BM100" s="19" t="str">
        <f>IF(NOT(ISNUMBER(BK100)),"",IF(WEEKDAY(BK100-CodeReviewInviteCalendarDays,2)&gt;5,BK100-CodeReviewInviteCalendarDays-(WEEKDAY(BK100-CodeReviewInviteCalendarDays,2)-5),BK100-CodeReviewInviteCalendarDays))</f>
        <v/>
      </c>
      <c r="BN100" s="17"/>
      <c r="BO100" s="17"/>
      <c r="BP100" s="18" t="str">
        <f ca="1">IF(A100="","",IF(IF(AND(ISNUMBER(J100),WEEKDAY(J100,2)&lt;&gt;2,WEEKDAY(J100,2)&lt;&gt;4)," | Release must be Tuesday or Thursday","")&amp;IF(AND(ISNUMBER(H100),WEEKDAY(H100,2)&lt;&gt;1)," | Sprint Start is not a Monday - dates still calculated from the date entered","")&amp;IF(AND(A100&lt;&gt;"",NOT(ISNUMBER(H100)),NOT(ISNUMBER(J100)))," | Enter Sprint Start or Release Date","")&amp;IF(AND(ISNUMBER(F100),F100&lt;TODAY(),D100&lt;&gt;"Completed")," | One or more raise-by dates are in the past and not completed","")&amp;IF(AND(ISNUMBER(K100),K100-TODAY()&lt;SprintWarningDays,K100&gt;=TODAY(),OR(D100="Yet to start",D100="Blocked"))," | Sprint starts in under 10 days - raise access requests now","")&amp;IF(AND(ISNUMBER(BM100),BN100&lt;&gt;"Completed",BN100&lt;&gt;"N/A",BM100-TODAY()&lt;CodeReviewInviteCalendarDays)," | Code Review invite should be sent at least 4 days before Code Review","")="","",MID(IF(AND(ISNUMBER(J100),WEEKDAY(J100,2)&lt;&gt;2,WEEKDAY(J100,2)&lt;&gt;4)," | Release must be Tuesday or Thursday","")&amp;IF(AND(ISNUMBER(H100),WEEKDAY(H100,2)&lt;&gt;1)," | Sprint Start is not a Monday - dates still calculated from the date entered","")&amp;IF(AND(A100&lt;&gt;"",NOT(ISNUMBER(H100)),NOT(ISNUMBER(J100)))," | Enter Sprint Start or Release Date","")&amp;IF(AND(ISNUMBER(F100),F100&lt;TODAY(),D100&lt;&gt;"Completed")," | One or more raise-by dates are in the past and not completed","")&amp;IF(AND(ISNUMBER(K100),K100-TODAY()&lt;SprintWarningDays,K100&gt;=TODAY(),OR(D100="Yet to start",D100="Blocked"))," | Sprint starts in under 10 days - raise access requests now","")&amp;IF(AND(ISNUMBER(BM100),BN100&lt;&gt;"Completed",BN100&lt;&gt;"N/A",BM100-TODAY()&lt;CodeReviewInviteCalendarDays)," | Code Review invite should be sent at least 4 days before Code Review",""),4,500)))</f>
        <v/>
      </c>
      <c r="BQ100" s="85" t="str">
        <f>IF(AND(ISNUMBER(Q100),S100&lt;&gt;"Completed",S100&lt;&gt;"N/A"),Q100,"")</f>
        <v/>
      </c>
      <c r="BR100" s="85" t="str">
        <f>IF(AND(ISNUMBER(T100),V100&lt;&gt;"Completed",V100&lt;&gt;"N/A"),T100,"")</f>
        <v/>
      </c>
      <c r="BS100" s="85" t="str">
        <f>IF(AND(ISNUMBER(W100),Y100&lt;&gt;"Completed",Y100&lt;&gt;"N/A"),W100,"")</f>
        <v/>
      </c>
      <c r="BT100" s="85" t="str">
        <f>IF(AND(ISNUMBER(AA100),AC100&lt;&gt;"Completed",AC100&lt;&gt;"N/A"),AA100,"")</f>
        <v/>
      </c>
      <c r="BU100" s="85" t="str">
        <f>IF(AND(ISNUMBER(AG100),AI100&lt;&gt;"Completed",AI100&lt;&gt;"N/A"),AG100,"")</f>
        <v/>
      </c>
      <c r="BV100" s="85" t="str">
        <f>IF(AND(ISNUMBER(AJ100),AL100&lt;&gt;"Completed",AL100&lt;&gt;"N/A"),AJ100,"")</f>
        <v/>
      </c>
      <c r="BW100" s="85" t="str">
        <f>IF(AND(ISNUMBER(AM100),AO100&lt;&gt;"Completed",AO100&lt;&gt;"N/A"),AM100,"")</f>
        <v/>
      </c>
      <c r="BX100" s="85" t="str">
        <f>IF(AND(ISNUMBER(AP100),AR100&lt;&gt;"Completed",AR100&lt;&gt;"N/A"),AP100,"")</f>
        <v/>
      </c>
      <c r="BY100" s="85" t="str">
        <f>IF(AND(ISNUMBER(AU100),AW100&lt;&gt;"Completed",AW100&lt;&gt;"N/A"),AU100,"")</f>
        <v/>
      </c>
      <c r="BZ100" s="85" t="str">
        <f>IF(AND(ISNUMBER(AX100),AZ100&lt;&gt;"Completed",AZ100&lt;&gt;"N/A"),AX100,"")</f>
        <v/>
      </c>
      <c r="CA100" s="85" t="str">
        <f>IF(AND(ISNUMBER(BA100),BC100&lt;&gt;"Completed",BC100&lt;&gt;"N/A"),BA100,"")</f>
        <v/>
      </c>
      <c r="CB100" s="85" t="str">
        <f>IF(AND(ISNUMBER(BD100),BF100&lt;&gt;"Completed",BF100&lt;&gt;"N/A"),BD100,"")</f>
        <v/>
      </c>
      <c r="CC100" s="85" t="str">
        <f>IF(AND(ISNUMBER(O100),P100&lt;&gt;"Completed",P100&lt;&gt;"N/A"),O100,"")</f>
        <v/>
      </c>
      <c r="CD100" s="85" t="str">
        <f>IF(AND(ISNUMBER(BM100),BN100&lt;&gt;"Completed",BN100&lt;&gt;"N/A"),BM100,"")</f>
        <v/>
      </c>
      <c r="CE100" s="85" t="str">
        <f>IF(AND(ISNUMBER(BK100),BL100&lt;&gt;"Completed",BL100&lt;&gt;"N/A"),BK100,"")</f>
        <v/>
      </c>
      <c r="CF100" s="85" t="str">
        <f>IF(AND(ISNUMBER(BI100),BJ100&lt;&gt;"Completed",BJ100&lt;&gt;"N/A"),BI100,"")</f>
        <v/>
      </c>
      <c r="CG100" s="85" t="str">
        <f ca="1">IF(OR(A100="",D100="Completed"),"",IF(N(G100)&gt;0,1/(N(G100)+ROW()/100000),IF(ISNUMBER(F100),1000+F100+ROW()/100000,TODAY()+400+ROW()/100000)))</f>
        <v/>
      </c>
    </row>
  </sheetData>
  <autoFilter ref="A2:BP100" xr:uid="{00000000-0009-0000-0000-000001000000}"/>
  <mergeCells count="11">
    <mergeCell ref="H1:J1"/>
    <mergeCell ref="Q1:Y1"/>
    <mergeCell ref="BI1:BO1"/>
    <mergeCell ref="A1:G1"/>
    <mergeCell ref="AG1:AO1"/>
    <mergeCell ref="AU1:BC1"/>
    <mergeCell ref="N1:P1"/>
    <mergeCell ref="BD1:BH1"/>
    <mergeCell ref="Z1:AF1"/>
    <mergeCell ref="AP1:AT1"/>
    <mergeCell ref="K1:M1"/>
  </mergeCells>
  <conditionalFormatting sqref="P3:P100">
    <cfRule type="expression" dxfId="137" priority="1">
      <formula>AND(P3&lt;&gt;"",OR(P3="Completed",P3="N/A"))</formula>
    </cfRule>
    <cfRule type="expression" dxfId="136" priority="2">
      <formula>AND(P3&lt;&gt;"",P3="In Progress")</formula>
    </cfRule>
    <cfRule type="expression" dxfId="135" priority="3">
      <formula>AND(P3&lt;&gt;"",P3="Yet to start")</formula>
    </cfRule>
    <cfRule type="expression" dxfId="134" priority="4">
      <formula>AND(P3&lt;&gt;"",P3="Blocked")</formula>
    </cfRule>
  </conditionalFormatting>
  <conditionalFormatting sqref="S3:S100">
    <cfRule type="expression" dxfId="133" priority="5">
      <formula>AND(S3&lt;&gt;"",OR(S3="Completed",S3="N/A"))</formula>
    </cfRule>
    <cfRule type="expression" dxfId="132" priority="6">
      <formula>AND(S3&lt;&gt;"",S3="In Progress")</formula>
    </cfRule>
    <cfRule type="expression" dxfId="131" priority="7">
      <formula>AND(S3&lt;&gt;"",S3="Yet to start")</formula>
    </cfRule>
    <cfRule type="expression" dxfId="130" priority="8">
      <formula>AND(S3&lt;&gt;"",S3="Blocked")</formula>
    </cfRule>
  </conditionalFormatting>
  <conditionalFormatting sqref="V3:V100">
    <cfRule type="expression" dxfId="129" priority="9">
      <formula>AND(V3&lt;&gt;"",OR(V3="Completed",V3="N/A"))</formula>
    </cfRule>
    <cfRule type="expression" dxfId="128" priority="10">
      <formula>AND(V3&lt;&gt;"",V3="In Progress")</formula>
    </cfRule>
    <cfRule type="expression" dxfId="127" priority="11">
      <formula>AND(V3&lt;&gt;"",V3="Yet to start")</formula>
    </cfRule>
    <cfRule type="expression" dxfId="126" priority="12">
      <formula>AND(V3&lt;&gt;"",V3="Blocked")</formula>
    </cfRule>
  </conditionalFormatting>
  <conditionalFormatting sqref="Y3:Y100">
    <cfRule type="expression" dxfId="125" priority="13">
      <formula>AND(Y3&lt;&gt;"",OR(Y3="Completed",Y3="N/A"))</formula>
    </cfRule>
    <cfRule type="expression" dxfId="124" priority="14">
      <formula>AND(Y3&lt;&gt;"",Y3="In Progress")</formula>
    </cfRule>
    <cfRule type="expression" dxfId="123" priority="15">
      <formula>AND(Y3&lt;&gt;"",Y3="Yet to start")</formula>
    </cfRule>
    <cfRule type="expression" dxfId="122" priority="16">
      <formula>AND(Y3&lt;&gt;"",Y3="Blocked")</formula>
    </cfRule>
  </conditionalFormatting>
  <conditionalFormatting sqref="AC3:AC100">
    <cfRule type="expression" dxfId="121" priority="17">
      <formula>AND(AC3&lt;&gt;"",OR(AC3="Completed",AC3="N/A"))</formula>
    </cfRule>
    <cfRule type="expression" dxfId="120" priority="18">
      <formula>AND(AC3&lt;&gt;"",AC3="In Progress")</formula>
    </cfRule>
    <cfRule type="expression" dxfId="119" priority="19">
      <formula>AND(AC3&lt;&gt;"",AC3="Yet to start")</formula>
    </cfRule>
    <cfRule type="expression" dxfId="118" priority="20">
      <formula>AND(AC3&lt;&gt;"",AC3="Blocked")</formula>
    </cfRule>
  </conditionalFormatting>
  <conditionalFormatting sqref="AI3:AI100">
    <cfRule type="expression" dxfId="117" priority="21">
      <formula>AND(AI3&lt;&gt;"",OR(AI3="Completed",AI3="N/A"))</formula>
    </cfRule>
    <cfRule type="expression" dxfId="116" priority="22">
      <formula>AND(AI3&lt;&gt;"",AI3="In Progress")</formula>
    </cfRule>
    <cfRule type="expression" dxfId="115" priority="23">
      <formula>AND(AI3&lt;&gt;"",AI3="Yet to start")</formula>
    </cfRule>
    <cfRule type="expression" dxfId="114" priority="24">
      <formula>AND(AI3&lt;&gt;"",AI3="Blocked")</formula>
    </cfRule>
  </conditionalFormatting>
  <conditionalFormatting sqref="AL3:AL100">
    <cfRule type="expression" dxfId="113" priority="25">
      <formula>AND(AL3&lt;&gt;"",OR(AL3="Completed",AL3="N/A"))</formula>
    </cfRule>
    <cfRule type="expression" dxfId="112" priority="26">
      <formula>AND(AL3&lt;&gt;"",AL3="In Progress")</formula>
    </cfRule>
    <cfRule type="expression" dxfId="111" priority="27">
      <formula>AND(AL3&lt;&gt;"",AL3="Yet to start")</formula>
    </cfRule>
    <cfRule type="expression" dxfId="110" priority="28">
      <formula>AND(AL3&lt;&gt;"",AL3="Blocked")</formula>
    </cfRule>
  </conditionalFormatting>
  <conditionalFormatting sqref="AO3:AO100">
    <cfRule type="expression" dxfId="109" priority="29">
      <formula>AND(AO3&lt;&gt;"",OR(AO3="Completed",AO3="N/A"))</formula>
    </cfRule>
    <cfRule type="expression" dxfId="108" priority="30">
      <formula>AND(AO3&lt;&gt;"",AO3="In Progress")</formula>
    </cfRule>
    <cfRule type="expression" dxfId="107" priority="31">
      <formula>AND(AO3&lt;&gt;"",AO3="Yet to start")</formula>
    </cfRule>
    <cfRule type="expression" dxfId="106" priority="32">
      <formula>AND(AO3&lt;&gt;"",AO3="Blocked")</formula>
    </cfRule>
  </conditionalFormatting>
  <conditionalFormatting sqref="AR3:AR100">
    <cfRule type="expression" dxfId="105" priority="33">
      <formula>AND(AR3&lt;&gt;"",OR(AR3="Completed",AR3="N/A"))</formula>
    </cfRule>
    <cfRule type="expression" dxfId="104" priority="34">
      <formula>AND(AR3&lt;&gt;"",AR3="In Progress")</formula>
    </cfRule>
    <cfRule type="expression" dxfId="103" priority="35">
      <formula>AND(AR3&lt;&gt;"",AR3="Yet to start")</formula>
    </cfRule>
    <cfRule type="expression" dxfId="102" priority="36">
      <formula>AND(AR3&lt;&gt;"",AR3="Blocked")</formula>
    </cfRule>
  </conditionalFormatting>
  <conditionalFormatting sqref="AW3:AW100">
    <cfRule type="expression" dxfId="101" priority="37">
      <formula>AND(AW3&lt;&gt;"",OR(AW3="Completed",AW3="N/A"))</formula>
    </cfRule>
    <cfRule type="expression" dxfId="100" priority="38">
      <formula>AND(AW3&lt;&gt;"",AW3="In Progress")</formula>
    </cfRule>
    <cfRule type="expression" dxfId="99" priority="39">
      <formula>AND(AW3&lt;&gt;"",AW3="Yet to start")</formula>
    </cfRule>
    <cfRule type="expression" dxfId="98" priority="40">
      <formula>AND(AW3&lt;&gt;"",AW3="Blocked")</formula>
    </cfRule>
  </conditionalFormatting>
  <conditionalFormatting sqref="AZ3:AZ100">
    <cfRule type="expression" dxfId="97" priority="41">
      <formula>AND(AZ3&lt;&gt;"",OR(AZ3="Completed",AZ3="N/A"))</formula>
    </cfRule>
    <cfRule type="expression" dxfId="96" priority="42">
      <formula>AND(AZ3&lt;&gt;"",AZ3="In Progress")</formula>
    </cfRule>
    <cfRule type="expression" dxfId="95" priority="43">
      <formula>AND(AZ3&lt;&gt;"",AZ3="Yet to start")</formula>
    </cfRule>
    <cfRule type="expression" dxfId="94" priority="44">
      <formula>AND(AZ3&lt;&gt;"",AZ3="Blocked")</formula>
    </cfRule>
  </conditionalFormatting>
  <conditionalFormatting sqref="BC3:BC100">
    <cfRule type="expression" dxfId="93" priority="45">
      <formula>AND(BC3&lt;&gt;"",OR(BC3="Completed",BC3="N/A"))</formula>
    </cfRule>
    <cfRule type="expression" dxfId="92" priority="46">
      <formula>AND(BC3&lt;&gt;"",BC3="In Progress")</formula>
    </cfRule>
    <cfRule type="expression" dxfId="91" priority="47">
      <formula>AND(BC3&lt;&gt;"",BC3="Yet to start")</formula>
    </cfRule>
    <cfRule type="expression" dxfId="90" priority="48">
      <formula>AND(BC3&lt;&gt;"",BC3="Blocked")</formula>
    </cfRule>
  </conditionalFormatting>
  <conditionalFormatting sqref="BF3:BF100">
    <cfRule type="expression" dxfId="89" priority="49">
      <formula>AND(BF3&lt;&gt;"",OR(BF3="Completed",BF3="N/A"))</formula>
    </cfRule>
    <cfRule type="expression" dxfId="88" priority="50">
      <formula>AND(BF3&lt;&gt;"",BF3="In Progress")</formula>
    </cfRule>
    <cfRule type="expression" dxfId="87" priority="51">
      <formula>AND(BF3&lt;&gt;"",BF3="Yet to start")</formula>
    </cfRule>
    <cfRule type="expression" dxfId="86" priority="52">
      <formula>AND(BF3&lt;&gt;"",BF3="Blocked")</formula>
    </cfRule>
  </conditionalFormatting>
  <conditionalFormatting sqref="BJ3:BJ100">
    <cfRule type="expression" dxfId="85" priority="53">
      <formula>AND(BJ3&lt;&gt;"",OR(BJ3="Completed",BJ3="N/A"))</formula>
    </cfRule>
    <cfRule type="expression" dxfId="84" priority="54">
      <formula>AND(BJ3&lt;&gt;"",BJ3="In Progress")</formula>
    </cfRule>
    <cfRule type="expression" dxfId="83" priority="55">
      <formula>AND(BJ3&lt;&gt;"",BJ3="Yet to start")</formula>
    </cfRule>
    <cfRule type="expression" dxfId="82" priority="56">
      <formula>AND(BJ3&lt;&gt;"",BJ3="Blocked")</formula>
    </cfRule>
  </conditionalFormatting>
  <conditionalFormatting sqref="BL3:BL100">
    <cfRule type="expression" dxfId="81" priority="57">
      <formula>AND(BL3&lt;&gt;"",OR(BL3="Completed",BL3="N/A"))</formula>
    </cfRule>
    <cfRule type="expression" dxfId="80" priority="58">
      <formula>AND(BL3&lt;&gt;"",BL3="In Progress")</formula>
    </cfRule>
    <cfRule type="expression" dxfId="79" priority="59">
      <formula>AND(BL3&lt;&gt;"",BL3="Yet to start")</formula>
    </cfRule>
    <cfRule type="expression" dxfId="78" priority="60">
      <formula>AND(BL3&lt;&gt;"",BL3="Blocked")</formula>
    </cfRule>
  </conditionalFormatting>
  <conditionalFormatting sqref="BN3:BN100">
    <cfRule type="expression" dxfId="77" priority="61">
      <formula>AND(BN3&lt;&gt;"",OR(BN3="Completed",BN3="N/A"))</formula>
    </cfRule>
    <cfRule type="expression" dxfId="76" priority="62">
      <formula>AND(BN3&lt;&gt;"",BN3="In Progress")</formula>
    </cfRule>
    <cfRule type="expression" dxfId="75" priority="63">
      <formula>AND(BN3&lt;&gt;"",BN3="Yet to start")</formula>
    </cfRule>
    <cfRule type="expression" dxfId="74" priority="64">
      <formula>AND(BN3&lt;&gt;"",BN3="Blocked")</formula>
    </cfRule>
  </conditionalFormatting>
  <conditionalFormatting sqref="BO3:BO100">
    <cfRule type="expression" dxfId="73" priority="65">
      <formula>AND(BO3&lt;&gt;"",OR(BO3="Completed",BO3="N/A"))</formula>
    </cfRule>
    <cfRule type="expression" dxfId="72" priority="66">
      <formula>AND(BO3&lt;&gt;"",BO3="In Progress")</formula>
    </cfRule>
    <cfRule type="expression" dxfId="71" priority="67">
      <formula>AND(BO3&lt;&gt;"",BO3="Yet to start")</formula>
    </cfRule>
    <cfRule type="expression" dxfId="70" priority="68">
      <formula>AND(BO3&lt;&gt;"",BO3="Blocked")</formula>
    </cfRule>
  </conditionalFormatting>
  <conditionalFormatting sqref="D3:D100">
    <cfRule type="expression" dxfId="69" priority="69">
      <formula>AND(D3&lt;&gt;"",OR(D3="Completed",D3="N/A"))</formula>
    </cfRule>
    <cfRule type="expression" dxfId="68" priority="70">
      <formula>AND(D3&lt;&gt;"",D3="In Progress")</formula>
    </cfRule>
    <cfRule type="expression" dxfId="67" priority="71">
      <formula>AND(D3&lt;&gt;"",D3="Yet to start")</formula>
    </cfRule>
    <cfRule type="expression" dxfId="66" priority="72">
      <formula>AND(D3&lt;&gt;"",D3="Blocked")</formula>
    </cfRule>
  </conditionalFormatting>
  <conditionalFormatting sqref="Q3:Q100">
    <cfRule type="expression" dxfId="65" priority="73">
      <formula>AND(ISNUMBER(Q3),OR(S3="Completed",S3="N/A"))</formula>
    </cfRule>
    <cfRule type="expression" dxfId="64" priority="74">
      <formula>AND(ISNUMBER(Q3),Q3&lt;TODAY(),S3&lt;&gt;"Completed",S3&lt;&gt;"N/A")</formula>
    </cfRule>
    <cfRule type="expression" dxfId="63" priority="75">
      <formula>AND(ISNUMBER(Q3),Q3=TODAY(),S3&lt;&gt;"Completed",S3&lt;&gt;"N/A")</formula>
    </cfRule>
    <cfRule type="expression" dxfId="62" priority="76">
      <formula>AND(ISNUMBER(Q3),ISNUMBER($K3),$K3-TODAY()&lt;SprintWarningDays,$K3&gt;=TODAY(),OR(S3="",S3="Yet to start",S3="Blocked"))</formula>
    </cfRule>
  </conditionalFormatting>
  <conditionalFormatting sqref="T3:T100">
    <cfRule type="expression" dxfId="61" priority="77">
      <formula>AND(ISNUMBER(T3),OR(V3="Completed",V3="N/A"))</formula>
    </cfRule>
    <cfRule type="expression" dxfId="60" priority="78">
      <formula>AND(ISNUMBER(T3),T3&lt;TODAY(),V3&lt;&gt;"Completed",V3&lt;&gt;"N/A")</formula>
    </cfRule>
    <cfRule type="expression" dxfId="59" priority="79">
      <formula>AND(ISNUMBER(T3),T3=TODAY(),V3&lt;&gt;"Completed",V3&lt;&gt;"N/A")</formula>
    </cfRule>
    <cfRule type="expression" dxfId="58" priority="80">
      <formula>AND(ISNUMBER(T3),ISNUMBER($K3),$K3-TODAY()&lt;SprintWarningDays,$K3&gt;=TODAY(),OR(V3="",V3="Yet to start",V3="Blocked"))</formula>
    </cfRule>
  </conditionalFormatting>
  <conditionalFormatting sqref="W3:W100">
    <cfRule type="expression" dxfId="57" priority="81">
      <formula>AND(ISNUMBER(W3),OR(Y3="Completed",Y3="N/A"))</formula>
    </cfRule>
    <cfRule type="expression" dxfId="56" priority="82">
      <formula>AND(ISNUMBER(W3),W3&lt;TODAY(),Y3&lt;&gt;"Completed",Y3&lt;&gt;"N/A")</formula>
    </cfRule>
    <cfRule type="expression" dxfId="55" priority="83">
      <formula>AND(ISNUMBER(W3),W3=TODAY(),Y3&lt;&gt;"Completed",Y3&lt;&gt;"N/A")</formula>
    </cfRule>
    <cfRule type="expression" dxfId="54" priority="84">
      <formula>AND(ISNUMBER(W3),ISNUMBER($K3),$K3-TODAY()&lt;SprintWarningDays,$K3&gt;=TODAY(),OR(Y3="",Y3="Yet to start",Y3="Blocked"))</formula>
    </cfRule>
  </conditionalFormatting>
  <conditionalFormatting sqref="AA3:AA100">
    <cfRule type="expression" dxfId="53" priority="85">
      <formula>AND(ISNUMBER(AA3),OR(AC3="Completed",AC3="N/A"))</formula>
    </cfRule>
    <cfRule type="expression" dxfId="52" priority="86">
      <formula>AND(ISNUMBER(AA3),AA3&lt;TODAY(),AC3&lt;&gt;"Completed",AC3&lt;&gt;"N/A")</formula>
    </cfRule>
    <cfRule type="expression" dxfId="51" priority="87">
      <formula>AND(ISNUMBER(AA3),AA3=TODAY(),AC3&lt;&gt;"Completed",AC3&lt;&gt;"N/A")</formula>
    </cfRule>
    <cfRule type="expression" dxfId="50" priority="88">
      <formula>AND(ISNUMBER(AA3),ISNUMBER($K3),$K3-TODAY()&lt;SprintWarningDays,$K3&gt;=TODAY(),OR(AC3="",AC3="Yet to start",AC3="Blocked"))</formula>
    </cfRule>
  </conditionalFormatting>
  <conditionalFormatting sqref="AG3:AG100">
    <cfRule type="expression" dxfId="49" priority="89">
      <formula>AND(ISNUMBER(AG3),OR(AI3="Completed",AI3="N/A"))</formula>
    </cfRule>
    <cfRule type="expression" dxfId="48" priority="90">
      <formula>AND(ISNUMBER(AG3),AG3&lt;TODAY(),AI3&lt;&gt;"Completed",AI3&lt;&gt;"N/A")</formula>
    </cfRule>
    <cfRule type="expression" dxfId="47" priority="91">
      <formula>AND(ISNUMBER(AG3),AG3=TODAY(),AI3&lt;&gt;"Completed",AI3&lt;&gt;"N/A")</formula>
    </cfRule>
    <cfRule type="expression" dxfId="46" priority="92">
      <formula>AND(ISNUMBER(AG3),ISNUMBER($K3),$K3-TODAY()&lt;SprintWarningDays,$K3&gt;=TODAY(),OR(AI3="",AI3="Yet to start",AI3="Blocked"))</formula>
    </cfRule>
  </conditionalFormatting>
  <conditionalFormatting sqref="AJ3:AJ100">
    <cfRule type="expression" dxfId="45" priority="93">
      <formula>AND(ISNUMBER(AJ3),OR(AL3="Completed",AL3="N/A"))</formula>
    </cfRule>
    <cfRule type="expression" dxfId="44" priority="94">
      <formula>AND(ISNUMBER(AJ3),AJ3&lt;TODAY(),AL3&lt;&gt;"Completed",AL3&lt;&gt;"N/A")</formula>
    </cfRule>
    <cfRule type="expression" dxfId="43" priority="95">
      <formula>AND(ISNUMBER(AJ3),AJ3=TODAY(),AL3&lt;&gt;"Completed",AL3&lt;&gt;"N/A")</formula>
    </cfRule>
    <cfRule type="expression" dxfId="42" priority="96">
      <formula>AND(ISNUMBER(AJ3),ISNUMBER($K3),$K3-TODAY()&lt;SprintWarningDays,$K3&gt;=TODAY(),OR(AL3="",AL3="Yet to start",AL3="Blocked"))</formula>
    </cfRule>
  </conditionalFormatting>
  <conditionalFormatting sqref="AM3:AM100">
    <cfRule type="expression" dxfId="41" priority="97">
      <formula>AND(ISNUMBER(AM3),OR(AO3="Completed",AO3="N/A"))</formula>
    </cfRule>
    <cfRule type="expression" dxfId="40" priority="98">
      <formula>AND(ISNUMBER(AM3),AM3&lt;TODAY(),AO3&lt;&gt;"Completed",AO3&lt;&gt;"N/A")</formula>
    </cfRule>
    <cfRule type="expression" dxfId="39" priority="99">
      <formula>AND(ISNUMBER(AM3),AM3=TODAY(),AO3&lt;&gt;"Completed",AO3&lt;&gt;"N/A")</formula>
    </cfRule>
    <cfRule type="expression" dxfId="38" priority="100">
      <formula>AND(ISNUMBER(AM3),ISNUMBER($K3),$K3-TODAY()&lt;SprintWarningDays,$K3&gt;=TODAY(),OR(AO3="",AO3="Yet to start",AO3="Blocked"))</formula>
    </cfRule>
  </conditionalFormatting>
  <conditionalFormatting sqref="AP3:AP100">
    <cfRule type="expression" dxfId="37" priority="101">
      <formula>AND(ISNUMBER(AP3),OR(AR3="Completed",AR3="N/A"))</formula>
    </cfRule>
    <cfRule type="expression" dxfId="36" priority="102">
      <formula>AND(ISNUMBER(AP3),AP3&lt;TODAY(),AR3&lt;&gt;"Completed",AR3&lt;&gt;"N/A")</formula>
    </cfRule>
    <cfRule type="expression" dxfId="35" priority="103">
      <formula>AND(ISNUMBER(AP3),AP3=TODAY(),AR3&lt;&gt;"Completed",AR3&lt;&gt;"N/A")</formula>
    </cfRule>
    <cfRule type="expression" dxfId="34" priority="104">
      <formula>AND(ISNUMBER(AP3),ISNUMBER($K3),$K3-TODAY()&lt;SprintWarningDays,$K3&gt;=TODAY(),OR(AR3="",AR3="Yet to start",AR3="Blocked"))</formula>
    </cfRule>
  </conditionalFormatting>
  <conditionalFormatting sqref="AU3:AU100">
    <cfRule type="expression" dxfId="33" priority="105">
      <formula>AND(ISNUMBER(AU3),OR(AW3="Completed",AW3="N/A"))</formula>
    </cfRule>
    <cfRule type="expression" dxfId="32" priority="106">
      <formula>AND(ISNUMBER(AU3),AU3&lt;TODAY(),AW3&lt;&gt;"Completed",AW3&lt;&gt;"N/A")</formula>
    </cfRule>
    <cfRule type="expression" dxfId="31" priority="107">
      <formula>AND(ISNUMBER(AU3),AU3=TODAY(),AW3&lt;&gt;"Completed",AW3&lt;&gt;"N/A")</formula>
    </cfRule>
    <cfRule type="expression" dxfId="30" priority="108">
      <formula>AND(ISNUMBER(AU3),ISNUMBER($K3),$K3-TODAY()&lt;SprintWarningDays,$K3&gt;=TODAY(),OR(AW3="",AW3="Yet to start",AW3="Blocked"))</formula>
    </cfRule>
  </conditionalFormatting>
  <conditionalFormatting sqref="AX3:AX100">
    <cfRule type="expression" dxfId="29" priority="109">
      <formula>AND(ISNUMBER(AX3),OR(AZ3="Completed",AZ3="N/A"))</formula>
    </cfRule>
    <cfRule type="expression" dxfId="28" priority="110">
      <formula>AND(ISNUMBER(AX3),AX3&lt;TODAY(),AZ3&lt;&gt;"Completed",AZ3&lt;&gt;"N/A")</formula>
    </cfRule>
    <cfRule type="expression" dxfId="27" priority="111">
      <formula>AND(ISNUMBER(AX3),AX3=TODAY(),AZ3&lt;&gt;"Completed",AZ3&lt;&gt;"N/A")</formula>
    </cfRule>
    <cfRule type="expression" dxfId="26" priority="112">
      <formula>AND(ISNUMBER(AX3),ISNUMBER($K3),$K3-TODAY()&lt;SprintWarningDays,$K3&gt;=TODAY(),OR(AZ3="",AZ3="Yet to start",AZ3="Blocked"))</formula>
    </cfRule>
  </conditionalFormatting>
  <conditionalFormatting sqref="BA3:BA100">
    <cfRule type="expression" dxfId="25" priority="113">
      <formula>AND(ISNUMBER(BA3),OR(BC3="Completed",BC3="N/A"))</formula>
    </cfRule>
    <cfRule type="expression" dxfId="24" priority="114">
      <formula>AND(ISNUMBER(BA3),BA3&lt;TODAY(),BC3&lt;&gt;"Completed",BC3&lt;&gt;"N/A")</formula>
    </cfRule>
    <cfRule type="expression" dxfId="23" priority="115">
      <formula>AND(ISNUMBER(BA3),BA3=TODAY(),BC3&lt;&gt;"Completed",BC3&lt;&gt;"N/A")</formula>
    </cfRule>
    <cfRule type="expression" dxfId="22" priority="116">
      <formula>AND(ISNUMBER(BA3),ISNUMBER($K3),$K3-TODAY()&lt;SprintWarningDays,$K3&gt;=TODAY(),OR(BC3="",BC3="Yet to start",BC3="Blocked"))</formula>
    </cfRule>
  </conditionalFormatting>
  <conditionalFormatting sqref="BD3:BD100">
    <cfRule type="expression" dxfId="21" priority="117">
      <formula>AND(ISNUMBER(BD3),OR(BF3="Completed",BF3="N/A"))</formula>
    </cfRule>
    <cfRule type="expression" dxfId="20" priority="118">
      <formula>AND(ISNUMBER(BD3),BD3&lt;TODAY(),BF3&lt;&gt;"Completed",BF3&lt;&gt;"N/A")</formula>
    </cfRule>
    <cfRule type="expression" dxfId="19" priority="119">
      <formula>AND(ISNUMBER(BD3),BD3=TODAY(),BF3&lt;&gt;"Completed",BF3&lt;&gt;"N/A")</formula>
    </cfRule>
    <cfRule type="expression" dxfId="18" priority="120">
      <formula>AND(ISNUMBER(BD3),ISNUMBER($K3),$K3-TODAY()&lt;SprintWarningDays,$K3&gt;=TODAY(),OR(BF3="",BF3="Yet to start",BF3="Blocked"))</formula>
    </cfRule>
  </conditionalFormatting>
  <conditionalFormatting sqref="O3:O100">
    <cfRule type="expression" dxfId="17" priority="121">
      <formula>AND(ISNUMBER(O3),OR(P3="Completed",P3="N/A"))</formula>
    </cfRule>
    <cfRule type="expression" dxfId="16" priority="122">
      <formula>AND(ISNUMBER(O3),O3&lt;TODAY(),P3&lt;&gt;"Completed",P3&lt;&gt;"N/A")</formula>
    </cfRule>
    <cfRule type="expression" dxfId="15" priority="123">
      <formula>AND(ISNUMBER(O3),O3=TODAY(),P3&lt;&gt;"Completed",P3&lt;&gt;"N/A")</formula>
    </cfRule>
    <cfRule type="expression" dxfId="14" priority="124">
      <formula>AND(ISNUMBER(O3),ISNUMBER($K3),$K3-TODAY()&lt;SprintWarningDays,$K3&gt;=TODAY(),OR(P3="",P3="Yet to start",P3="Blocked"))</formula>
    </cfRule>
  </conditionalFormatting>
  <conditionalFormatting sqref="BI3:BI100">
    <cfRule type="expression" dxfId="13" priority="125">
      <formula>AND(ISNUMBER(BI3),OR(BJ3="Completed",BJ3="N/A"))</formula>
    </cfRule>
    <cfRule type="expression" dxfId="12" priority="126">
      <formula>AND(ISNUMBER(BI3),BI3&lt;TODAY(),BJ3&lt;&gt;"Completed",BJ3&lt;&gt;"N/A")</formula>
    </cfRule>
    <cfRule type="expression" dxfId="11" priority="127">
      <formula>AND(ISNUMBER(BI3),BI3=TODAY(),BJ3&lt;&gt;"Completed",BJ3&lt;&gt;"N/A")</formula>
    </cfRule>
    <cfRule type="expression" dxfId="10" priority="128">
      <formula>AND(ISNUMBER(BI3),ISNUMBER($K3),$K3-TODAY()&lt;SprintWarningDays,$K3&gt;=TODAY(),OR(BJ3="",BJ3="Yet to start",BJ3="Blocked"))</formula>
    </cfRule>
  </conditionalFormatting>
  <conditionalFormatting sqref="BK3:BK100">
    <cfRule type="expression" dxfId="9" priority="129">
      <formula>AND(ISNUMBER(BK3),OR(BL3="Completed",BL3="N/A"))</formula>
    </cfRule>
    <cfRule type="expression" dxfId="8" priority="130">
      <formula>AND(ISNUMBER(BK3),BK3&lt;TODAY(),BL3&lt;&gt;"Completed",BL3&lt;&gt;"N/A")</formula>
    </cfRule>
    <cfRule type="expression" dxfId="7" priority="131">
      <formula>AND(ISNUMBER(BK3),BK3=TODAY(),BL3&lt;&gt;"Completed",BL3&lt;&gt;"N/A")</formula>
    </cfRule>
    <cfRule type="expression" dxfId="6" priority="132">
      <formula>AND(ISNUMBER(BK3),ISNUMBER($K3),$K3-TODAY()&lt;SprintWarningDays,$K3&gt;=TODAY(),OR(BL3="",BL3="Yet to start",BL3="Blocked"))</formula>
    </cfRule>
  </conditionalFormatting>
  <conditionalFormatting sqref="BM3:BM100">
    <cfRule type="expression" dxfId="5" priority="133">
      <formula>AND(ISNUMBER(BM3),OR(BN3="Completed",BN3="N/A"))</formula>
    </cfRule>
    <cfRule type="expression" dxfId="4" priority="134">
      <formula>AND(ISNUMBER(BM3),BM3&lt;TODAY(),BN3&lt;&gt;"Completed",BN3&lt;&gt;"N/A")</formula>
    </cfRule>
    <cfRule type="expression" dxfId="3" priority="135">
      <formula>AND(ISNUMBER(BM3),BM3=TODAY(),BN3&lt;&gt;"Completed",BN3&lt;&gt;"N/A")</formula>
    </cfRule>
    <cfRule type="expression" dxfId="2" priority="136">
      <formula>AND(ISNUMBER(BM3),ISNUMBER($K3),$K3-TODAY()&lt;SprintWarningDays,$K3&gt;=TODAY(),OR(BN3="",BN3="Yet to start",BN3="Blocked"))</formula>
    </cfRule>
  </conditionalFormatting>
  <conditionalFormatting sqref="J3:J100">
    <cfRule type="expression" dxfId="1" priority="137">
      <formula>AND(ISNUMBER(J3),WEEKDAY(J3,2)&lt;&gt;2,WEEKDAY(J3,2)&lt;&gt;4)</formula>
    </cfRule>
  </conditionalFormatting>
  <conditionalFormatting sqref="G3:G100">
    <cfRule type="expression" dxfId="0" priority="138">
      <formula>AND(ISNUMBER(G3),G3&gt;=1)</formula>
    </cfRule>
  </conditionalFormatting>
  <dataValidations count="5">
    <dataValidation type="list" allowBlank="1" sqref="P3:P100 S3:S100 V3:V100 Y3:Y100 AC3:AC100 AI3:AI100 AL3:AL100 AO3:AO100 AR3:AR100 AW3:AW100 AZ3:AZ100 BC3:BC100 BF3:BF100 BJ3:BJ100 BL3:BL100 BN3:BN100 BO3:BO100" xr:uid="{00000000-0002-0000-0100-000000000000}">
      <formula1>StatusList</formula1>
    </dataValidation>
    <dataValidation type="list" allowBlank="1" sqref="Z3:Z100" xr:uid="{00000000-0002-0000-0100-000001000000}">
      <formula1>FileTypeList</formula1>
    </dataValidation>
    <dataValidation type="list" allowBlank="1" sqref="AD3:AD100 AS3:AS100 BG3:BG100" xr:uid="{00000000-0002-0000-0100-000002000000}">
      <formula1>IAMList</formula1>
    </dataValidation>
    <dataValidation type="list" allowBlank="1" sqref="AE3:AE100 AT3:AT100 BH3:BH100" xr:uid="{00000000-0002-0000-0100-000003000000}">
      <formula1>YesNoList</formula1>
    </dataValidation>
    <dataValidation type="list" allowBlank="1" sqref="AF3:AF100" xr:uid="{00000000-0002-0000-0100-000004000000}">
      <formula1>FrequencyList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activeCell="G7" sqref="G7"/>
    </sheetView>
  </sheetViews>
  <sheetFormatPr defaultColWidth="8.85546875" defaultRowHeight="15"/>
  <cols>
    <col min="1" max="1" width="14" customWidth="1"/>
    <col min="2" max="3" width="16" customWidth="1"/>
  </cols>
  <sheetData>
    <row r="1" spans="1:3" ht="15.95" customHeight="1">
      <c r="A1" s="4" t="s">
        <v>150</v>
      </c>
      <c r="B1" s="4" t="s">
        <v>64</v>
      </c>
      <c r="C1" s="4" t="s">
        <v>65</v>
      </c>
    </row>
    <row r="2" spans="1:3" ht="15.95" customHeight="1">
      <c r="A2" s="5" t="s">
        <v>151</v>
      </c>
      <c r="B2" s="6">
        <v>46176</v>
      </c>
      <c r="C2" s="6">
        <v>46189</v>
      </c>
    </row>
    <row r="3" spans="1:3" ht="15.95" customHeight="1">
      <c r="A3" s="7" t="s">
        <v>152</v>
      </c>
      <c r="B3" s="8">
        <v>46190</v>
      </c>
      <c r="C3" s="8">
        <v>46203</v>
      </c>
    </row>
    <row r="4" spans="1:3" ht="15.95" customHeight="1">
      <c r="A4" s="5" t="s">
        <v>153</v>
      </c>
      <c r="B4" s="6">
        <v>46204</v>
      </c>
      <c r="C4" s="6">
        <v>46217</v>
      </c>
    </row>
    <row r="5" spans="1:3" ht="15.95" customHeight="1">
      <c r="A5" s="7" t="s">
        <v>154</v>
      </c>
      <c r="B5" s="8">
        <v>46218</v>
      </c>
      <c r="C5" s="8">
        <v>46231</v>
      </c>
    </row>
    <row r="6" spans="1:3" ht="15.95" customHeight="1">
      <c r="A6" s="5" t="s">
        <v>155</v>
      </c>
      <c r="B6" s="6">
        <v>46232</v>
      </c>
      <c r="C6" s="6">
        <v>46245</v>
      </c>
    </row>
    <row r="7" spans="1:3" ht="15.95" customHeight="1">
      <c r="A7" s="7" t="s">
        <v>156</v>
      </c>
      <c r="B7" s="8">
        <v>46246</v>
      </c>
      <c r="C7" s="8">
        <v>46259</v>
      </c>
    </row>
    <row r="8" spans="1:3" ht="15.95" customHeight="1">
      <c r="A8" s="5" t="s">
        <v>157</v>
      </c>
      <c r="B8" s="6">
        <v>46260</v>
      </c>
      <c r="C8" s="6">
        <v>46273</v>
      </c>
    </row>
    <row r="9" spans="1:3" ht="15.95" customHeight="1">
      <c r="A9" s="7" t="s">
        <v>158</v>
      </c>
      <c r="B9" s="8">
        <v>46274</v>
      </c>
      <c r="C9" s="8">
        <v>46287</v>
      </c>
    </row>
    <row r="10" spans="1:3" ht="15.95" customHeight="1">
      <c r="A10" s="5" t="s">
        <v>159</v>
      </c>
      <c r="B10" s="6">
        <v>46288</v>
      </c>
      <c r="C10" s="6">
        <v>46301</v>
      </c>
    </row>
    <row r="11" spans="1:3" ht="15.95" customHeight="1">
      <c r="A11" s="7" t="s">
        <v>160</v>
      </c>
      <c r="B11" s="8">
        <v>46302</v>
      </c>
      <c r="C11" s="8">
        <v>46315</v>
      </c>
    </row>
    <row r="12" spans="1:3" ht="15.95" customHeight="1">
      <c r="A12" s="5" t="s">
        <v>161</v>
      </c>
      <c r="B12" s="6">
        <v>46316</v>
      </c>
      <c r="C12" s="6">
        <v>46329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B183"/>
  </sheetPr>
  <dimension ref="A1:J15"/>
  <sheetViews>
    <sheetView workbookViewId="0">
      <pane ySplit="2" topLeftCell="A3" activePane="bottomLeft" state="frozen"/>
      <selection pane="bottomLeft" sqref="A1:C1"/>
    </sheetView>
  </sheetViews>
  <sheetFormatPr defaultColWidth="8.85546875" defaultRowHeight="15"/>
  <cols>
    <col min="1" max="1" width="28" customWidth="1"/>
    <col min="2" max="2" width="12" customWidth="1"/>
    <col min="3" max="3" width="88" customWidth="1"/>
    <col min="5" max="5" width="18" customWidth="1"/>
  </cols>
  <sheetData>
    <row r="1" spans="1:10" ht="27.95" customHeight="1">
      <c r="A1" s="50" t="s">
        <v>162</v>
      </c>
      <c r="B1" s="52"/>
      <c r="C1" s="52"/>
      <c r="D1" s="1"/>
      <c r="E1" s="1"/>
      <c r="F1" s="1"/>
      <c r="G1" s="1"/>
      <c r="H1" s="1"/>
      <c r="I1" s="1"/>
      <c r="J1" s="1"/>
    </row>
    <row r="2" spans="1:10">
      <c r="A2" s="90" t="s">
        <v>163</v>
      </c>
      <c r="B2" s="90" t="s">
        <v>164</v>
      </c>
      <c r="C2" s="90" t="s">
        <v>165</v>
      </c>
      <c r="D2" s="1"/>
      <c r="E2" s="91" t="s">
        <v>166</v>
      </c>
      <c r="F2" s="1"/>
      <c r="G2" s="1" t="s">
        <v>167</v>
      </c>
      <c r="H2" s="1" t="s">
        <v>168</v>
      </c>
      <c r="I2" s="1" t="s">
        <v>79</v>
      </c>
      <c r="J2" s="1" t="s">
        <v>169</v>
      </c>
    </row>
    <row r="3" spans="1:10" ht="33.950000000000003" customHeight="1">
      <c r="A3" s="92" t="s">
        <v>170</v>
      </c>
      <c r="B3" s="93">
        <v>10</v>
      </c>
      <c r="C3" s="94" t="s">
        <v>171</v>
      </c>
      <c r="D3" s="1"/>
      <c r="E3" s="95" t="s">
        <v>107</v>
      </c>
      <c r="F3" s="1"/>
      <c r="G3" s="1" t="s">
        <v>172</v>
      </c>
      <c r="H3" s="1" t="s">
        <v>173</v>
      </c>
      <c r="I3" s="1" t="s">
        <v>108</v>
      </c>
      <c r="J3" s="1" t="s">
        <v>108</v>
      </c>
    </row>
    <row r="4" spans="1:10" ht="33.950000000000003" customHeight="1">
      <c r="A4" s="92" t="s">
        <v>174</v>
      </c>
      <c r="B4" s="93">
        <v>-1</v>
      </c>
      <c r="C4" s="94" t="s">
        <v>175</v>
      </c>
      <c r="D4" s="1"/>
      <c r="E4" s="95" t="s">
        <v>30</v>
      </c>
      <c r="F4" s="1"/>
      <c r="G4" s="1" t="s">
        <v>114</v>
      </c>
      <c r="H4" s="1" t="s">
        <v>176</v>
      </c>
      <c r="I4" s="1" t="s">
        <v>105</v>
      </c>
      <c r="J4" s="1" t="s">
        <v>105</v>
      </c>
    </row>
    <row r="5" spans="1:10" ht="33.950000000000003" customHeight="1">
      <c r="A5" s="92" t="s">
        <v>177</v>
      </c>
      <c r="B5" s="93">
        <v>-5</v>
      </c>
      <c r="C5" s="94" t="s">
        <v>178</v>
      </c>
      <c r="D5" s="1"/>
      <c r="E5" s="95" t="s">
        <v>6</v>
      </c>
      <c r="F5" s="1"/>
      <c r="G5" s="1" t="s">
        <v>179</v>
      </c>
      <c r="H5" s="1" t="s">
        <v>180</v>
      </c>
      <c r="I5" s="1" t="s">
        <v>100</v>
      </c>
      <c r="J5" s="1"/>
    </row>
    <row r="6" spans="1:10" ht="33.950000000000003" customHeight="1">
      <c r="A6" s="92" t="s">
        <v>181</v>
      </c>
      <c r="B6" s="93">
        <v>-1</v>
      </c>
      <c r="C6" s="94" t="s">
        <v>182</v>
      </c>
      <c r="D6" s="1"/>
      <c r="E6" s="95" t="s">
        <v>32</v>
      </c>
      <c r="F6" s="1"/>
      <c r="G6" s="1" t="s">
        <v>183</v>
      </c>
      <c r="H6" s="1" t="s">
        <v>184</v>
      </c>
      <c r="I6" s="1"/>
      <c r="J6" s="1"/>
    </row>
    <row r="7" spans="1:10" ht="33.950000000000003" customHeight="1">
      <c r="A7" s="92" t="s">
        <v>185</v>
      </c>
      <c r="B7" s="93">
        <v>-2</v>
      </c>
      <c r="C7" s="94" t="s">
        <v>186</v>
      </c>
      <c r="D7" s="1"/>
      <c r="E7" s="1" t="s">
        <v>100</v>
      </c>
      <c r="F7" s="1"/>
      <c r="G7" s="1" t="s">
        <v>187</v>
      </c>
      <c r="H7" s="1" t="s">
        <v>188</v>
      </c>
      <c r="I7" s="1"/>
      <c r="J7" s="1"/>
    </row>
    <row r="8" spans="1:10" ht="33.950000000000003" customHeight="1">
      <c r="A8" s="92" t="s">
        <v>189</v>
      </c>
      <c r="B8" s="93">
        <v>-1</v>
      </c>
      <c r="C8" s="94" t="s">
        <v>190</v>
      </c>
      <c r="D8" s="1"/>
      <c r="E8" s="1" t="s">
        <v>191</v>
      </c>
      <c r="F8" s="1"/>
      <c r="G8" s="1" t="s">
        <v>192</v>
      </c>
      <c r="H8" s="1" t="s">
        <v>193</v>
      </c>
      <c r="I8" s="1"/>
      <c r="J8" s="1"/>
    </row>
    <row r="9" spans="1:10" ht="33.950000000000003" customHeight="1">
      <c r="A9" s="92" t="s">
        <v>194</v>
      </c>
      <c r="B9" s="93">
        <v>2</v>
      </c>
      <c r="C9" s="94" t="s">
        <v>195</v>
      </c>
      <c r="D9" s="1"/>
      <c r="E9" s="1"/>
      <c r="F9" s="1"/>
      <c r="G9" s="1" t="s">
        <v>196</v>
      </c>
      <c r="H9" s="1" t="s">
        <v>100</v>
      </c>
      <c r="I9" s="1"/>
      <c r="J9" s="1"/>
    </row>
    <row r="10" spans="1:10">
      <c r="A10" s="1" t="s">
        <v>197</v>
      </c>
      <c r="B10" s="1">
        <v>4</v>
      </c>
      <c r="C10" s="1" t="s">
        <v>198</v>
      </c>
      <c r="D10" s="1"/>
      <c r="E10" s="1"/>
      <c r="F10" s="1"/>
      <c r="G10" s="1" t="s">
        <v>199</v>
      </c>
      <c r="H10" s="1" t="s">
        <v>191</v>
      </c>
      <c r="I10" s="1"/>
      <c r="J10" s="1"/>
    </row>
    <row r="11" spans="1:10">
      <c r="A11" s="51" t="s">
        <v>200</v>
      </c>
      <c r="B11" s="52"/>
      <c r="C11" s="52"/>
      <c r="D11" s="52"/>
      <c r="E11" s="52"/>
      <c r="F11" s="1"/>
      <c r="G11" s="1" t="s">
        <v>201</v>
      </c>
      <c r="H11" s="1"/>
      <c r="I11" s="1"/>
      <c r="J11" s="1"/>
    </row>
    <row r="12" spans="1:10">
      <c r="A12" s="52"/>
      <c r="B12" s="52"/>
      <c r="C12" s="52"/>
      <c r="D12" s="52"/>
      <c r="E12" s="52"/>
      <c r="F12" s="1"/>
      <c r="G12" s="1" t="s">
        <v>100</v>
      </c>
      <c r="H12" s="1"/>
      <c r="I12" s="1"/>
      <c r="J12" s="1"/>
    </row>
    <row r="13" spans="1:10">
      <c r="A13" s="1" t="s">
        <v>202</v>
      </c>
      <c r="B13" s="1">
        <v>10</v>
      </c>
      <c r="C13" s="1" t="s">
        <v>203</v>
      </c>
      <c r="D13" s="1"/>
      <c r="E13" s="1"/>
      <c r="F13" s="1"/>
      <c r="G13" s="1" t="s">
        <v>191</v>
      </c>
      <c r="H13" s="1"/>
      <c r="I13" s="1"/>
      <c r="J13" s="1"/>
    </row>
    <row r="14" spans="1:10">
      <c r="A14" s="85"/>
      <c r="B14" s="85"/>
      <c r="C14" s="85"/>
      <c r="D14" s="85"/>
      <c r="E14" s="85"/>
      <c r="F14" s="85"/>
      <c r="G14" s="85" t="s">
        <v>204</v>
      </c>
      <c r="H14" s="85"/>
      <c r="I14" s="85"/>
      <c r="J14" s="85"/>
    </row>
    <row r="15" spans="1:10">
      <c r="A15" s="1" t="s">
        <v>205</v>
      </c>
      <c r="B15" s="1">
        <v>-2</v>
      </c>
      <c r="C15" s="1" t="s">
        <v>206</v>
      </c>
      <c r="D15" s="1"/>
      <c r="E15" s="1"/>
      <c r="F15" s="1"/>
      <c r="G15" s="1" t="s">
        <v>207</v>
      </c>
      <c r="H15" s="1"/>
      <c r="I15" s="1"/>
      <c r="J15" s="1"/>
    </row>
  </sheetData>
  <sheetProtection sheet="1" objects="1" scenarios="1" formatCells="0" insertColumns="0" insertRows="0" deleteColumns="0" deleteRows="0" selectLockedCells="1" sort="0" autoFilter="0" selectUnlockedCells="1"/>
  <mergeCells count="2">
    <mergeCell ref="A1:C1"/>
    <mergeCell ref="A11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Ishan Bhattacharjee</cp:lastModifiedBy>
  <cp:revision/>
  <dcterms:created xsi:type="dcterms:W3CDTF">2026-08-17T13:27:41Z</dcterms:created>
  <dcterms:modified xsi:type="dcterms:W3CDTF">2026-08-21T09:40:49Z</dcterms:modified>
  <cp:category/>
  <cp:contentStatus/>
</cp:coreProperties>
</file>